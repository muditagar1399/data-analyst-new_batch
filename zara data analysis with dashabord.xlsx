
<file path=[Content_Types].xml><?xml version="1.0" encoding="utf-8"?>
<Types xmlns="http://schemas.openxmlformats.org/package/2006/content-types">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C:\Users\ASUS\Desktop\"/>
    </mc:Choice>
  </mc:AlternateContent>
  <xr:revisionPtr revIDLastSave="0" documentId="8_{406E5DFB-1919-4CD0-8D96-CF5C9EF6FFDC}" xr6:coauthVersionLast="47" xr6:coauthVersionMax="47" xr10:uidLastSave="{00000000-0000-0000-0000-000000000000}"/>
  <bookViews>
    <workbookView xWindow="-108" yWindow="-108" windowWidth="23256" windowHeight="12456" activeTab="2" xr2:uid="{BAB48459-F232-487D-AEDD-F4E1725D477B}"/>
  </bookViews>
  <sheets>
    <sheet name="pivot table " sheetId="3" r:id="rId1"/>
    <sheet name="dashbaord " sheetId="4" r:id="rId2"/>
    <sheet name="zara" sheetId="2" r:id="rId3"/>
  </sheets>
  <definedNames>
    <definedName name="ExternalData_1" localSheetId="2" hidden="1">zara!$A$1:$P$253</definedName>
    <definedName name="Slicer_section">#N/A</definedName>
  </definedNames>
  <calcPr calcId="191029"/>
  <pivotCaches>
    <pivotCache cacheId="14"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A2" i="2" l="1"/>
  <c r="AA3" i="2"/>
  <c r="AA4" i="2"/>
  <c r="AA5" i="2"/>
  <c r="AA6" i="2"/>
  <c r="AA7" i="2"/>
  <c r="AA8" i="2"/>
  <c r="AA9" i="2"/>
  <c r="AA10" i="2"/>
  <c r="AA11" i="2"/>
  <c r="AA12" i="2"/>
  <c r="AA13" i="2"/>
  <c r="AA14" i="2"/>
  <c r="AA15" i="2"/>
  <c r="AA16" i="2"/>
  <c r="AA17" i="2"/>
  <c r="AA18" i="2"/>
  <c r="AA19" i="2"/>
  <c r="AA20" i="2"/>
  <c r="AA21" i="2"/>
  <c r="AA22" i="2"/>
  <c r="AA23" i="2"/>
  <c r="AA24" i="2"/>
  <c r="AA25" i="2"/>
  <c r="AA26" i="2"/>
  <c r="AA27" i="2"/>
  <c r="AA28" i="2"/>
  <c r="AA29" i="2"/>
  <c r="AA30" i="2"/>
  <c r="AA31" i="2"/>
  <c r="AA32" i="2"/>
  <c r="AA33" i="2"/>
  <c r="AA34" i="2"/>
  <c r="AA35" i="2"/>
  <c r="AA36" i="2"/>
  <c r="AA37" i="2"/>
  <c r="AA38" i="2"/>
  <c r="AA39" i="2"/>
  <c r="AA40" i="2"/>
  <c r="AA41" i="2"/>
  <c r="AA42" i="2"/>
  <c r="AA43" i="2"/>
  <c r="AA44" i="2"/>
  <c r="AA45" i="2"/>
  <c r="AA46" i="2"/>
  <c r="AA47" i="2"/>
  <c r="AA48" i="2"/>
  <c r="AA49" i="2"/>
  <c r="AA50" i="2"/>
  <c r="AA51" i="2"/>
  <c r="AA52" i="2"/>
  <c r="AA53" i="2"/>
  <c r="AA54" i="2"/>
  <c r="AA55" i="2"/>
  <c r="AA56" i="2"/>
  <c r="AA57" i="2"/>
  <c r="AA58" i="2"/>
  <c r="AA59" i="2"/>
  <c r="AA60" i="2"/>
  <c r="AA61" i="2"/>
  <c r="AA62" i="2"/>
  <c r="AA63" i="2"/>
  <c r="AA64" i="2"/>
  <c r="AA65" i="2"/>
  <c r="AA66" i="2"/>
  <c r="AA67" i="2"/>
  <c r="AA68" i="2"/>
  <c r="AA69" i="2"/>
  <c r="AA70" i="2"/>
  <c r="AA71" i="2"/>
  <c r="AA72" i="2"/>
  <c r="AA73" i="2"/>
  <c r="AA74" i="2"/>
  <c r="AA75" i="2"/>
  <c r="AA76" i="2"/>
  <c r="AA77" i="2"/>
  <c r="AA78" i="2"/>
  <c r="AA79" i="2"/>
  <c r="AA80" i="2"/>
  <c r="AA81" i="2"/>
  <c r="AA82" i="2"/>
  <c r="AA83" i="2"/>
  <c r="AA84" i="2"/>
  <c r="AA85" i="2"/>
  <c r="AA86" i="2"/>
  <c r="AA87" i="2"/>
  <c r="AA88" i="2"/>
  <c r="AA89" i="2"/>
  <c r="AA90" i="2"/>
  <c r="AA91" i="2"/>
  <c r="AA92" i="2"/>
  <c r="AA93" i="2"/>
  <c r="AA94" i="2"/>
  <c r="AA95" i="2"/>
  <c r="AA96" i="2"/>
  <c r="AA97" i="2"/>
  <c r="AA98" i="2"/>
  <c r="AA99" i="2"/>
  <c r="AA100" i="2"/>
  <c r="AA101" i="2"/>
  <c r="AA102" i="2"/>
  <c r="AA103" i="2"/>
  <c r="AA104" i="2"/>
  <c r="AA105" i="2"/>
  <c r="AA106" i="2"/>
  <c r="AA107" i="2"/>
  <c r="AA108" i="2"/>
  <c r="AA109" i="2"/>
  <c r="AA110" i="2"/>
  <c r="AA111" i="2"/>
  <c r="AA112" i="2"/>
  <c r="AA113" i="2"/>
  <c r="AA114" i="2"/>
  <c r="AA115" i="2"/>
  <c r="AA116" i="2"/>
  <c r="AA117" i="2"/>
  <c r="AA118" i="2"/>
  <c r="AA119" i="2"/>
  <c r="AA120" i="2"/>
  <c r="AA121" i="2"/>
  <c r="AA122" i="2"/>
  <c r="AA123" i="2"/>
  <c r="AA124" i="2"/>
  <c r="AA125" i="2"/>
  <c r="AA126" i="2"/>
  <c r="AA127" i="2"/>
  <c r="AA128" i="2"/>
  <c r="AA129" i="2"/>
  <c r="AA130" i="2"/>
  <c r="AA131" i="2"/>
  <c r="AA132" i="2"/>
  <c r="AA133" i="2"/>
  <c r="AA134" i="2"/>
  <c r="AA135" i="2"/>
  <c r="AA136" i="2"/>
  <c r="AA137" i="2"/>
  <c r="AA138" i="2"/>
  <c r="AA139" i="2"/>
  <c r="AA140" i="2"/>
  <c r="AA141" i="2"/>
  <c r="AA142" i="2"/>
  <c r="AA143" i="2"/>
  <c r="AA144" i="2"/>
  <c r="AA145" i="2"/>
  <c r="AA146" i="2"/>
  <c r="AA147" i="2"/>
  <c r="AA148" i="2"/>
  <c r="AA149" i="2"/>
  <c r="AA150" i="2"/>
  <c r="AA151" i="2"/>
  <c r="AA152" i="2"/>
  <c r="AA153" i="2"/>
  <c r="AA154" i="2"/>
  <c r="AA155" i="2"/>
  <c r="AA156" i="2"/>
  <c r="AA157" i="2"/>
  <c r="AA158" i="2"/>
  <c r="AA159" i="2"/>
  <c r="AA160" i="2"/>
  <c r="AA161" i="2"/>
  <c r="AA162" i="2"/>
  <c r="AA163" i="2"/>
  <c r="AA164" i="2"/>
  <c r="AA165" i="2"/>
  <c r="AA166" i="2"/>
  <c r="AA167" i="2"/>
  <c r="AA168" i="2"/>
  <c r="AA169" i="2"/>
  <c r="AA170" i="2"/>
  <c r="AA171" i="2"/>
  <c r="AA172" i="2"/>
  <c r="AA173" i="2"/>
  <c r="AA174" i="2"/>
  <c r="AA175" i="2"/>
  <c r="AA176" i="2"/>
  <c r="AA177" i="2"/>
  <c r="AA178" i="2"/>
  <c r="AA179" i="2"/>
  <c r="AA180" i="2"/>
  <c r="AA181" i="2"/>
  <c r="AA182" i="2"/>
  <c r="AA183" i="2"/>
  <c r="AA184" i="2"/>
  <c r="AA185" i="2"/>
  <c r="AA186" i="2"/>
  <c r="AA187" i="2"/>
  <c r="AA188" i="2"/>
  <c r="AA189" i="2"/>
  <c r="AA190" i="2"/>
  <c r="AA191" i="2"/>
  <c r="AA192" i="2"/>
  <c r="AA193" i="2"/>
  <c r="AA194" i="2"/>
  <c r="AA195" i="2"/>
  <c r="AA196" i="2"/>
  <c r="AA197" i="2"/>
  <c r="AA198" i="2"/>
  <c r="AA199" i="2"/>
  <c r="AA200" i="2"/>
  <c r="AA201" i="2"/>
  <c r="AA202" i="2"/>
  <c r="AA203" i="2"/>
  <c r="AA204" i="2"/>
  <c r="AA205" i="2"/>
  <c r="AA206" i="2"/>
  <c r="AA207" i="2"/>
  <c r="AA208" i="2"/>
  <c r="AA209" i="2"/>
  <c r="AA210" i="2"/>
  <c r="AA211" i="2"/>
  <c r="AA212" i="2"/>
  <c r="AA213" i="2"/>
  <c r="AA214" i="2"/>
  <c r="AA215" i="2"/>
  <c r="AA216" i="2"/>
  <c r="AA217" i="2"/>
  <c r="AA218" i="2"/>
  <c r="AA219" i="2"/>
  <c r="AA220" i="2"/>
  <c r="AA221" i="2"/>
  <c r="AA222" i="2"/>
  <c r="AA223" i="2"/>
  <c r="AA224" i="2"/>
  <c r="AA225" i="2"/>
  <c r="AA226" i="2"/>
  <c r="AA227" i="2"/>
  <c r="AA228" i="2"/>
  <c r="AA229" i="2"/>
  <c r="AA230" i="2"/>
  <c r="AA231" i="2"/>
  <c r="AA232" i="2"/>
  <c r="AA233" i="2"/>
  <c r="AA234" i="2"/>
  <c r="AA235" i="2"/>
  <c r="AA236" i="2"/>
  <c r="AA237" i="2"/>
  <c r="AA238" i="2"/>
  <c r="AA239" i="2"/>
  <c r="AA240" i="2"/>
  <c r="AA241" i="2"/>
  <c r="AA242" i="2"/>
  <c r="AA243" i="2"/>
  <c r="AA244" i="2"/>
  <c r="AA245" i="2"/>
  <c r="AA246" i="2"/>
  <c r="AA247" i="2"/>
  <c r="AA248" i="2"/>
  <c r="AA249" i="2"/>
  <c r="AA250" i="2"/>
  <c r="AA251" i="2"/>
  <c r="AA252" i="2"/>
  <c r="AA253" i="2"/>
  <c r="Z2" i="2"/>
  <c r="Z3" i="2"/>
  <c r="Z4" i="2"/>
  <c r="Z5" i="2"/>
  <c r="Z6" i="2"/>
  <c r="Z7" i="2"/>
  <c r="Z8" i="2"/>
  <c r="Z9" i="2"/>
  <c r="Z10" i="2"/>
  <c r="Z11" i="2"/>
  <c r="Z12" i="2"/>
  <c r="Z13" i="2"/>
  <c r="Z14" i="2"/>
  <c r="Z15" i="2"/>
  <c r="Z16" i="2"/>
  <c r="Z17" i="2"/>
  <c r="Z18" i="2"/>
  <c r="Z19" i="2"/>
  <c r="Z20" i="2"/>
  <c r="Z21" i="2"/>
  <c r="Z22" i="2"/>
  <c r="Z23" i="2"/>
  <c r="Z24" i="2"/>
  <c r="Z25" i="2"/>
  <c r="Z26" i="2"/>
  <c r="Z27" i="2"/>
  <c r="Z28" i="2"/>
  <c r="Z29" i="2"/>
  <c r="Z30" i="2"/>
  <c r="Z31" i="2"/>
  <c r="Z32" i="2"/>
  <c r="Z33" i="2"/>
  <c r="Z34" i="2"/>
  <c r="Z35" i="2"/>
  <c r="Z36" i="2"/>
  <c r="Z37" i="2"/>
  <c r="Z38" i="2"/>
  <c r="Z39" i="2"/>
  <c r="Z40" i="2"/>
  <c r="Z41" i="2"/>
  <c r="Z42" i="2"/>
  <c r="Z43" i="2"/>
  <c r="Z44" i="2"/>
  <c r="Z45" i="2"/>
  <c r="Z46" i="2"/>
  <c r="Z47" i="2"/>
  <c r="Z48" i="2"/>
  <c r="Z49" i="2"/>
  <c r="Z50" i="2"/>
  <c r="Z51" i="2"/>
  <c r="Z52" i="2"/>
  <c r="Z53" i="2"/>
  <c r="Z54" i="2"/>
  <c r="Z55" i="2"/>
  <c r="Z56" i="2"/>
  <c r="Z57" i="2"/>
  <c r="Z58" i="2"/>
  <c r="Z59" i="2"/>
  <c r="Z60" i="2"/>
  <c r="Z61" i="2"/>
  <c r="Z62" i="2"/>
  <c r="Z63" i="2"/>
  <c r="Z64" i="2"/>
  <c r="Z65" i="2"/>
  <c r="Z66" i="2"/>
  <c r="Z67" i="2"/>
  <c r="Z68" i="2"/>
  <c r="Z69" i="2"/>
  <c r="Z70" i="2"/>
  <c r="Z71" i="2"/>
  <c r="Z72" i="2"/>
  <c r="Z73" i="2"/>
  <c r="Z74" i="2"/>
  <c r="Z75" i="2"/>
  <c r="Z76" i="2"/>
  <c r="Z77" i="2"/>
  <c r="Z78" i="2"/>
  <c r="Z79" i="2"/>
  <c r="Z80" i="2"/>
  <c r="Z81" i="2"/>
  <c r="Z82" i="2"/>
  <c r="Z83" i="2"/>
  <c r="Z84" i="2"/>
  <c r="Z85" i="2"/>
  <c r="Z86" i="2"/>
  <c r="Z87" i="2"/>
  <c r="Z88" i="2"/>
  <c r="Z89" i="2"/>
  <c r="Z90" i="2"/>
  <c r="Z91" i="2"/>
  <c r="Z92" i="2"/>
  <c r="Z93" i="2"/>
  <c r="Z94" i="2"/>
  <c r="Z95" i="2"/>
  <c r="Z96" i="2"/>
  <c r="Z97" i="2"/>
  <c r="Z98" i="2"/>
  <c r="Z99" i="2"/>
  <c r="Z100" i="2"/>
  <c r="Z101" i="2"/>
  <c r="Z102" i="2"/>
  <c r="Z103" i="2"/>
  <c r="Z104" i="2"/>
  <c r="Z105" i="2"/>
  <c r="Z106" i="2"/>
  <c r="Z107" i="2"/>
  <c r="Z108" i="2"/>
  <c r="Z109" i="2"/>
  <c r="Z110" i="2"/>
  <c r="Z111" i="2"/>
  <c r="Z112" i="2"/>
  <c r="Z113" i="2"/>
  <c r="Z114" i="2"/>
  <c r="Z115" i="2"/>
  <c r="Z116" i="2"/>
  <c r="Z117" i="2"/>
  <c r="Z118" i="2"/>
  <c r="Z119" i="2"/>
  <c r="Z120" i="2"/>
  <c r="Z121" i="2"/>
  <c r="Z122" i="2"/>
  <c r="Z123" i="2"/>
  <c r="Z124" i="2"/>
  <c r="Z125" i="2"/>
  <c r="Z126" i="2"/>
  <c r="Z127" i="2"/>
  <c r="Z128" i="2"/>
  <c r="Z129" i="2"/>
  <c r="Z130" i="2"/>
  <c r="Z131" i="2"/>
  <c r="Z132" i="2"/>
  <c r="Z133" i="2"/>
  <c r="Z134" i="2"/>
  <c r="Z135" i="2"/>
  <c r="Z136" i="2"/>
  <c r="Z137" i="2"/>
  <c r="Z138" i="2"/>
  <c r="Z139" i="2"/>
  <c r="Z140" i="2"/>
  <c r="Z141" i="2"/>
  <c r="Z142" i="2"/>
  <c r="Z143" i="2"/>
  <c r="Z144" i="2"/>
  <c r="Z145" i="2"/>
  <c r="Z146" i="2"/>
  <c r="Z147" i="2"/>
  <c r="Z148" i="2"/>
  <c r="Z149" i="2"/>
  <c r="Z150" i="2"/>
  <c r="Z151" i="2"/>
  <c r="Z152" i="2"/>
  <c r="Z153" i="2"/>
  <c r="Z154" i="2"/>
  <c r="Z155" i="2"/>
  <c r="Z156" i="2"/>
  <c r="Z157" i="2"/>
  <c r="Z158" i="2"/>
  <c r="Z159" i="2"/>
  <c r="Z160" i="2"/>
  <c r="Z161" i="2"/>
  <c r="Z162" i="2"/>
  <c r="Z163" i="2"/>
  <c r="Z164" i="2"/>
  <c r="Z165" i="2"/>
  <c r="Z166" i="2"/>
  <c r="Z167" i="2"/>
  <c r="Z168" i="2"/>
  <c r="Z169" i="2"/>
  <c r="Z170" i="2"/>
  <c r="Z171" i="2"/>
  <c r="Z172" i="2"/>
  <c r="Z173" i="2"/>
  <c r="Z174" i="2"/>
  <c r="Z175" i="2"/>
  <c r="Z176" i="2"/>
  <c r="Z177" i="2"/>
  <c r="Z178" i="2"/>
  <c r="Z179" i="2"/>
  <c r="Z180" i="2"/>
  <c r="Z181" i="2"/>
  <c r="Z182" i="2"/>
  <c r="Z183" i="2"/>
  <c r="Z184" i="2"/>
  <c r="Z185" i="2"/>
  <c r="Z186" i="2"/>
  <c r="Z187" i="2"/>
  <c r="Z188" i="2"/>
  <c r="Z189" i="2"/>
  <c r="Z190" i="2"/>
  <c r="Z191" i="2"/>
  <c r="Z192" i="2"/>
  <c r="Z193" i="2"/>
  <c r="Z194" i="2"/>
  <c r="Z195" i="2"/>
  <c r="Z196" i="2"/>
  <c r="Z197" i="2"/>
  <c r="Z198" i="2"/>
  <c r="Z199" i="2"/>
  <c r="Z200" i="2"/>
  <c r="Z201" i="2"/>
  <c r="Z202" i="2"/>
  <c r="Z203" i="2"/>
  <c r="Z204" i="2"/>
  <c r="Z205" i="2"/>
  <c r="Z206" i="2"/>
  <c r="Z207" i="2"/>
  <c r="Z208" i="2"/>
  <c r="Z209" i="2"/>
  <c r="Z210" i="2"/>
  <c r="Z211" i="2"/>
  <c r="Z212" i="2"/>
  <c r="Z213" i="2"/>
  <c r="Z214" i="2"/>
  <c r="Z215" i="2"/>
  <c r="Z216" i="2"/>
  <c r="Z217" i="2"/>
  <c r="Z218" i="2"/>
  <c r="Z219" i="2"/>
  <c r="Z220" i="2"/>
  <c r="Z221" i="2"/>
  <c r="Z222" i="2"/>
  <c r="Z223" i="2"/>
  <c r="Z224" i="2"/>
  <c r="Z225" i="2"/>
  <c r="Z226" i="2"/>
  <c r="Z227" i="2"/>
  <c r="Z228" i="2"/>
  <c r="Z229" i="2"/>
  <c r="Z230" i="2"/>
  <c r="Z231" i="2"/>
  <c r="Z232" i="2"/>
  <c r="Z233" i="2"/>
  <c r="Z234" i="2"/>
  <c r="Z235" i="2"/>
  <c r="Z236" i="2"/>
  <c r="Z237" i="2"/>
  <c r="Z238" i="2"/>
  <c r="Z239" i="2"/>
  <c r="Z240" i="2"/>
  <c r="Z241" i="2"/>
  <c r="Z242" i="2"/>
  <c r="Z243" i="2"/>
  <c r="Z244" i="2"/>
  <c r="Z245" i="2"/>
  <c r="Z246" i="2"/>
  <c r="Z247" i="2"/>
  <c r="Z248" i="2"/>
  <c r="Z249" i="2"/>
  <c r="Z250" i="2"/>
  <c r="Z251" i="2"/>
  <c r="Z252" i="2"/>
  <c r="Z253" i="2"/>
  <c r="Y2" i="2"/>
  <c r="Y3" i="2"/>
  <c r="Y4" i="2"/>
  <c r="Y5" i="2"/>
  <c r="Y6" i="2"/>
  <c r="Y7" i="2"/>
  <c r="Y8" i="2"/>
  <c r="Y9" i="2"/>
  <c r="Y10" i="2"/>
  <c r="Y11" i="2"/>
  <c r="Y12" i="2"/>
  <c r="Y13" i="2"/>
  <c r="Y14" i="2"/>
  <c r="Y15" i="2"/>
  <c r="Y16" i="2"/>
  <c r="Y17" i="2"/>
  <c r="Y18" i="2"/>
  <c r="Y19" i="2"/>
  <c r="Y20" i="2"/>
  <c r="Y21" i="2"/>
  <c r="Y22" i="2"/>
  <c r="Y23" i="2"/>
  <c r="Y24" i="2"/>
  <c r="Y25" i="2"/>
  <c r="Y26" i="2"/>
  <c r="Y27" i="2"/>
  <c r="Y28" i="2"/>
  <c r="Y29" i="2"/>
  <c r="Y30" i="2"/>
  <c r="Y31" i="2"/>
  <c r="Y32" i="2"/>
  <c r="Y33" i="2"/>
  <c r="Y34" i="2"/>
  <c r="Y35" i="2"/>
  <c r="Y36" i="2"/>
  <c r="Y37" i="2"/>
  <c r="Y38" i="2"/>
  <c r="Y39" i="2"/>
  <c r="Y40" i="2"/>
  <c r="Y41" i="2"/>
  <c r="Y42" i="2"/>
  <c r="Y43" i="2"/>
  <c r="Y44" i="2"/>
  <c r="Y45" i="2"/>
  <c r="Y46" i="2"/>
  <c r="Y47" i="2"/>
  <c r="Y48" i="2"/>
  <c r="Y49" i="2"/>
  <c r="Y50" i="2"/>
  <c r="Y51" i="2"/>
  <c r="Y52" i="2"/>
  <c r="Y53" i="2"/>
  <c r="Y54" i="2"/>
  <c r="Y55" i="2"/>
  <c r="Y56" i="2"/>
  <c r="Y57" i="2"/>
  <c r="Y58" i="2"/>
  <c r="Y59" i="2"/>
  <c r="Y60" i="2"/>
  <c r="Y61" i="2"/>
  <c r="Y62" i="2"/>
  <c r="Y63" i="2"/>
  <c r="Y64" i="2"/>
  <c r="Y65" i="2"/>
  <c r="Y66" i="2"/>
  <c r="Y67" i="2"/>
  <c r="Y68" i="2"/>
  <c r="Y69" i="2"/>
  <c r="Y70" i="2"/>
  <c r="Y71" i="2"/>
  <c r="Y72" i="2"/>
  <c r="Y73" i="2"/>
  <c r="Y74" i="2"/>
  <c r="Y75" i="2"/>
  <c r="Y76" i="2"/>
  <c r="Y77" i="2"/>
  <c r="Y78" i="2"/>
  <c r="Y79" i="2"/>
  <c r="Y80" i="2"/>
  <c r="Y81" i="2"/>
  <c r="Y82" i="2"/>
  <c r="Y83" i="2"/>
  <c r="Y84" i="2"/>
  <c r="Y85" i="2"/>
  <c r="Y86" i="2"/>
  <c r="Y87" i="2"/>
  <c r="Y88" i="2"/>
  <c r="Y89" i="2"/>
  <c r="Y90" i="2"/>
  <c r="Y91" i="2"/>
  <c r="Y92" i="2"/>
  <c r="Y93" i="2"/>
  <c r="Y94" i="2"/>
  <c r="Y95" i="2"/>
  <c r="Y96" i="2"/>
  <c r="Y97" i="2"/>
  <c r="Y98" i="2"/>
  <c r="Y99" i="2"/>
  <c r="Y100" i="2"/>
  <c r="Y101" i="2"/>
  <c r="Y102" i="2"/>
  <c r="Y103" i="2"/>
  <c r="Y104" i="2"/>
  <c r="Y105" i="2"/>
  <c r="Y106" i="2"/>
  <c r="Y107" i="2"/>
  <c r="Y108" i="2"/>
  <c r="Y109" i="2"/>
  <c r="Y110" i="2"/>
  <c r="Y111" i="2"/>
  <c r="Y112" i="2"/>
  <c r="Y113" i="2"/>
  <c r="Y114" i="2"/>
  <c r="Y115" i="2"/>
  <c r="Y116" i="2"/>
  <c r="Y117" i="2"/>
  <c r="Y118" i="2"/>
  <c r="Y119" i="2"/>
  <c r="Y120" i="2"/>
  <c r="Y121" i="2"/>
  <c r="Y122" i="2"/>
  <c r="Y123" i="2"/>
  <c r="Y124" i="2"/>
  <c r="Y125" i="2"/>
  <c r="Y126" i="2"/>
  <c r="Y127" i="2"/>
  <c r="Y128" i="2"/>
  <c r="Y129" i="2"/>
  <c r="Y130" i="2"/>
  <c r="Y131" i="2"/>
  <c r="Y132" i="2"/>
  <c r="Y133" i="2"/>
  <c r="Y134" i="2"/>
  <c r="Y135" i="2"/>
  <c r="Y136" i="2"/>
  <c r="Y137" i="2"/>
  <c r="Y138" i="2"/>
  <c r="Y139" i="2"/>
  <c r="Y140" i="2"/>
  <c r="Y141" i="2"/>
  <c r="Y142" i="2"/>
  <c r="Y143" i="2"/>
  <c r="Y144" i="2"/>
  <c r="Y145" i="2"/>
  <c r="Y146" i="2"/>
  <c r="Y147" i="2"/>
  <c r="Y148" i="2"/>
  <c r="Y149" i="2"/>
  <c r="Y150" i="2"/>
  <c r="Y151" i="2"/>
  <c r="Y152" i="2"/>
  <c r="Y153" i="2"/>
  <c r="Y154" i="2"/>
  <c r="Y155" i="2"/>
  <c r="Y156" i="2"/>
  <c r="Y157" i="2"/>
  <c r="Y158" i="2"/>
  <c r="Y159" i="2"/>
  <c r="Y160" i="2"/>
  <c r="Y161" i="2"/>
  <c r="Y162" i="2"/>
  <c r="Y163" i="2"/>
  <c r="Y164" i="2"/>
  <c r="Y165" i="2"/>
  <c r="Y166" i="2"/>
  <c r="Y167" i="2"/>
  <c r="Y168" i="2"/>
  <c r="Y169" i="2"/>
  <c r="Y170" i="2"/>
  <c r="Y171" i="2"/>
  <c r="Y172" i="2"/>
  <c r="Y173" i="2"/>
  <c r="Y174" i="2"/>
  <c r="Y175" i="2"/>
  <c r="Y176" i="2"/>
  <c r="Y177" i="2"/>
  <c r="Y178" i="2"/>
  <c r="Y179" i="2"/>
  <c r="Y180" i="2"/>
  <c r="Y181" i="2"/>
  <c r="Y182" i="2"/>
  <c r="Y183" i="2"/>
  <c r="Y184" i="2"/>
  <c r="Y185" i="2"/>
  <c r="Y186" i="2"/>
  <c r="Y187" i="2"/>
  <c r="Y188" i="2"/>
  <c r="Y189" i="2"/>
  <c r="Y190" i="2"/>
  <c r="Y191" i="2"/>
  <c r="Y192" i="2"/>
  <c r="Y193" i="2"/>
  <c r="Y194" i="2"/>
  <c r="Y195" i="2"/>
  <c r="Y196" i="2"/>
  <c r="Y197" i="2"/>
  <c r="Y198" i="2"/>
  <c r="Y199" i="2"/>
  <c r="Y200" i="2"/>
  <c r="Y201" i="2"/>
  <c r="Y202" i="2"/>
  <c r="Y203" i="2"/>
  <c r="Y204" i="2"/>
  <c r="Y205" i="2"/>
  <c r="Y206" i="2"/>
  <c r="Y207" i="2"/>
  <c r="Y208" i="2"/>
  <c r="Y209" i="2"/>
  <c r="Y210" i="2"/>
  <c r="Y211" i="2"/>
  <c r="Y212" i="2"/>
  <c r="Y213" i="2"/>
  <c r="Y214" i="2"/>
  <c r="Y215" i="2"/>
  <c r="Y216" i="2"/>
  <c r="Y217" i="2"/>
  <c r="Y218" i="2"/>
  <c r="Y219" i="2"/>
  <c r="Y220" i="2"/>
  <c r="Y221" i="2"/>
  <c r="Y222" i="2"/>
  <c r="Y223" i="2"/>
  <c r="Y224" i="2"/>
  <c r="Y225" i="2"/>
  <c r="Y226" i="2"/>
  <c r="Y227" i="2"/>
  <c r="Y228" i="2"/>
  <c r="Y229" i="2"/>
  <c r="Y230" i="2"/>
  <c r="Y231" i="2"/>
  <c r="Y232" i="2"/>
  <c r="Y233" i="2"/>
  <c r="Y234" i="2"/>
  <c r="Y235" i="2"/>
  <c r="Y236" i="2"/>
  <c r="Y237" i="2"/>
  <c r="Y238" i="2"/>
  <c r="Y239" i="2"/>
  <c r="Y240" i="2"/>
  <c r="Y241" i="2"/>
  <c r="Y242" i="2"/>
  <c r="Y243" i="2"/>
  <c r="Y244" i="2"/>
  <c r="Y245" i="2"/>
  <c r="Y246" i="2"/>
  <c r="Y247" i="2"/>
  <c r="Y248" i="2"/>
  <c r="Y249" i="2"/>
  <c r="Y250" i="2"/>
  <c r="Y251" i="2"/>
  <c r="Y252" i="2"/>
  <c r="Y253" i="2"/>
  <c r="X2" i="2"/>
  <c r="X3" i="2"/>
  <c r="X4" i="2"/>
  <c r="X5" i="2"/>
  <c r="X6" i="2"/>
  <c r="X7" i="2"/>
  <c r="X8" i="2"/>
  <c r="X9" i="2"/>
  <c r="X10" i="2"/>
  <c r="X11" i="2"/>
  <c r="X12" i="2"/>
  <c r="X13" i="2"/>
  <c r="X14" i="2"/>
  <c r="X15" i="2"/>
  <c r="X16" i="2"/>
  <c r="X17" i="2"/>
  <c r="X18" i="2"/>
  <c r="X19" i="2"/>
  <c r="X20" i="2"/>
  <c r="X21" i="2"/>
  <c r="X22" i="2"/>
  <c r="X23" i="2"/>
  <c r="X24" i="2"/>
  <c r="X25" i="2"/>
  <c r="X26" i="2"/>
  <c r="X27" i="2"/>
  <c r="X28" i="2"/>
  <c r="X29" i="2"/>
  <c r="X30" i="2"/>
  <c r="X31" i="2"/>
  <c r="X32" i="2"/>
  <c r="X33" i="2"/>
  <c r="X34" i="2"/>
  <c r="X35" i="2"/>
  <c r="X36" i="2"/>
  <c r="X37" i="2"/>
  <c r="X38" i="2"/>
  <c r="X39" i="2"/>
  <c r="X40" i="2"/>
  <c r="X41" i="2"/>
  <c r="X42" i="2"/>
  <c r="X43" i="2"/>
  <c r="X44" i="2"/>
  <c r="X45" i="2"/>
  <c r="X46" i="2"/>
  <c r="X47" i="2"/>
  <c r="X48" i="2"/>
  <c r="X49" i="2"/>
  <c r="X50" i="2"/>
  <c r="X51" i="2"/>
  <c r="X52" i="2"/>
  <c r="X53" i="2"/>
  <c r="X54" i="2"/>
  <c r="X55" i="2"/>
  <c r="X56" i="2"/>
  <c r="X57" i="2"/>
  <c r="X58" i="2"/>
  <c r="X59" i="2"/>
  <c r="X60" i="2"/>
  <c r="X61" i="2"/>
  <c r="X62" i="2"/>
  <c r="X63" i="2"/>
  <c r="X64" i="2"/>
  <c r="X65" i="2"/>
  <c r="X66" i="2"/>
  <c r="X67" i="2"/>
  <c r="X68" i="2"/>
  <c r="X69" i="2"/>
  <c r="X70" i="2"/>
  <c r="X71" i="2"/>
  <c r="X72" i="2"/>
  <c r="X73" i="2"/>
  <c r="X74" i="2"/>
  <c r="X75" i="2"/>
  <c r="X76" i="2"/>
  <c r="X77" i="2"/>
  <c r="X78" i="2"/>
  <c r="X79" i="2"/>
  <c r="X80" i="2"/>
  <c r="X81" i="2"/>
  <c r="X82" i="2"/>
  <c r="X83" i="2"/>
  <c r="X84" i="2"/>
  <c r="X85" i="2"/>
  <c r="X86" i="2"/>
  <c r="X87" i="2"/>
  <c r="X88" i="2"/>
  <c r="X89" i="2"/>
  <c r="X90" i="2"/>
  <c r="X91" i="2"/>
  <c r="X92" i="2"/>
  <c r="X93" i="2"/>
  <c r="X94" i="2"/>
  <c r="X95" i="2"/>
  <c r="X96" i="2"/>
  <c r="X97" i="2"/>
  <c r="X98" i="2"/>
  <c r="X99" i="2"/>
  <c r="X100" i="2"/>
  <c r="X101" i="2"/>
  <c r="X102" i="2"/>
  <c r="X103" i="2"/>
  <c r="X104" i="2"/>
  <c r="X105" i="2"/>
  <c r="X106" i="2"/>
  <c r="X107" i="2"/>
  <c r="X108" i="2"/>
  <c r="X109" i="2"/>
  <c r="X110" i="2"/>
  <c r="X111" i="2"/>
  <c r="X112" i="2"/>
  <c r="X113" i="2"/>
  <c r="X114" i="2"/>
  <c r="X115" i="2"/>
  <c r="X116" i="2"/>
  <c r="X117" i="2"/>
  <c r="X118" i="2"/>
  <c r="X119" i="2"/>
  <c r="X120" i="2"/>
  <c r="X121" i="2"/>
  <c r="X122" i="2"/>
  <c r="X123" i="2"/>
  <c r="X124" i="2"/>
  <c r="X125" i="2"/>
  <c r="X126" i="2"/>
  <c r="X127" i="2"/>
  <c r="X128" i="2"/>
  <c r="X129" i="2"/>
  <c r="X130" i="2"/>
  <c r="X131" i="2"/>
  <c r="X132" i="2"/>
  <c r="X133" i="2"/>
  <c r="X134" i="2"/>
  <c r="X135" i="2"/>
  <c r="X136" i="2"/>
  <c r="X137" i="2"/>
  <c r="X138" i="2"/>
  <c r="X139" i="2"/>
  <c r="X140" i="2"/>
  <c r="X141" i="2"/>
  <c r="X142" i="2"/>
  <c r="X143" i="2"/>
  <c r="X144" i="2"/>
  <c r="X145" i="2"/>
  <c r="X146" i="2"/>
  <c r="X147" i="2"/>
  <c r="X148" i="2"/>
  <c r="X149" i="2"/>
  <c r="X150" i="2"/>
  <c r="X151" i="2"/>
  <c r="X152" i="2"/>
  <c r="X153" i="2"/>
  <c r="X154" i="2"/>
  <c r="X155" i="2"/>
  <c r="X156" i="2"/>
  <c r="X157" i="2"/>
  <c r="X158" i="2"/>
  <c r="X159" i="2"/>
  <c r="X160" i="2"/>
  <c r="X161" i="2"/>
  <c r="X162" i="2"/>
  <c r="X163" i="2"/>
  <c r="X164" i="2"/>
  <c r="X165" i="2"/>
  <c r="X166" i="2"/>
  <c r="X167" i="2"/>
  <c r="X168" i="2"/>
  <c r="X169" i="2"/>
  <c r="X170" i="2"/>
  <c r="X171" i="2"/>
  <c r="X172" i="2"/>
  <c r="X173" i="2"/>
  <c r="X174" i="2"/>
  <c r="X175" i="2"/>
  <c r="X176" i="2"/>
  <c r="X177" i="2"/>
  <c r="X178" i="2"/>
  <c r="X179" i="2"/>
  <c r="X180" i="2"/>
  <c r="X181" i="2"/>
  <c r="X182" i="2"/>
  <c r="X183" i="2"/>
  <c r="X184" i="2"/>
  <c r="X185" i="2"/>
  <c r="X186" i="2"/>
  <c r="X187" i="2"/>
  <c r="X188" i="2"/>
  <c r="X189" i="2"/>
  <c r="X190" i="2"/>
  <c r="X191" i="2"/>
  <c r="X192" i="2"/>
  <c r="X193" i="2"/>
  <c r="X194" i="2"/>
  <c r="X195" i="2"/>
  <c r="X196" i="2"/>
  <c r="X197" i="2"/>
  <c r="X198" i="2"/>
  <c r="X199" i="2"/>
  <c r="X200" i="2"/>
  <c r="X201" i="2"/>
  <c r="X202" i="2"/>
  <c r="X203" i="2"/>
  <c r="X204" i="2"/>
  <c r="X205" i="2"/>
  <c r="X206" i="2"/>
  <c r="X207" i="2"/>
  <c r="X208" i="2"/>
  <c r="X209" i="2"/>
  <c r="X210" i="2"/>
  <c r="X211" i="2"/>
  <c r="X212" i="2"/>
  <c r="X213" i="2"/>
  <c r="X214" i="2"/>
  <c r="X215" i="2"/>
  <c r="X216" i="2"/>
  <c r="X217" i="2"/>
  <c r="X218" i="2"/>
  <c r="X219" i="2"/>
  <c r="X220" i="2"/>
  <c r="X221" i="2"/>
  <c r="X222" i="2"/>
  <c r="X223" i="2"/>
  <c r="X224" i="2"/>
  <c r="X225" i="2"/>
  <c r="X226" i="2"/>
  <c r="X227" i="2"/>
  <c r="X228" i="2"/>
  <c r="X229" i="2"/>
  <c r="X230" i="2"/>
  <c r="X231" i="2"/>
  <c r="X232" i="2"/>
  <c r="X233" i="2"/>
  <c r="X234" i="2"/>
  <c r="X235" i="2"/>
  <c r="X236" i="2"/>
  <c r="X237" i="2"/>
  <c r="X238" i="2"/>
  <c r="X239" i="2"/>
  <c r="X240" i="2"/>
  <c r="X241" i="2"/>
  <c r="X242" i="2"/>
  <c r="X243" i="2"/>
  <c r="X244" i="2"/>
  <c r="X245" i="2"/>
  <c r="X246" i="2"/>
  <c r="X247" i="2"/>
  <c r="X248" i="2"/>
  <c r="X249" i="2"/>
  <c r="X250" i="2"/>
  <c r="X251" i="2"/>
  <c r="X252" i="2"/>
  <c r="X253" i="2"/>
  <c r="W23" i="2"/>
  <c r="W244" i="2"/>
  <c r="W83" i="2"/>
  <c r="W157" i="2"/>
  <c r="W6" i="2"/>
  <c r="W5" i="2"/>
  <c r="W218" i="2"/>
  <c r="W63" i="2"/>
  <c r="W121" i="2"/>
  <c r="W243" i="2"/>
  <c r="W39" i="2"/>
  <c r="W187" i="2"/>
  <c r="W98" i="2"/>
  <c r="W233" i="2"/>
  <c r="W76" i="2"/>
  <c r="W81" i="2"/>
  <c r="W102" i="2"/>
  <c r="W70" i="2"/>
  <c r="W73" i="2"/>
  <c r="W241" i="2"/>
  <c r="W144" i="2"/>
  <c r="W129" i="2"/>
  <c r="W184" i="2"/>
  <c r="W68" i="2"/>
  <c r="W164" i="2"/>
  <c r="W150" i="2"/>
  <c r="W217" i="2"/>
  <c r="W47" i="2"/>
  <c r="W28" i="2"/>
  <c r="W57" i="2"/>
  <c r="W42" i="2"/>
  <c r="W77" i="2"/>
  <c r="W105" i="2"/>
  <c r="W45" i="2"/>
  <c r="W7" i="2"/>
  <c r="W197" i="2"/>
  <c r="W133" i="2"/>
  <c r="W131" i="2"/>
  <c r="W125" i="2"/>
  <c r="W212" i="2"/>
  <c r="W109" i="2"/>
  <c r="W196" i="2"/>
  <c r="W106" i="2"/>
  <c r="W172" i="2"/>
  <c r="W86" i="2"/>
  <c r="W242" i="2"/>
  <c r="W56" i="2"/>
  <c r="W245" i="2"/>
  <c r="W236" i="2"/>
  <c r="W36" i="2"/>
  <c r="W156" i="2"/>
  <c r="W190" i="2"/>
  <c r="W53" i="2"/>
  <c r="W207" i="2"/>
  <c r="W143" i="2"/>
  <c r="W16" i="2"/>
  <c r="W149" i="2"/>
  <c r="W238" i="2"/>
  <c r="W108" i="2"/>
  <c r="W120" i="2"/>
  <c r="W90" i="2"/>
  <c r="W151" i="2"/>
  <c r="W166" i="2"/>
  <c r="W230" i="2"/>
  <c r="W235" i="2"/>
  <c r="W180" i="2"/>
  <c r="W8" i="2"/>
  <c r="W67" i="2"/>
  <c r="W31" i="2"/>
  <c r="W115" i="2"/>
  <c r="W167" i="2"/>
  <c r="W210" i="2"/>
  <c r="W128" i="2"/>
  <c r="W92" i="2"/>
  <c r="W205" i="2"/>
  <c r="W229" i="2"/>
  <c r="W203" i="2"/>
  <c r="W84" i="2"/>
  <c r="W111" i="2"/>
  <c r="W46" i="2"/>
  <c r="W113" i="2"/>
  <c r="W26" i="2"/>
  <c r="W189" i="2"/>
  <c r="W75" i="2"/>
  <c r="W137" i="2"/>
  <c r="W142" i="2"/>
  <c r="W110" i="2"/>
  <c r="W18" i="2"/>
  <c r="W74" i="2"/>
  <c r="W201" i="2"/>
  <c r="W138" i="2"/>
  <c r="W232" i="2"/>
  <c r="W162" i="2"/>
  <c r="W246" i="2"/>
  <c r="W208" i="2"/>
  <c r="W152" i="2"/>
  <c r="W50" i="2"/>
  <c r="W69" i="2"/>
  <c r="W51" i="2"/>
  <c r="W20" i="2"/>
  <c r="W25" i="2"/>
  <c r="W247" i="2"/>
  <c r="W176" i="2"/>
  <c r="W181" i="2"/>
  <c r="W89" i="2"/>
  <c r="W96" i="2"/>
  <c r="W186" i="2"/>
  <c r="W24" i="2"/>
  <c r="W132" i="2"/>
  <c r="W97" i="2"/>
  <c r="W135" i="2"/>
  <c r="W58" i="2"/>
  <c r="W114" i="2"/>
  <c r="W148" i="2"/>
  <c r="W60" i="2"/>
  <c r="W200" i="2"/>
  <c r="W126" i="2"/>
  <c r="W64" i="2"/>
  <c r="W173" i="2"/>
  <c r="W71" i="2"/>
  <c r="W178" i="2"/>
  <c r="W168" i="2"/>
  <c r="W32" i="2"/>
  <c r="W61" i="2"/>
  <c r="W107" i="2"/>
  <c r="W2" i="2"/>
  <c r="W231" i="2"/>
  <c r="W72" i="2"/>
  <c r="W127" i="2"/>
  <c r="W79" i="2"/>
  <c r="W85" i="2"/>
  <c r="W99" i="2"/>
  <c r="W182" i="2"/>
  <c r="W78" i="2"/>
  <c r="W183" i="2"/>
  <c r="W224" i="2"/>
  <c r="W146" i="2"/>
  <c r="W116" i="2"/>
  <c r="W171" i="2"/>
  <c r="W55" i="2"/>
  <c r="W49" i="2"/>
  <c r="W17" i="2"/>
  <c r="W123" i="2"/>
  <c r="W59" i="2"/>
  <c r="W228" i="2"/>
  <c r="W170" i="2"/>
  <c r="W12" i="2"/>
  <c r="W66" i="2"/>
  <c r="W104" i="2"/>
  <c r="W34" i="2"/>
  <c r="W21" i="2"/>
  <c r="W87" i="2"/>
  <c r="W94" i="2"/>
  <c r="W216" i="2"/>
  <c r="W163" i="2"/>
  <c r="W220" i="2"/>
  <c r="W65" i="2"/>
  <c r="W193" i="2"/>
  <c r="W191" i="2"/>
  <c r="W169" i="2"/>
  <c r="W15" i="2"/>
  <c r="W29" i="2"/>
  <c r="W252" i="2"/>
  <c r="W202" i="2"/>
  <c r="W177" i="2"/>
  <c r="W13" i="2"/>
  <c r="W204" i="2"/>
  <c r="W214" i="2"/>
  <c r="W119" i="2"/>
  <c r="W48" i="2"/>
  <c r="W141" i="2"/>
  <c r="W192" i="2"/>
  <c r="W155" i="2"/>
  <c r="W44" i="2"/>
  <c r="W100" i="2"/>
  <c r="W223" i="2"/>
  <c r="W161" i="2"/>
  <c r="W54" i="2"/>
  <c r="W95" i="2"/>
  <c r="W22" i="2"/>
  <c r="W249" i="2"/>
  <c r="W10" i="2"/>
  <c r="W227" i="2"/>
  <c r="W62" i="2"/>
  <c r="W43" i="2"/>
  <c r="W37" i="2"/>
  <c r="W27" i="2"/>
  <c r="W251" i="2"/>
  <c r="W140" i="2"/>
  <c r="W33" i="2"/>
  <c r="W147" i="2"/>
  <c r="W91" i="2"/>
  <c r="W250" i="2"/>
  <c r="W153" i="2"/>
  <c r="W226" i="2"/>
  <c r="W219" i="2"/>
  <c r="W206" i="2"/>
  <c r="W103" i="2"/>
  <c r="W158" i="2"/>
  <c r="W159" i="2"/>
  <c r="W179" i="2"/>
  <c r="W174" i="2"/>
  <c r="W248" i="2"/>
  <c r="W145" i="2"/>
  <c r="W9" i="2"/>
  <c r="W165" i="2"/>
  <c r="W11" i="2"/>
  <c r="W136" i="2"/>
  <c r="W185" i="2"/>
  <c r="W253" i="2"/>
  <c r="W195" i="2"/>
  <c r="W30" i="2"/>
  <c r="W130" i="2"/>
  <c r="W124" i="2"/>
  <c r="W160" i="2"/>
  <c r="W221" i="2"/>
  <c r="W239" i="2"/>
  <c r="W117" i="2"/>
  <c r="W118" i="2"/>
  <c r="W194" i="2"/>
  <c r="W213" i="2"/>
  <c r="W122" i="2"/>
  <c r="W222" i="2"/>
  <c r="W234" i="2"/>
  <c r="W112" i="2"/>
  <c r="W225" i="2"/>
  <c r="W101" i="2"/>
  <c r="W80" i="2"/>
  <c r="W215" i="2"/>
  <c r="W40" i="2"/>
  <c r="W35" i="2"/>
  <c r="W199" i="2"/>
  <c r="W211" i="2"/>
  <c r="W38" i="2"/>
  <c r="W198" i="2"/>
  <c r="W134" i="2"/>
  <c r="W19" i="2"/>
  <c r="W3" i="2"/>
  <c r="W154" i="2"/>
  <c r="W237" i="2"/>
  <c r="W188" i="2"/>
  <c r="W93" i="2"/>
  <c r="W139" i="2"/>
  <c r="W41" i="2"/>
  <c r="W240" i="2"/>
  <c r="W88" i="2"/>
  <c r="W4" i="2"/>
  <c r="W209" i="2"/>
  <c r="W82" i="2"/>
  <c r="W52" i="2"/>
  <c r="W175" i="2"/>
  <c r="W14" i="2"/>
  <c r="V23" i="2"/>
  <c r="V244" i="2"/>
  <c r="V83" i="2"/>
  <c r="V157" i="2"/>
  <c r="V6" i="2"/>
  <c r="V5" i="2"/>
  <c r="V218" i="2"/>
  <c r="V63" i="2"/>
  <c r="V121" i="2"/>
  <c r="V243" i="2"/>
  <c r="V39" i="2"/>
  <c r="V187" i="2"/>
  <c r="V98" i="2"/>
  <c r="V233" i="2"/>
  <c r="V76" i="2"/>
  <c r="V81" i="2"/>
  <c r="V102" i="2"/>
  <c r="V70" i="2"/>
  <c r="V73" i="2"/>
  <c r="V241" i="2"/>
  <c r="V144" i="2"/>
  <c r="V129" i="2"/>
  <c r="V184" i="2"/>
  <c r="V68" i="2"/>
  <c r="V164" i="2"/>
  <c r="V150" i="2"/>
  <c r="V217" i="2"/>
  <c r="V47" i="2"/>
  <c r="V28" i="2"/>
  <c r="V57" i="2"/>
  <c r="V42" i="2"/>
  <c r="V77" i="2"/>
  <c r="V105" i="2"/>
  <c r="V45" i="2"/>
  <c r="V7" i="2"/>
  <c r="V197" i="2"/>
  <c r="V133" i="2"/>
  <c r="V131" i="2"/>
  <c r="V125" i="2"/>
  <c r="V212" i="2"/>
  <c r="V109" i="2"/>
  <c r="V196" i="2"/>
  <c r="V106" i="2"/>
  <c r="V172" i="2"/>
  <c r="V86" i="2"/>
  <c r="V242" i="2"/>
  <c r="V56" i="2"/>
  <c r="V245" i="2"/>
  <c r="V236" i="2"/>
  <c r="V36" i="2"/>
  <c r="V156" i="2"/>
  <c r="V190" i="2"/>
  <c r="V53" i="2"/>
  <c r="V207" i="2"/>
  <c r="V143" i="2"/>
  <c r="V16" i="2"/>
  <c r="V149" i="2"/>
  <c r="V238" i="2"/>
  <c r="V108" i="2"/>
  <c r="V120" i="2"/>
  <c r="V90" i="2"/>
  <c r="V151" i="2"/>
  <c r="V166" i="2"/>
  <c r="V230" i="2"/>
  <c r="V235" i="2"/>
  <c r="V180" i="2"/>
  <c r="V8" i="2"/>
  <c r="V67" i="2"/>
  <c r="V31" i="2"/>
  <c r="V115" i="2"/>
  <c r="V167" i="2"/>
  <c r="V210" i="2"/>
  <c r="V128" i="2"/>
  <c r="V92" i="2"/>
  <c r="V205" i="2"/>
  <c r="V229" i="2"/>
  <c r="V203" i="2"/>
  <c r="V84" i="2"/>
  <c r="V111" i="2"/>
  <c r="V46" i="2"/>
  <c r="V113" i="2"/>
  <c r="V26" i="2"/>
  <c r="V189" i="2"/>
  <c r="V75" i="2"/>
  <c r="V137" i="2"/>
  <c r="V142" i="2"/>
  <c r="V110" i="2"/>
  <c r="V18" i="2"/>
  <c r="V74" i="2"/>
  <c r="V201" i="2"/>
  <c r="V138" i="2"/>
  <c r="V232" i="2"/>
  <c r="V162" i="2"/>
  <c r="V246" i="2"/>
  <c r="V208" i="2"/>
  <c r="V152" i="2"/>
  <c r="V50" i="2"/>
  <c r="V69" i="2"/>
  <c r="V51" i="2"/>
  <c r="V20" i="2"/>
  <c r="V25" i="2"/>
  <c r="V247" i="2"/>
  <c r="V176" i="2"/>
  <c r="V181" i="2"/>
  <c r="V89" i="2"/>
  <c r="V96" i="2"/>
  <c r="V186" i="2"/>
  <c r="V24" i="2"/>
  <c r="V132" i="2"/>
  <c r="V97" i="2"/>
  <c r="V135" i="2"/>
  <c r="V58" i="2"/>
  <c r="V114" i="2"/>
  <c r="V148" i="2"/>
  <c r="V60" i="2"/>
  <c r="V200" i="2"/>
  <c r="V126" i="2"/>
  <c r="V64" i="2"/>
  <c r="V173" i="2"/>
  <c r="V71" i="2"/>
  <c r="V178" i="2"/>
  <c r="V168" i="2"/>
  <c r="V32" i="2"/>
  <c r="V61" i="2"/>
  <c r="V107" i="2"/>
  <c r="V2" i="2"/>
  <c r="V231" i="2"/>
  <c r="V72" i="2"/>
  <c r="V127" i="2"/>
  <c r="V79" i="2"/>
  <c r="V85" i="2"/>
  <c r="V99" i="2"/>
  <c r="V182" i="2"/>
  <c r="V78" i="2"/>
  <c r="V183" i="2"/>
  <c r="V224" i="2"/>
  <c r="V146" i="2"/>
  <c r="V116" i="2"/>
  <c r="V171" i="2"/>
  <c r="V55" i="2"/>
  <c r="V49" i="2"/>
  <c r="V17" i="2"/>
  <c r="V123" i="2"/>
  <c r="V59" i="2"/>
  <c r="V228" i="2"/>
  <c r="V170" i="2"/>
  <c r="V12" i="2"/>
  <c r="V66" i="2"/>
  <c r="V104" i="2"/>
  <c r="V34" i="2"/>
  <c r="V21" i="2"/>
  <c r="V87" i="2"/>
  <c r="V94" i="2"/>
  <c r="V216" i="2"/>
  <c r="V163" i="2"/>
  <c r="V220" i="2"/>
  <c r="V65" i="2"/>
  <c r="V193" i="2"/>
  <c r="V191" i="2"/>
  <c r="V169" i="2"/>
  <c r="V15" i="2"/>
  <c r="V29" i="2"/>
  <c r="V252" i="2"/>
  <c r="V202" i="2"/>
  <c r="V177" i="2"/>
  <c r="V13" i="2"/>
  <c r="V204" i="2"/>
  <c r="V214" i="2"/>
  <c r="V119" i="2"/>
  <c r="V48" i="2"/>
  <c r="V141" i="2"/>
  <c r="V192" i="2"/>
  <c r="V155" i="2"/>
  <c r="V44" i="2"/>
  <c r="V100" i="2"/>
  <c r="V223" i="2"/>
  <c r="V161" i="2"/>
  <c r="V54" i="2"/>
  <c r="V95" i="2"/>
  <c r="V22" i="2"/>
  <c r="V249" i="2"/>
  <c r="V10" i="2"/>
  <c r="V227" i="2"/>
  <c r="V62" i="2"/>
  <c r="V43" i="2"/>
  <c r="V37" i="2"/>
  <c r="V27" i="2"/>
  <c r="V251" i="2"/>
  <c r="V140" i="2"/>
  <c r="V33" i="2"/>
  <c r="V147" i="2"/>
  <c r="V91" i="2"/>
  <c r="V250" i="2"/>
  <c r="V153" i="2"/>
  <c r="V226" i="2"/>
  <c r="V219" i="2"/>
  <c r="V206" i="2"/>
  <c r="V103" i="2"/>
  <c r="V158" i="2"/>
  <c r="V159" i="2"/>
  <c r="V179" i="2"/>
  <c r="V174" i="2"/>
  <c r="V248" i="2"/>
  <c r="V145" i="2"/>
  <c r="V9" i="2"/>
  <c r="V165" i="2"/>
  <c r="V11" i="2"/>
  <c r="V136" i="2"/>
  <c r="V185" i="2"/>
  <c r="V253" i="2"/>
  <c r="V195" i="2"/>
  <c r="V30" i="2"/>
  <c r="V130" i="2"/>
  <c r="V124" i="2"/>
  <c r="V160" i="2"/>
  <c r="V221" i="2"/>
  <c r="V239" i="2"/>
  <c r="V117" i="2"/>
  <c r="V118" i="2"/>
  <c r="V194" i="2"/>
  <c r="V213" i="2"/>
  <c r="V122" i="2"/>
  <c r="V222" i="2"/>
  <c r="V234" i="2"/>
  <c r="V112" i="2"/>
  <c r="V225" i="2"/>
  <c r="V101" i="2"/>
  <c r="V80" i="2"/>
  <c r="V215" i="2"/>
  <c r="V40" i="2"/>
  <c r="V35" i="2"/>
  <c r="V199" i="2"/>
  <c r="V211" i="2"/>
  <c r="V38" i="2"/>
  <c r="V198" i="2"/>
  <c r="V134" i="2"/>
  <c r="V19" i="2"/>
  <c r="V3" i="2"/>
  <c r="V154" i="2"/>
  <c r="V237" i="2"/>
  <c r="V188" i="2"/>
  <c r="V93" i="2"/>
  <c r="V139" i="2"/>
  <c r="V41" i="2"/>
  <c r="V240" i="2"/>
  <c r="V88" i="2"/>
  <c r="V4" i="2"/>
  <c r="V209" i="2"/>
  <c r="V82" i="2"/>
  <c r="V52" i="2"/>
  <c r="V175" i="2"/>
  <c r="V14" i="2"/>
  <c r="U23" i="2"/>
  <c r="U244" i="2"/>
  <c r="U83" i="2"/>
  <c r="U157" i="2"/>
  <c r="U6" i="2"/>
  <c r="U5" i="2"/>
  <c r="U218" i="2"/>
  <c r="U63" i="2"/>
  <c r="U121" i="2"/>
  <c r="U243" i="2"/>
  <c r="U39" i="2"/>
  <c r="U187" i="2"/>
  <c r="U98" i="2"/>
  <c r="U233" i="2"/>
  <c r="U76" i="2"/>
  <c r="U81" i="2"/>
  <c r="U102" i="2"/>
  <c r="U70" i="2"/>
  <c r="U73" i="2"/>
  <c r="U241" i="2"/>
  <c r="U144" i="2"/>
  <c r="U129" i="2"/>
  <c r="U184" i="2"/>
  <c r="U68" i="2"/>
  <c r="U164" i="2"/>
  <c r="U150" i="2"/>
  <c r="U217" i="2"/>
  <c r="U47" i="2"/>
  <c r="U28" i="2"/>
  <c r="U57" i="2"/>
  <c r="U42" i="2"/>
  <c r="U77" i="2"/>
  <c r="U105" i="2"/>
  <c r="U45" i="2"/>
  <c r="U7" i="2"/>
  <c r="U197" i="2"/>
  <c r="U133" i="2"/>
  <c r="U131" i="2"/>
  <c r="U125" i="2"/>
  <c r="U212" i="2"/>
  <c r="U109" i="2"/>
  <c r="U196" i="2"/>
  <c r="U106" i="2"/>
  <c r="U172" i="2"/>
  <c r="U86" i="2"/>
  <c r="U242" i="2"/>
  <c r="U56" i="2"/>
  <c r="U245" i="2"/>
  <c r="U236" i="2"/>
  <c r="U36" i="2"/>
  <c r="U156" i="2"/>
  <c r="U190" i="2"/>
  <c r="U53" i="2"/>
  <c r="U207" i="2"/>
  <c r="U143" i="2"/>
  <c r="U16" i="2"/>
  <c r="U149" i="2"/>
  <c r="U238" i="2"/>
  <c r="U108" i="2"/>
  <c r="U120" i="2"/>
  <c r="U90" i="2"/>
  <c r="U151" i="2"/>
  <c r="U166" i="2"/>
  <c r="U230" i="2"/>
  <c r="U235" i="2"/>
  <c r="U180" i="2"/>
  <c r="U8" i="2"/>
  <c r="U67" i="2"/>
  <c r="U31" i="2"/>
  <c r="U115" i="2"/>
  <c r="U167" i="2"/>
  <c r="U210" i="2"/>
  <c r="U128" i="2"/>
  <c r="U92" i="2"/>
  <c r="U205" i="2"/>
  <c r="U229" i="2"/>
  <c r="U203" i="2"/>
  <c r="U84" i="2"/>
  <c r="U111" i="2"/>
  <c r="U46" i="2"/>
  <c r="U113" i="2"/>
  <c r="U26" i="2"/>
  <c r="U189" i="2"/>
  <c r="U75" i="2"/>
  <c r="U137" i="2"/>
  <c r="U142" i="2"/>
  <c r="U110" i="2"/>
  <c r="U18" i="2"/>
  <c r="U74" i="2"/>
  <c r="U201" i="2"/>
  <c r="U138" i="2"/>
  <c r="U232" i="2"/>
  <c r="U162" i="2"/>
  <c r="U246" i="2"/>
  <c r="U208" i="2"/>
  <c r="U152" i="2"/>
  <c r="U50" i="2"/>
  <c r="U69" i="2"/>
  <c r="U51" i="2"/>
  <c r="U20" i="2"/>
  <c r="U25" i="2"/>
  <c r="U247" i="2"/>
  <c r="U176" i="2"/>
  <c r="U181" i="2"/>
  <c r="U89" i="2"/>
  <c r="U96" i="2"/>
  <c r="U186" i="2"/>
  <c r="U24" i="2"/>
  <c r="U132" i="2"/>
  <c r="U97" i="2"/>
  <c r="U135" i="2"/>
  <c r="U58" i="2"/>
  <c r="U114" i="2"/>
  <c r="U148" i="2"/>
  <c r="U60" i="2"/>
  <c r="U200" i="2"/>
  <c r="U126" i="2"/>
  <c r="U64" i="2"/>
  <c r="U173" i="2"/>
  <c r="U71" i="2"/>
  <c r="U178" i="2"/>
  <c r="U168" i="2"/>
  <c r="U32" i="2"/>
  <c r="U61" i="2"/>
  <c r="U107" i="2"/>
  <c r="U2" i="2"/>
  <c r="U231" i="2"/>
  <c r="U72" i="2"/>
  <c r="U127" i="2"/>
  <c r="U79" i="2"/>
  <c r="U85" i="2"/>
  <c r="U99" i="2"/>
  <c r="U182" i="2"/>
  <c r="U78" i="2"/>
  <c r="U183" i="2"/>
  <c r="U224" i="2"/>
  <c r="U146" i="2"/>
  <c r="U116" i="2"/>
  <c r="U171" i="2"/>
  <c r="U55" i="2"/>
  <c r="U49" i="2"/>
  <c r="U17" i="2"/>
  <c r="U123" i="2"/>
  <c r="U59" i="2"/>
  <c r="U228" i="2"/>
  <c r="U170" i="2"/>
  <c r="U12" i="2"/>
  <c r="U66" i="2"/>
  <c r="U104" i="2"/>
  <c r="U34" i="2"/>
  <c r="U21" i="2"/>
  <c r="U87" i="2"/>
  <c r="U94" i="2"/>
  <c r="U216" i="2"/>
  <c r="U163" i="2"/>
  <c r="U220" i="2"/>
  <c r="U65" i="2"/>
  <c r="U193" i="2"/>
  <c r="U191" i="2"/>
  <c r="U169" i="2"/>
  <c r="U15" i="2"/>
  <c r="U29" i="2"/>
  <c r="U252" i="2"/>
  <c r="U202" i="2"/>
  <c r="U177" i="2"/>
  <c r="U13" i="2"/>
  <c r="U204" i="2"/>
  <c r="U214" i="2"/>
  <c r="U119" i="2"/>
  <c r="U48" i="2"/>
  <c r="U141" i="2"/>
  <c r="U192" i="2"/>
  <c r="U155" i="2"/>
  <c r="U44" i="2"/>
  <c r="U100" i="2"/>
  <c r="U223" i="2"/>
  <c r="U161" i="2"/>
  <c r="U54" i="2"/>
  <c r="U95" i="2"/>
  <c r="U22" i="2"/>
  <c r="U249" i="2"/>
  <c r="U10" i="2"/>
  <c r="U227" i="2"/>
  <c r="U62" i="2"/>
  <c r="U43" i="2"/>
  <c r="U37" i="2"/>
  <c r="U27" i="2"/>
  <c r="U251" i="2"/>
  <c r="U140" i="2"/>
  <c r="U33" i="2"/>
  <c r="U147" i="2"/>
  <c r="U91" i="2"/>
  <c r="U250" i="2"/>
  <c r="U153" i="2"/>
  <c r="U226" i="2"/>
  <c r="U219" i="2"/>
  <c r="U206" i="2"/>
  <c r="U103" i="2"/>
  <c r="U158" i="2"/>
  <c r="U159" i="2"/>
  <c r="U179" i="2"/>
  <c r="U174" i="2"/>
  <c r="U248" i="2"/>
  <c r="U145" i="2"/>
  <c r="U9" i="2"/>
  <c r="U165" i="2"/>
  <c r="U11" i="2"/>
  <c r="U136" i="2"/>
  <c r="U185" i="2"/>
  <c r="U253" i="2"/>
  <c r="U195" i="2"/>
  <c r="U30" i="2"/>
  <c r="U130" i="2"/>
  <c r="U124" i="2"/>
  <c r="U160" i="2"/>
  <c r="U221" i="2"/>
  <c r="U239" i="2"/>
  <c r="U117" i="2"/>
  <c r="U118" i="2"/>
  <c r="U194" i="2"/>
  <c r="U213" i="2"/>
  <c r="U122" i="2"/>
  <c r="U222" i="2"/>
  <c r="U234" i="2"/>
  <c r="U112" i="2"/>
  <c r="U225" i="2"/>
  <c r="U101" i="2"/>
  <c r="U80" i="2"/>
  <c r="U215" i="2"/>
  <c r="U40" i="2"/>
  <c r="U35" i="2"/>
  <c r="U199" i="2"/>
  <c r="U211" i="2"/>
  <c r="U38" i="2"/>
  <c r="U198" i="2"/>
  <c r="U134" i="2"/>
  <c r="U19" i="2"/>
  <c r="U3" i="2"/>
  <c r="U154" i="2"/>
  <c r="U237" i="2"/>
  <c r="U188" i="2"/>
  <c r="U93" i="2"/>
  <c r="U139" i="2"/>
  <c r="U41" i="2"/>
  <c r="U240" i="2"/>
  <c r="U88" i="2"/>
  <c r="U4" i="2"/>
  <c r="U209" i="2"/>
  <c r="U82" i="2"/>
  <c r="U52" i="2"/>
  <c r="U175" i="2"/>
  <c r="U14" i="2"/>
  <c r="T23" i="2"/>
  <c r="T244" i="2"/>
  <c r="T83" i="2"/>
  <c r="T157" i="2"/>
  <c r="T6" i="2"/>
  <c r="T5" i="2"/>
  <c r="T218" i="2"/>
  <c r="T63" i="2"/>
  <c r="T121" i="2"/>
  <c r="T243" i="2"/>
  <c r="T39" i="2"/>
  <c r="T187" i="2"/>
  <c r="T98" i="2"/>
  <c r="T233" i="2"/>
  <c r="T76" i="2"/>
  <c r="T81" i="2"/>
  <c r="T102" i="2"/>
  <c r="T70" i="2"/>
  <c r="T73" i="2"/>
  <c r="T241" i="2"/>
  <c r="T144" i="2"/>
  <c r="T129" i="2"/>
  <c r="T184" i="2"/>
  <c r="T68" i="2"/>
  <c r="T164" i="2"/>
  <c r="T150" i="2"/>
  <c r="T217" i="2"/>
  <c r="T47" i="2"/>
  <c r="T28" i="2"/>
  <c r="T57" i="2"/>
  <c r="T42" i="2"/>
  <c r="T77" i="2"/>
  <c r="T105" i="2"/>
  <c r="T45" i="2"/>
  <c r="T7" i="2"/>
  <c r="T197" i="2"/>
  <c r="T133" i="2"/>
  <c r="T131" i="2"/>
  <c r="T125" i="2"/>
  <c r="T212" i="2"/>
  <c r="T109" i="2"/>
  <c r="T196" i="2"/>
  <c r="T106" i="2"/>
  <c r="T172" i="2"/>
  <c r="T86" i="2"/>
  <c r="T242" i="2"/>
  <c r="T56" i="2"/>
  <c r="T245" i="2"/>
  <c r="T236" i="2"/>
  <c r="T36" i="2"/>
  <c r="T156" i="2"/>
  <c r="T190" i="2"/>
  <c r="T53" i="2"/>
  <c r="T207" i="2"/>
  <c r="T143" i="2"/>
  <c r="T16" i="2"/>
  <c r="T149" i="2"/>
  <c r="T238" i="2"/>
  <c r="T108" i="2"/>
  <c r="T120" i="2"/>
  <c r="T90" i="2"/>
  <c r="T151" i="2"/>
  <c r="T166" i="2"/>
  <c r="T230" i="2"/>
  <c r="T235" i="2"/>
  <c r="T180" i="2"/>
  <c r="T8" i="2"/>
  <c r="T67" i="2"/>
  <c r="T31" i="2"/>
  <c r="T115" i="2"/>
  <c r="T167" i="2"/>
  <c r="T210" i="2"/>
  <c r="T128" i="2"/>
  <c r="T92" i="2"/>
  <c r="T205" i="2"/>
  <c r="T229" i="2"/>
  <c r="T203" i="2"/>
  <c r="T84" i="2"/>
  <c r="T111" i="2"/>
  <c r="T46" i="2"/>
  <c r="T113" i="2"/>
  <c r="T26" i="2"/>
  <c r="T189" i="2"/>
  <c r="T75" i="2"/>
  <c r="T137" i="2"/>
  <c r="T142" i="2"/>
  <c r="T110" i="2"/>
  <c r="T18" i="2"/>
  <c r="T74" i="2"/>
  <c r="T201" i="2"/>
  <c r="T138" i="2"/>
  <c r="T232" i="2"/>
  <c r="T162" i="2"/>
  <c r="T246" i="2"/>
  <c r="T208" i="2"/>
  <c r="T152" i="2"/>
  <c r="T50" i="2"/>
  <c r="T69" i="2"/>
  <c r="T51" i="2"/>
  <c r="T20" i="2"/>
  <c r="T25" i="2"/>
  <c r="T247" i="2"/>
  <c r="T176" i="2"/>
  <c r="T181" i="2"/>
  <c r="T89" i="2"/>
  <c r="T96" i="2"/>
  <c r="T186" i="2"/>
  <c r="T24" i="2"/>
  <c r="T132" i="2"/>
  <c r="T97" i="2"/>
  <c r="T135" i="2"/>
  <c r="T58" i="2"/>
  <c r="T114" i="2"/>
  <c r="T148" i="2"/>
  <c r="T60" i="2"/>
  <c r="T200" i="2"/>
  <c r="T126" i="2"/>
  <c r="T64" i="2"/>
  <c r="T173" i="2"/>
  <c r="T71" i="2"/>
  <c r="T178" i="2"/>
  <c r="T168" i="2"/>
  <c r="T32" i="2"/>
  <c r="T61" i="2"/>
  <c r="T107" i="2"/>
  <c r="T2" i="2"/>
  <c r="T231" i="2"/>
  <c r="T72" i="2"/>
  <c r="T127" i="2"/>
  <c r="T79" i="2"/>
  <c r="T85" i="2"/>
  <c r="T99" i="2"/>
  <c r="T182" i="2"/>
  <c r="T78" i="2"/>
  <c r="T183" i="2"/>
  <c r="T224" i="2"/>
  <c r="T146" i="2"/>
  <c r="T116" i="2"/>
  <c r="T171" i="2"/>
  <c r="T55" i="2"/>
  <c r="T49" i="2"/>
  <c r="T17" i="2"/>
  <c r="T123" i="2"/>
  <c r="T59" i="2"/>
  <c r="T228" i="2"/>
  <c r="T170" i="2"/>
  <c r="T12" i="2"/>
  <c r="T66" i="2"/>
  <c r="T104" i="2"/>
  <c r="T34" i="2"/>
  <c r="T21" i="2"/>
  <c r="T87" i="2"/>
  <c r="T94" i="2"/>
  <c r="T216" i="2"/>
  <c r="T163" i="2"/>
  <c r="T220" i="2"/>
  <c r="T65" i="2"/>
  <c r="T193" i="2"/>
  <c r="T191" i="2"/>
  <c r="T169" i="2"/>
  <c r="T15" i="2"/>
  <c r="T29" i="2"/>
  <c r="T252" i="2"/>
  <c r="T202" i="2"/>
  <c r="T177" i="2"/>
  <c r="T13" i="2"/>
  <c r="T204" i="2"/>
  <c r="T214" i="2"/>
  <c r="T119" i="2"/>
  <c r="T48" i="2"/>
  <c r="T141" i="2"/>
  <c r="T192" i="2"/>
  <c r="T155" i="2"/>
  <c r="T44" i="2"/>
  <c r="T100" i="2"/>
  <c r="T223" i="2"/>
  <c r="T161" i="2"/>
  <c r="T54" i="2"/>
  <c r="T95" i="2"/>
  <c r="T22" i="2"/>
  <c r="T249" i="2"/>
  <c r="T10" i="2"/>
  <c r="T227" i="2"/>
  <c r="T62" i="2"/>
  <c r="T43" i="2"/>
  <c r="T37" i="2"/>
  <c r="T27" i="2"/>
  <c r="T251" i="2"/>
  <c r="T140" i="2"/>
  <c r="T33" i="2"/>
  <c r="T147" i="2"/>
  <c r="T91" i="2"/>
  <c r="T250" i="2"/>
  <c r="T153" i="2"/>
  <c r="T226" i="2"/>
  <c r="T219" i="2"/>
  <c r="T206" i="2"/>
  <c r="T103" i="2"/>
  <c r="T158" i="2"/>
  <c r="T159" i="2"/>
  <c r="T179" i="2"/>
  <c r="T174" i="2"/>
  <c r="T248" i="2"/>
  <c r="T145" i="2"/>
  <c r="T9" i="2"/>
  <c r="T165" i="2"/>
  <c r="T11" i="2"/>
  <c r="T136" i="2"/>
  <c r="T185" i="2"/>
  <c r="T253" i="2"/>
  <c r="T195" i="2"/>
  <c r="T30" i="2"/>
  <c r="T130" i="2"/>
  <c r="T124" i="2"/>
  <c r="T160" i="2"/>
  <c r="T221" i="2"/>
  <c r="T239" i="2"/>
  <c r="T117" i="2"/>
  <c r="T118" i="2"/>
  <c r="T194" i="2"/>
  <c r="T213" i="2"/>
  <c r="T122" i="2"/>
  <c r="T222" i="2"/>
  <c r="T234" i="2"/>
  <c r="T112" i="2"/>
  <c r="T225" i="2"/>
  <c r="T101" i="2"/>
  <c r="T80" i="2"/>
  <c r="T215" i="2"/>
  <c r="T40" i="2"/>
  <c r="T35" i="2"/>
  <c r="T199" i="2"/>
  <c r="T211" i="2"/>
  <c r="T38" i="2"/>
  <c r="T198" i="2"/>
  <c r="T134" i="2"/>
  <c r="T19" i="2"/>
  <c r="T3" i="2"/>
  <c r="T154" i="2"/>
  <c r="T237" i="2"/>
  <c r="T188" i="2"/>
  <c r="T93" i="2"/>
  <c r="T139" i="2"/>
  <c r="T41" i="2"/>
  <c r="T240" i="2"/>
  <c r="T88" i="2"/>
  <c r="T4" i="2"/>
  <c r="T209" i="2"/>
  <c r="T82" i="2"/>
  <c r="T52" i="2"/>
  <c r="T175" i="2"/>
  <c r="T14" i="2"/>
  <c r="S23" i="2"/>
  <c r="S244" i="2"/>
  <c r="S83" i="2"/>
  <c r="S157" i="2"/>
  <c r="S6" i="2"/>
  <c r="S5" i="2"/>
  <c r="S218" i="2"/>
  <c r="S63" i="2"/>
  <c r="S121" i="2"/>
  <c r="S243" i="2"/>
  <c r="S39" i="2"/>
  <c r="S187" i="2"/>
  <c r="S98" i="2"/>
  <c r="S233" i="2"/>
  <c r="S76" i="2"/>
  <c r="S81" i="2"/>
  <c r="S102" i="2"/>
  <c r="S70" i="2"/>
  <c r="S73" i="2"/>
  <c r="S241" i="2"/>
  <c r="S144" i="2"/>
  <c r="S129" i="2"/>
  <c r="S184" i="2"/>
  <c r="S68" i="2"/>
  <c r="S164" i="2"/>
  <c r="S150" i="2"/>
  <c r="S217" i="2"/>
  <c r="S47" i="2"/>
  <c r="S28" i="2"/>
  <c r="S57" i="2"/>
  <c r="S42" i="2"/>
  <c r="S77" i="2"/>
  <c r="S105" i="2"/>
  <c r="S45" i="2"/>
  <c r="S7" i="2"/>
  <c r="S197" i="2"/>
  <c r="S133" i="2"/>
  <c r="S131" i="2"/>
  <c r="S125" i="2"/>
  <c r="S212" i="2"/>
  <c r="S109" i="2"/>
  <c r="S196" i="2"/>
  <c r="S106" i="2"/>
  <c r="S172" i="2"/>
  <c r="S86" i="2"/>
  <c r="S242" i="2"/>
  <c r="S56" i="2"/>
  <c r="S245" i="2"/>
  <c r="S236" i="2"/>
  <c r="S36" i="2"/>
  <c r="S156" i="2"/>
  <c r="S190" i="2"/>
  <c r="S53" i="2"/>
  <c r="S207" i="2"/>
  <c r="S143" i="2"/>
  <c r="S16" i="2"/>
  <c r="S149" i="2"/>
  <c r="S238" i="2"/>
  <c r="S108" i="2"/>
  <c r="S120" i="2"/>
  <c r="S90" i="2"/>
  <c r="S151" i="2"/>
  <c r="S166" i="2"/>
  <c r="S230" i="2"/>
  <c r="S235" i="2"/>
  <c r="S180" i="2"/>
  <c r="S8" i="2"/>
  <c r="S67" i="2"/>
  <c r="S31" i="2"/>
  <c r="S115" i="2"/>
  <c r="S167" i="2"/>
  <c r="S210" i="2"/>
  <c r="S128" i="2"/>
  <c r="S92" i="2"/>
  <c r="S205" i="2"/>
  <c r="S229" i="2"/>
  <c r="S203" i="2"/>
  <c r="S84" i="2"/>
  <c r="S111" i="2"/>
  <c r="S46" i="2"/>
  <c r="S113" i="2"/>
  <c r="S26" i="2"/>
  <c r="S189" i="2"/>
  <c r="S75" i="2"/>
  <c r="S137" i="2"/>
  <c r="S142" i="2"/>
  <c r="S110" i="2"/>
  <c r="S18" i="2"/>
  <c r="S74" i="2"/>
  <c r="S201" i="2"/>
  <c r="S138" i="2"/>
  <c r="S232" i="2"/>
  <c r="S162" i="2"/>
  <c r="S246" i="2"/>
  <c r="S208" i="2"/>
  <c r="S152" i="2"/>
  <c r="S50" i="2"/>
  <c r="S69" i="2"/>
  <c r="S51" i="2"/>
  <c r="S20" i="2"/>
  <c r="S25" i="2"/>
  <c r="S247" i="2"/>
  <c r="S176" i="2"/>
  <c r="S181" i="2"/>
  <c r="S89" i="2"/>
  <c r="S96" i="2"/>
  <c r="S186" i="2"/>
  <c r="S24" i="2"/>
  <c r="S132" i="2"/>
  <c r="S97" i="2"/>
  <c r="S135" i="2"/>
  <c r="S58" i="2"/>
  <c r="S114" i="2"/>
  <c r="S148" i="2"/>
  <c r="S60" i="2"/>
  <c r="S200" i="2"/>
  <c r="S126" i="2"/>
  <c r="S64" i="2"/>
  <c r="S173" i="2"/>
  <c r="S71" i="2"/>
  <c r="S178" i="2"/>
  <c r="S168" i="2"/>
  <c r="S32" i="2"/>
  <c r="S61" i="2"/>
  <c r="S107" i="2"/>
  <c r="S2" i="2"/>
  <c r="S231" i="2"/>
  <c r="S72" i="2"/>
  <c r="S127" i="2"/>
  <c r="S79" i="2"/>
  <c r="S85" i="2"/>
  <c r="S99" i="2"/>
  <c r="S182" i="2"/>
  <c r="S78" i="2"/>
  <c r="S183" i="2"/>
  <c r="S224" i="2"/>
  <c r="S146" i="2"/>
  <c r="S116" i="2"/>
  <c r="S171" i="2"/>
  <c r="S55" i="2"/>
  <c r="S49" i="2"/>
  <c r="S17" i="2"/>
  <c r="S123" i="2"/>
  <c r="S59" i="2"/>
  <c r="S228" i="2"/>
  <c r="S170" i="2"/>
  <c r="S12" i="2"/>
  <c r="S66" i="2"/>
  <c r="S104" i="2"/>
  <c r="S34" i="2"/>
  <c r="S21" i="2"/>
  <c r="S87" i="2"/>
  <c r="S94" i="2"/>
  <c r="S216" i="2"/>
  <c r="S163" i="2"/>
  <c r="S220" i="2"/>
  <c r="S65" i="2"/>
  <c r="S193" i="2"/>
  <c r="S191" i="2"/>
  <c r="S169" i="2"/>
  <c r="S15" i="2"/>
  <c r="S29" i="2"/>
  <c r="S252" i="2"/>
  <c r="S202" i="2"/>
  <c r="S177" i="2"/>
  <c r="S13" i="2"/>
  <c r="S204" i="2"/>
  <c r="S214" i="2"/>
  <c r="S119" i="2"/>
  <c r="S48" i="2"/>
  <c r="S141" i="2"/>
  <c r="S192" i="2"/>
  <c r="S155" i="2"/>
  <c r="S44" i="2"/>
  <c r="S100" i="2"/>
  <c r="S223" i="2"/>
  <c r="S161" i="2"/>
  <c r="S54" i="2"/>
  <c r="S95" i="2"/>
  <c r="S22" i="2"/>
  <c r="S249" i="2"/>
  <c r="S10" i="2"/>
  <c r="S227" i="2"/>
  <c r="S62" i="2"/>
  <c r="S43" i="2"/>
  <c r="S37" i="2"/>
  <c r="S27" i="2"/>
  <c r="S251" i="2"/>
  <c r="S140" i="2"/>
  <c r="S33" i="2"/>
  <c r="S147" i="2"/>
  <c r="S91" i="2"/>
  <c r="S250" i="2"/>
  <c r="S153" i="2"/>
  <c r="S226" i="2"/>
  <c r="S219" i="2"/>
  <c r="S206" i="2"/>
  <c r="S103" i="2"/>
  <c r="S158" i="2"/>
  <c r="S159" i="2"/>
  <c r="S179" i="2"/>
  <c r="S174" i="2"/>
  <c r="S248" i="2"/>
  <c r="S145" i="2"/>
  <c r="S9" i="2"/>
  <c r="S165" i="2"/>
  <c r="S11" i="2"/>
  <c r="S136" i="2"/>
  <c r="S185" i="2"/>
  <c r="S253" i="2"/>
  <c r="S195" i="2"/>
  <c r="S30" i="2"/>
  <c r="S130" i="2"/>
  <c r="S124" i="2"/>
  <c r="S160" i="2"/>
  <c r="S221" i="2"/>
  <c r="S239" i="2"/>
  <c r="S117" i="2"/>
  <c r="S118" i="2"/>
  <c r="S194" i="2"/>
  <c r="S213" i="2"/>
  <c r="S122" i="2"/>
  <c r="S222" i="2"/>
  <c r="S234" i="2"/>
  <c r="S112" i="2"/>
  <c r="S225" i="2"/>
  <c r="S101" i="2"/>
  <c r="S80" i="2"/>
  <c r="S215" i="2"/>
  <c r="S40" i="2"/>
  <c r="S35" i="2"/>
  <c r="S199" i="2"/>
  <c r="S211" i="2"/>
  <c r="S38" i="2"/>
  <c r="S198" i="2"/>
  <c r="S134" i="2"/>
  <c r="S19" i="2"/>
  <c r="S3" i="2"/>
  <c r="S154" i="2"/>
  <c r="S237" i="2"/>
  <c r="S188" i="2"/>
  <c r="S93" i="2"/>
  <c r="S139" i="2"/>
  <c r="S41" i="2"/>
  <c r="S240" i="2"/>
  <c r="S88" i="2"/>
  <c r="S4" i="2"/>
  <c r="S209" i="2"/>
  <c r="S82" i="2"/>
  <c r="S52" i="2"/>
  <c r="S175" i="2"/>
  <c r="S14" i="2"/>
  <c r="Q6" i="2"/>
  <c r="Q157" i="2"/>
  <c r="Q83" i="2"/>
  <c r="Q244" i="2"/>
  <c r="Q23"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9C7090D-23DC-498B-9CCF-985848FCAC92}" keepAlive="1" name="Query - zara" description="Connection to the 'zara' query in the workbook." type="5" refreshedVersion="8" background="1" saveData="1">
    <dbPr connection="Provider=Microsoft.Mashup.OleDb.1;Data Source=$Workbook$;Location=zara;Extended Properties=&quot;&quot;" command="SELECT * FROM [zara]"/>
  </connection>
</connections>
</file>

<file path=xl/sharedStrings.xml><?xml version="1.0" encoding="utf-8"?>
<sst xmlns="http://schemas.openxmlformats.org/spreadsheetml/2006/main" count="3079" uniqueCount="925">
  <si>
    <t>Product ID</t>
  </si>
  <si>
    <t>Product Position</t>
  </si>
  <si>
    <t>Promotion</t>
  </si>
  <si>
    <t>Product Category</t>
  </si>
  <si>
    <t>Seasonal</t>
  </si>
  <si>
    <t>Sales Volume</t>
  </si>
  <si>
    <t>brand</t>
  </si>
  <si>
    <t>url</t>
  </si>
  <si>
    <t>sku</t>
  </si>
  <si>
    <t>name</t>
  </si>
  <si>
    <t>description</t>
  </si>
  <si>
    <t>price</t>
  </si>
  <si>
    <t>currency</t>
  </si>
  <si>
    <t>scraped_at</t>
  </si>
  <si>
    <t>terms</t>
  </si>
  <si>
    <t>section</t>
  </si>
  <si>
    <t>Aisle</t>
  </si>
  <si>
    <t>No</t>
  </si>
  <si>
    <t>Clothing</t>
  </si>
  <si>
    <t>Zara</t>
  </si>
  <si>
    <t>https://www.zara.com/us/en/basic-puffer-jacket-p06985450.html</t>
  </si>
  <si>
    <t>272145190-250-2</t>
  </si>
  <si>
    <t>BASIC PUFFER JACKET</t>
  </si>
  <si>
    <t>Puffer jacket made of tear-resistant ripstop fabric. High collar and adjustable long sleeves with adhesive straps. Welt pockets at hip. Adjustable hem with side elastics. Front zip closure.</t>
  </si>
  <si>
    <t>USD</t>
  </si>
  <si>
    <t>jackets</t>
  </si>
  <si>
    <t>MAN</t>
  </si>
  <si>
    <t>https://www.zara.com/us/en/tuxedo-jacket-p08896675.html</t>
  </si>
  <si>
    <t>324052738-800-46</t>
  </si>
  <si>
    <t>TUXEDO JACKET</t>
  </si>
  <si>
    <t>Straight fit blazer. Pointed lapel collar and long sleeves with buttoned cuffs. Welt pockets at hip and interior pocket. Central back vent at hem. Front button closure.</t>
  </si>
  <si>
    <t>End-cap</t>
  </si>
  <si>
    <t>Yes</t>
  </si>
  <si>
    <t>https://www.zara.com/us/en/slim-fit-suit-jacket-p01564520.html</t>
  </si>
  <si>
    <t>335342680-800-44</t>
  </si>
  <si>
    <t>SLIM FIT SUIT JACKET</t>
  </si>
  <si>
    <t>Slim fit jacket. Notched lapel collar. Long sleeves with buttoned cuffs. Welt pocket at chest and flap pockets at hip. Interior pocket. Back vents. Front button closure.</t>
  </si>
  <si>
    <t>https://www.zara.com/us/en/stretch-suit-jacket-p01564300.html</t>
  </si>
  <si>
    <t>328303236-420-44</t>
  </si>
  <si>
    <t>STRETCH SUIT JACKET</t>
  </si>
  <si>
    <t>Slim fit jacket made of viscose blend fabric. Notched lapel collar. Long sleeves with buttoned cuffs. Welt pocket at chest and flap pockets at hip. Interior pocket. Back vents. Front button closure.</t>
  </si>
  <si>
    <t>https://www.zara.com/us/en/double-faced-jacket-p08281477.html</t>
  </si>
  <si>
    <t>312368260-800-2</t>
  </si>
  <si>
    <t>DOUBLE FACED JACKET</t>
  </si>
  <si>
    <t>Jacket made of faux leather faux shearling with fleece interior. Tabbed lapel collar. Long sleeves. Zip pockets at hip. Front zip closure.</t>
  </si>
  <si>
    <t>https://www.zara.com/us/en/contrasting-collar-jacket-p06987331.html</t>
  </si>
  <si>
    <t>320298385-807-2</t>
  </si>
  <si>
    <t>CONTRASTING COLLAR JACKET</t>
  </si>
  <si>
    <t>Relaxed fit jacket. Contrasting lapel collar and long sleeves with buttoned cuffs. Front pouch pockets. Interior pocket. Washed effect. Front zip closure.</t>
  </si>
  <si>
    <t>Front of Store</t>
  </si>
  <si>
    <t>https://www.zara.com/us/en/faux-leather-puffer-jacket-p08281420.html</t>
  </si>
  <si>
    <t>278112470-800-2</t>
  </si>
  <si>
    <t>FAUX LEATHER PUFFER JACKET</t>
  </si>
  <si>
    <t>Faux leather puffer jacket. High collar and long sleeves with ribbed interior cuffs. Welt pockets at hip. Interior pocket. Adjustable hem with side elastics. Front zip closure.</t>
  </si>
  <si>
    <t>https://www.zara.com/us/en/suit-jacket-in-100-linen-p04307408.html</t>
  </si>
  <si>
    <t>322972485-431-46</t>
  </si>
  <si>
    <t>SUIT JACKET IN 100% LINEN</t>
  </si>
  <si>
    <t>Straight fit blazer made of linen. Notched lapel collar and long sleeves with buttoned cuffs. Welt pocket at chest and flap pockets at hip. Interior pocket. Back vents. Front button closure.</t>
  </si>
  <si>
    <t>https://www.zara.com/us/en/100-wool-suit-jacket-p05955218.html</t>
  </si>
  <si>
    <t>313854165-401-46</t>
  </si>
  <si>
    <t>100% WOOL SUIT JACKET</t>
  </si>
  <si>
    <t>Jacket made of Italian wool. Pointed lapel collar and long sleeves with buttoned cuffs. Welt pocket at chest and flap pockets at hip. Interior pocket. Back vents. Front button closure.</t>
  </si>
  <si>
    <t>https://www.zara.com/us/en/100-feather-fill-puffer-jacket-p04302305.html</t>
  </si>
  <si>
    <t>312372602-800-2</t>
  </si>
  <si>
    <t>100% FEATHER FILL PUFFER JACKET</t>
  </si>
  <si>
    <t>Puffer jacket made of shiny finish technical fabric. Fill is a blend of 80% down and 20% feathers. High collar with adjustable hood and long sleeves with elastic cuffs. Welt pockets at hip and interior pocket. Adjustable hem with side elastics. Front zip closure.</t>
  </si>
  <si>
    <t>https://www.zara.com/us/en/herringbone-textured-jacket-p08491401.html</t>
  </si>
  <si>
    <t>316207900-710-2</t>
  </si>
  <si>
    <t>HERRINGBONE TEXTURED JACKET</t>
  </si>
  <si>
    <t>Jacket made of wool blend fabric. Lapel collar and long sleeves. Welt pockets at hip. Front zip closure.</t>
  </si>
  <si>
    <t>https://www.zara.com/us/en/oversized-cropped-jacket-limited-edition-p04304672.html</t>
  </si>
  <si>
    <t>329186122-800-2</t>
  </si>
  <si>
    <t>OVERSIZED CROPPED JACKET LIMITED EDITION</t>
  </si>
  <si>
    <t>Oversized cropped jacket. Notched lapel collar and long sleeves with buttoned cuffs. Flap pockets at waist ad interior pocket. Front button closure.</t>
  </si>
  <si>
    <t>https://www.zara.com/us/en/leather-biker-jacket-p05833412.html</t>
  </si>
  <si>
    <t>311297791-800-2</t>
  </si>
  <si>
    <t>LEATHER BIKER JACKET</t>
  </si>
  <si>
    <t>Jacket with lapel collar and snap button details. Long sleeves with zip cuffs. Front zip pockets and interior pocket. Asymmetric front closure with metal zipper.</t>
  </si>
  <si>
    <t>https://www.zara.com/us/en/cropped-leather-jacket-p02521104.html</t>
  </si>
  <si>
    <t>323134418-800-3</t>
  </si>
  <si>
    <t>CROPPED LEATHER JACKET</t>
  </si>
  <si>
    <t>Leather jacket. Cropped length. Lapel collar and long sleeves. Front hidden in-seam pockets. Front zip closure.</t>
  </si>
  <si>
    <t>https://www.zara.com/us/en/faux-leather-boxy-fit-jacket-p08281654.html</t>
  </si>
  <si>
    <t>311297555-706-2</t>
  </si>
  <si>
    <t>FAUX LEATHER BOXY FIT JACKET</t>
  </si>
  <si>
    <t>Boxy fit jacket. Lapel collar and long sleeves with buttoned cuffs. Welt pockets at hip. Front button closure.</t>
  </si>
  <si>
    <t>https://www.zara.com/us/en/faux-leather-jacket-p03427320.html</t>
  </si>
  <si>
    <t>317012940-800-2</t>
  </si>
  <si>
    <t>FAUX LEATHER JACKET</t>
  </si>
  <si>
    <t>Jacket made of faux leather fabric. Lapel collar with snap button details. Long sleeves with zip cuffs. Front zip pockets at chest and hip. Interior pocket. Asymmetric front closure with metal zipper.</t>
  </si>
  <si>
    <t>https://www.zara.com/us/en/faux-suede-bomber-jacket-p06318600.html</t>
  </si>
  <si>
    <t>311292672-800-2</t>
  </si>
  <si>
    <t>FAUX SUEDE BOMBER JACKET</t>
  </si>
  <si>
    <t>Jacket made of faux suede fabric. Ribbed elastic high collar and long sleeve. Welt pockets at hip. Rib trim. Front zip closure.</t>
  </si>
  <si>
    <t>https://www.zara.com/us/en/denim-bomber-jacket-p00621400.html</t>
  </si>
  <si>
    <t>321496837-400-3</t>
  </si>
  <si>
    <t>DENIM BOMBER JACKET</t>
  </si>
  <si>
    <t>Jacket made of denim fabric with padded interior. Rib elastic collar and long sleeves. Welt pockets at hip and interior pocket. Elastic hem. All-over contrasting topstitching details. Front zip closure.</t>
  </si>
  <si>
    <t>https://www.zara.com/us/en/boucle-textured-jacket-p08491402.html</t>
  </si>
  <si>
    <t>316205038-615-2</t>
  </si>
  <si>
    <t>BOUCLÉ TEXTURED JACKET</t>
  </si>
  <si>
    <t>Cropped jacket made with wool blend fabric. High collar and long sleeves with elastic cuffs. Front patch pockets with flaps. Elastic hem. Front snap button closure.</t>
  </si>
  <si>
    <t>https://www.zara.com/us/en/suit-jacket-in-100-linen-p04307443.html</t>
  </si>
  <si>
    <t>322972473-052-46</t>
  </si>
  <si>
    <t>Straight fit blazer made of linen. Notched lapel collar and long sleeves with buttoned cuffs. Flap pockets at hip. Interior pocket. Back vents. Front button closure.</t>
  </si>
  <si>
    <t>https://www.zara.com/us/en/jacquard-denim-jacket-p07627402.html</t>
  </si>
  <si>
    <t>313845662-400-3</t>
  </si>
  <si>
    <t>JACQUARD DENIM JACKET</t>
  </si>
  <si>
    <t>Lapel collar jacket with long sleeves with buttoned cuffs. Patch pockets with flaps at chest and side pockets at hip. Front hidden button closure.</t>
  </si>
  <si>
    <t>https://www.zara.com/us/en/padded-denim-jacket-p01538413.html</t>
  </si>
  <si>
    <t>320264577-800-2</t>
  </si>
  <si>
    <t>PADDED DENIM JACKET</t>
  </si>
  <si>
    <t>Cropped jacket with lightly quilted interior. Lapel collar and long sleeves. Flap patch pockets at hip. Washed effect. Rib hems. Front zip closure.</t>
  </si>
  <si>
    <t>https://www.zara.com/us/en/leather-jacket-p05479400.html</t>
  </si>
  <si>
    <t>315529534-705-3</t>
  </si>
  <si>
    <t>LEATHER JACKET</t>
  </si>
  <si>
    <t>Relaxed fit jacket in leather. Spread collar and long sleeves with slit cuffs with button closure. Patch pockets at hip. Back vents. Front button closure.</t>
  </si>
  <si>
    <t>https://www.zara.com/us/en/lightweight-bomber-jacket-p08281315.html</t>
  </si>
  <si>
    <t>320423517-800-2</t>
  </si>
  <si>
    <t>LIGHTWEIGHT BOMBER JACKET</t>
  </si>
  <si>
    <t>Lightweight jacket made of technical fabric. Round neck and long sleeves. Welt pockets at hip. Interior pocket. Rib trim. Front zip closure.</t>
  </si>
  <si>
    <t>https://www.zara.com/us/en/suit-jacket-p04303266.html</t>
  </si>
  <si>
    <t>328250627-251-46</t>
  </si>
  <si>
    <t>SUIT JACKET</t>
  </si>
  <si>
    <t>Straight fit jacket made of dense stretch fabric. Notched lapel collar and long sleeves with buttoned cuffs. Welt pocket at chest and flap pockets at hip. Interior pocket. Back vents. Front button closure.</t>
  </si>
  <si>
    <t>https://www.zara.com/us/en/faux-leather-bomber-jacket-p03918420.html</t>
  </si>
  <si>
    <t>311309526-800-2</t>
  </si>
  <si>
    <t>FAUX LEATHER BOMBER JACKET</t>
  </si>
  <si>
    <t>Jacket made of faux leather fabric. High collar and long sleeves. Welt pockets at hip and interior pocket. Rib trim. Front zip closure.</t>
  </si>
  <si>
    <t>https://www.zara.com/us/en/patch-bomber-jacket-p03918330.html</t>
  </si>
  <si>
    <t>311287528-811-2</t>
  </si>
  <si>
    <t>PATCH BOMBER JACKET</t>
  </si>
  <si>
    <t>Varsity jacket made of faux suede fabric. Double welt pockets at hip and interior pocket. Front and back contrasting patch appliqués and embroidery. Rib trim. Front snap button closure.</t>
  </si>
  <si>
    <t>https://www.zara.com/us/en/stretch-pocket-overshirt-p07484478.html</t>
  </si>
  <si>
    <t>342657802-914-2</t>
  </si>
  <si>
    <t>STRETCH POCKET OVERSHIRT</t>
  </si>
  <si>
    <t>Overshirt made of stretchy fabric. Lapel collar and long sleeves with snap buttoned cuffs. Chest patch pockets. Front snap button closure.</t>
  </si>
  <si>
    <t>https://www.zara.com/us/en/rib-collar-jacket-p08281410.html</t>
  </si>
  <si>
    <t>316207898-712-2</t>
  </si>
  <si>
    <t>RIB COLLAR JACKET</t>
  </si>
  <si>
    <t>Jacket made of technical fabric with padded interior. Tonal elastic rib high collar. Long sleeves. Welt pockets at hip and interior pocket. Interior elastic finish. Front zip closure.</t>
  </si>
  <si>
    <t>https://www.zara.com/us/en/faux-leather-oversized-jacket-limited-edition-p07380310.html</t>
  </si>
  <si>
    <t>321496761-800-2</t>
  </si>
  <si>
    <t>FAUX LEATHER OVERSIZED JACKET LIMITED EDITION</t>
  </si>
  <si>
    <t>Oversized jacket. Notched lapel collar and long sleeves. Flap pockets at hip and interior pocket. Front button closure.</t>
  </si>
  <si>
    <t>https://www.zara.com/us/en/contrasting-patches-bomber-jacket-p06318411.html</t>
  </si>
  <si>
    <t>311307255-800-2</t>
  </si>
  <si>
    <t>CONTRASTING PATCHES BOMBER JACKET</t>
  </si>
  <si>
    <t>Varsity jacket with elastic collar and long sleeves. Welt pockets at hip and interior pocket. Embroidered appliqué and contrast front and back patches. Rib trim. Front snap button closure.</t>
  </si>
  <si>
    <t>https://www.zara.com/us/en/patch-bomber-jacket-p03833404.html</t>
  </si>
  <si>
    <t>317129011-500-2</t>
  </si>
  <si>
    <t>Varsity jacket with padded interior. Rib elastic collar and long sleeves in contrast faux leather. Double welt pockets at hip and interior pocket. Contrasting patch appliqués at front and back. Rib trim. Front snap button closure.</t>
  </si>
  <si>
    <t>https://www.zara.com/us/en/cropped-bomber-jacket-limited-edition-p08281600.html</t>
  </si>
  <si>
    <t>330274270-800-2</t>
  </si>
  <si>
    <t>CROPPED BOMBER JACKET LIMITED EDITION</t>
  </si>
  <si>
    <t>Jacket with lightly padded interior. Rib collar and long sleeves. Flap pockets at waist. Rib trim. Front asymmetric zip closure.</t>
  </si>
  <si>
    <t>https://www.zara.com/us/en/faux-leather-puffer-jacket-p03833302.html</t>
  </si>
  <si>
    <t>311297855-800-2</t>
  </si>
  <si>
    <t>Faux leather jacket with padded interior. Lapel collar and long sleeves with snap buttoned cuffs. Welt pockets at hip and interior pocket. Elastic hem. Front zip hidden by a snap button flap.</t>
  </si>
  <si>
    <t>https://www.zara.com/us/en/faux-leather-bomber-jacket-p08281667.html</t>
  </si>
  <si>
    <t>317782474-800-2</t>
  </si>
  <si>
    <t>Jacket made of faux leather fabric. Rib elastic collar and long sleeves. Zip pockets with flaps at hip. Interior pocket. Elastic hem. Front zip closure.</t>
  </si>
  <si>
    <t>https://www.zara.com/us/en/bomber-jacket-p06318502.html</t>
  </si>
  <si>
    <t>315758723-401-2</t>
  </si>
  <si>
    <t>BOMBER JACKET</t>
  </si>
  <si>
    <t>Varsity jacket. High collar and long sleeves. Welt pockets at hip and interior pocket. Rib trim. Front snap button closure.</t>
  </si>
  <si>
    <t>https://www.zara.com/us/en/faux-suede-jacket-p08281652.html</t>
  </si>
  <si>
    <t>311302863-800-2</t>
  </si>
  <si>
    <t>FAUX SUEDE JACKET</t>
  </si>
  <si>
    <t>Lapel collar jacket with long sleeves with buttoned cuffs. Flap pockets at chest and welt pockets at hip. Front button closure.</t>
  </si>
  <si>
    <t>https://www.zara.com/us/en/faux-suede-bomber-jacket-p08574500.html</t>
  </si>
  <si>
    <t>311282759-806-2</t>
  </si>
  <si>
    <t>Jacket made of faux suede fabric. Rib elastic collar and long sleeves. Welt pockets at hip. Rib trim. Front zip closure.</t>
  </si>
  <si>
    <t>https://www.zara.com/us/en/suede-jacket-p02521102.html</t>
  </si>
  <si>
    <t>323134415-700-3</t>
  </si>
  <si>
    <t>SUEDE JACKET</t>
  </si>
  <si>
    <t>Jacket made of suede. Cropped length. Lapel collar and long sleeves. Front hidden in-seam pockets. Front zip closure.</t>
  </si>
  <si>
    <t>https://www.zara.com/us/en/contrasting-collar-jacket-p01538369.html</t>
  </si>
  <si>
    <t>312372582-526-2</t>
  </si>
  <si>
    <t>Jacket with lightly padded interior. Contrasting lapel collar. Long sleeves with buttoned cuffs. Washed effect. Double welt pockets at chest and hip. Front zip closure.</t>
  </si>
  <si>
    <t>https://www.zara.com/us/en/textured-jacket-p04302457.html</t>
  </si>
  <si>
    <t>321143726-712-2</t>
  </si>
  <si>
    <t>TEXTURED JACKET</t>
  </si>
  <si>
    <t>Jacket made of textured fabric. Lapel collar and long sleeves with buttoned cuffs. Patch pockets at chest and hidden pockets at hip. Side vents at hem. Front button closure.</t>
  </si>
  <si>
    <t>https://www.zara.com/us/en/cropped-textured-jacket-p01538410.html</t>
  </si>
  <si>
    <t>320220949-507-2</t>
  </si>
  <si>
    <t>CROPPED TEXTURED JACKET</t>
  </si>
  <si>
    <t>Jacket made of dense cotton fabric cut on the bias. Lapel collar and long sleeves with buttoned cuffs. Welt pockets at hip and interior pocket. Cropped length. Front zip closure.</t>
  </si>
  <si>
    <t>https://www.zara.com/us/en/pocket-puffer-jacket-p08281439.html</t>
  </si>
  <si>
    <t>312664937-514-2</t>
  </si>
  <si>
    <t>POCKET PUFFER JACKET</t>
  </si>
  <si>
    <t>Quilted jacket made of technical fabric. High collar and long sleeves. Flap pocket at chest and hidden in-seam pockets at side hip. Interior pocket. Interior elastic hem. Cropped length. Front zip closure.</t>
  </si>
  <si>
    <t>https://www.zara.com/us/en/technical-jacket-with-pockets-p03286501.html</t>
  </si>
  <si>
    <t>321143723-401-2</t>
  </si>
  <si>
    <t>TECHNICAL JACKET WITH POCKETS</t>
  </si>
  <si>
    <t>Jacket made of technical fabric with quilted interior. Lapel collar and long sleeves. Flap patch pockets at hip. Rib trim. Front button closure.</t>
  </si>
  <si>
    <t>https://www.zara.com/us/en/faux-leather-jacket-p08281345.html</t>
  </si>
  <si>
    <t>311297763-800-2</t>
  </si>
  <si>
    <t>Jacket made of faux leather fabric. Lapel collar and long sleeves with snap buttoned cuffs. Welt pockets at hip. Front snap button closure.</t>
  </si>
  <si>
    <t>https://www.zara.com/us/en/faux-suede-jacket-p03548689.html</t>
  </si>
  <si>
    <t>311292194-731-2</t>
  </si>
  <si>
    <t>https://www.zara.com/us/en/ripped-denim-jacket-p01538470.html</t>
  </si>
  <si>
    <t>335663355-406-2</t>
  </si>
  <si>
    <t>RIPPED DENIM JACKET</t>
  </si>
  <si>
    <t>Denim jacket with lapel collar and long sleeves with buttoned cuffs. Flap pockets at chest and welt pockets at hip. All over washed effect and rips. Front button closure.</t>
  </si>
  <si>
    <t>https://www.zara.com/us/en/textured-pocket-jacket-p03918500.html</t>
  </si>
  <si>
    <t>312363708-800-2</t>
  </si>
  <si>
    <t>TEXTURED POCKET JACKET</t>
  </si>
  <si>
    <t>Jacket with lightly padded interior. Lapel collar and long sleeves with buttoned cuffs. Flap pockets at chest and welt pockets at hip. Front button closure.</t>
  </si>
  <si>
    <t>https://www.zara.com/us/en/faux-suede-patch-jacket-p08281357.html</t>
  </si>
  <si>
    <t>312320664-251-2</t>
  </si>
  <si>
    <t>FAUX SUEDE PATCH JACKET</t>
  </si>
  <si>
    <t>Varsity jacket made of faux suede fabric. Lapel collar and long sleeves. Double welt pockets at hip and interior pocket. Front contrasting patch appliqués and embroidery. Rib trim. Front snap button closure.</t>
  </si>
  <si>
    <t>https://www.zara.com/us/en/puffer-jacket-with-pouch-pocket-p00155401.html</t>
  </si>
  <si>
    <t>311302445-445-97</t>
  </si>
  <si>
    <t>PUFFER JACKET WITH POUCH POCKET</t>
  </si>
  <si>
    <t>Jacket made of technical fabric with padded interior. High collar with front zip closure and long sleeves with elastic strap cuffs. Front and back contrast embroidered text. Zip pockets at hip. Adjustable elastic strap at hem with side zippers and strap.</t>
  </si>
  <si>
    <t>https://www.zara.com/us/en/bomber-jacket-p05039440.html</t>
  </si>
  <si>
    <t>323216370-422-97</t>
  </si>
  <si>
    <t>Boxy bomber jacket. Rib elastic collar and long sleeves. Welt pockets at hip. Elasticized trim. Front zip closure.</t>
  </si>
  <si>
    <t>https://www.zara.com/us/en/textured-weave-overshirt-p01608101.html</t>
  </si>
  <si>
    <t>317107014-707-2</t>
  </si>
  <si>
    <t>TEXTURED WEAVE OVERSHIRT</t>
  </si>
  <si>
    <t>Relaxed fit overshirt. Lapel collar and long sleeves with buttoned cuffs. Side hidden in-seam pockets. Front button closure.</t>
  </si>
  <si>
    <t>https://www.zara.com/us/en/straight-suit-jacket-p04143291.html</t>
  </si>
  <si>
    <t>328594167-800-46</t>
  </si>
  <si>
    <t>STRAIGHT SUIT JACKET</t>
  </si>
  <si>
    <t>Straight fit blazer. Notched lapel collar and long sleeves with buttoned cuffs. Flap pockets at hip. Interior pocket. Central back vent at hem. Front button closure.</t>
  </si>
  <si>
    <t>https://www.zara.com/us/en/hooded-quilted-jacket-p00029501.html</t>
  </si>
  <si>
    <t>311309598-711-2</t>
  </si>
  <si>
    <t>HOODED QUILTED JACKET</t>
  </si>
  <si>
    <t>Puffer jacket with high collar and adjustable hood. Long sleeves with interior rib cuffs. Welt pockets at hip and interior pocket. Adjustable hem with side elastics. Front zip hidden by a snap button flap.</t>
  </si>
  <si>
    <t>https://www.zara.com/us/en/lightweight-puffer-jacket-p04302520.html</t>
  </si>
  <si>
    <t>267133943-711-2</t>
  </si>
  <si>
    <t>LIGHTWEIGHT PUFFER JACKET</t>
  </si>
  <si>
    <t>Padded jacket made of technical fabric. High collar and long sleeves. Welt pockets at hip. Elasticized trim. Front zip closure.</t>
  </si>
  <si>
    <t>https://www.zara.com/us/en/cotton-blend-bomber-jacket-p06518350.html</t>
  </si>
  <si>
    <t>318265017-401-2</t>
  </si>
  <si>
    <t>COTTON BLEND BOMBER JACKET</t>
  </si>
  <si>
    <t>Jacket made of cotton blend fabric. High collar and long sleeves. Welt pockets at hip. Rib trim. Cropped length. Front zip closure.</t>
  </si>
  <si>
    <t>https://www.zara.com/us/en/pocket-jacket-p06318507.html</t>
  </si>
  <si>
    <t>322410604-401-2</t>
  </si>
  <si>
    <t>POCKET JACKET</t>
  </si>
  <si>
    <t>Jacket made of dense technical fabric. Lapel collar and long sleeves with buttoned cuffs. Multi-functional front pockets. Front zip hidden by a snap button flap.</t>
  </si>
  <si>
    <t>https://www.zara.com/us/en/oversized-bomber-jacket-p08281311.html</t>
  </si>
  <si>
    <t>324149982-982-2</t>
  </si>
  <si>
    <t>OVERSIZED BOMBER JACKET</t>
  </si>
  <si>
    <t>Oversized jacket made of technical fabric. High collar and long sleeves with pocket detail. Welt pockets at hip and interior pocket. Rib trim. Adjustable asymmetric hem with side zippers. Front zip closure.</t>
  </si>
  <si>
    <t>https://www.zara.com/us/en/embroidered-patch-jacket-p05320345.html</t>
  </si>
  <si>
    <t>320531693-707-2</t>
  </si>
  <si>
    <t>EMBROIDERED PATCH JACKET</t>
  </si>
  <si>
    <t>Roomy jacket made of lightweight fabric. Lapel collar and long sleeves with elastic cuffs. Contrasting patch appliqués with embroidery at front and back. Front pouch pocket. Elastic hem. Front zip closure.</t>
  </si>
  <si>
    <t>https://www.zara.com/us/en/acid-wash-denim-jacket-p06688401.html</t>
  </si>
  <si>
    <t>328279967-409-3</t>
  </si>
  <si>
    <t>ACID WASH DENIM JACKET</t>
  </si>
  <si>
    <t>Jacket made of cotton denim. Lapel collar and long sleeves with buttoned cuffs. Patch pockets at chest and side pockets at hip. Washed effect. Front zip closure.</t>
  </si>
  <si>
    <t>https://www.zara.com/us/en/vintage-effect-leather-bomber-jacket-p02521300.html</t>
  </si>
  <si>
    <t>320774184-800-97</t>
  </si>
  <si>
    <t>VINTAGE EFFECT LEATHER BOMBER JACKET</t>
  </si>
  <si>
    <t/>
  </si>
  <si>
    <t>https://www.zara.com/us/en/textured-denim-jacket-limited-edition-p01538430.html</t>
  </si>
  <si>
    <t>322972491-800-2</t>
  </si>
  <si>
    <t>TEXTURED DENIM JACKET LIMITED EDITION</t>
  </si>
  <si>
    <t>Lapel collar jacket with long sleeves with buttoned cuffs. Flap pockets at chest and welt pockets at hip. All over washed and uneven textured effect. Front button closure.</t>
  </si>
  <si>
    <t>https://www.zara.com/us/en/wool-blend-jacket-p09621448.html</t>
  </si>
  <si>
    <t>321501682-800-2</t>
  </si>
  <si>
    <t>WOOL BLEND JACKET</t>
  </si>
  <si>
    <t>Jacket made of wool blend fabric. Lapel collar and long sleeves. Welt pockets at hip and interior pocket. Rib trim. Front zip closure.</t>
  </si>
  <si>
    <t>https://www.zara.com/us/en/cotton---linen-blend-jacket-p00706103.html</t>
  </si>
  <si>
    <t>328616906-712-2</t>
  </si>
  <si>
    <t>COTTON - LINEN BLEND JACKET</t>
  </si>
  <si>
    <t>Jacket made of cotton and linen blend fabric. Lapel collar and long sleeves with buttoned cuffs. Patch pocket at chest and side pockets at hip. Elastic hem. Front zip closure.</t>
  </si>
  <si>
    <t>https://www.zara.com/us/en/fleece-bomber-jacket-p08281405.html</t>
  </si>
  <si>
    <t>311292541-802-2</t>
  </si>
  <si>
    <t>FLEECE BOMBER JACKET</t>
  </si>
  <si>
    <t>Jacket made of faux shearling fabric. Rib elastic collar and long sleeves. Welt pockets at hip and interior pocket. Rib trim. Front zip closure.</t>
  </si>
  <si>
    <t>https://www.zara.com/us/en/zippered-jacket-p04087418.html</t>
  </si>
  <si>
    <t>319205114-807-2</t>
  </si>
  <si>
    <t>ZIPPERED JACKET</t>
  </si>
  <si>
    <t>Lapel collar jacket with long sleeves. Front pouch pockets. Front zip closure.</t>
  </si>
  <si>
    <t>https://www.zara.com/us/en/cotton-jacket-p00706301.html</t>
  </si>
  <si>
    <t>276213846-500-2</t>
  </si>
  <si>
    <t>COTTON JACKET</t>
  </si>
  <si>
    <t>Lapel collar jacket with long sleeves with elastic cuffs. Patch pockets at hip. Elastic hem. Front snap button closure.</t>
  </si>
  <si>
    <t>https://www.zara.com/us/en/wool-blend-textured-jacket-p04296310.html</t>
  </si>
  <si>
    <t>328244979-064-48</t>
  </si>
  <si>
    <t>WOOL BLEND TEXTURED JACKET</t>
  </si>
  <si>
    <t>Jacket made of wool blend fabric. Pointed lapel collar and long sleeves with buttoned cuffs. Welt pockets at chest and flap pockets at hip. Interior pocket. Back vents. Front double breasted button closure.</t>
  </si>
  <si>
    <t>https://www.zara.com/us/en/contrast-jacquard-jacket-p04087423.html</t>
  </si>
  <si>
    <t>323050745-798-97</t>
  </si>
  <si>
    <t>CONTRAST JACQUARD JACKET</t>
  </si>
  <si>
    <t>Full cut jacket with lapel collar and long sleeves. Front button closure.</t>
  </si>
  <si>
    <t>https://www.zara.com/us/en/cropped-overshirt-p04432403.html</t>
  </si>
  <si>
    <t>319166635-401-2</t>
  </si>
  <si>
    <t>CROPPED OVERSHIRT</t>
  </si>
  <si>
    <t>Cropped overshirt made of contrast double faced fabric. Lapel collar and long sleeves with buttoned cuffs. Chest patch pocket. Adjustable hem with side elastics. Front button closure partially hidden by a flap.</t>
  </si>
  <si>
    <t>https://www.zara.com/us/en/contrasting-patches-hooded-jacket-p03833400.html</t>
  </si>
  <si>
    <t>311297489-800-2</t>
  </si>
  <si>
    <t>CONTRASTING PATCHES HOODED JACKET</t>
  </si>
  <si>
    <t>Varsity jacket with stretchy collar and contrasting hood. Long sleeves. Welt pockets at hip and interior pocket. Embroidered appliqué and contrast front and back patches. Rib trim. Front snap button closure.</t>
  </si>
  <si>
    <t>https://www.zara.com/us/en/utility-pocket-jacket-p05520451.html</t>
  </si>
  <si>
    <t>311292073-709-2</t>
  </si>
  <si>
    <t>UTILITY POCKET JACKET</t>
  </si>
  <si>
    <t>Cropped jacket. Lapel collar and long sleeves. Front utility pockets with zip closure. Washed effect. Elastic hem. Adjustable hem with side elastics. Front zip closure.</t>
  </si>
  <si>
    <t>https://www.zara.com/us/en/-p04310461.html</t>
  </si>
  <si>
    <t>336378923-700-2</t>
  </si>
  <si>
    <t>https://www.zara.com/us/en/lightweight-bomber-jacket-p04302404.html</t>
  </si>
  <si>
    <t>311292572-401-2</t>
  </si>
  <si>
    <t>https://www.zara.com/us/en/wool-blend-jacket-p05854654.html</t>
  </si>
  <si>
    <t>336821611-706-2</t>
  </si>
  <si>
    <t>Lapel collar jacket with long sleeves with buttoned cuffs. Chest patch pockets and welt pockets at hip. Front button closure.</t>
  </si>
  <si>
    <t>https://www.zara.com/us/en/technical-padded-jacket-p06518501.html</t>
  </si>
  <si>
    <t>311307584-518-2</t>
  </si>
  <si>
    <t>TECHNICAL PADDED JACKET</t>
  </si>
  <si>
    <t>Jacket made of technical fabric with padded interior. High collar with foldable interior hood. Long sleeves with interior rib cuffs. Front pockets with hidden zip closure and interior pocket detail. Adjustable hem with side elastics. Front zip hidden by a snap button flap.</t>
  </si>
  <si>
    <t>https://www.zara.com/us/en/mixed-collar-waxed-jacket-p06861405.html</t>
  </si>
  <si>
    <t>321151893-609-2</t>
  </si>
  <si>
    <t>MIXED COLLAR WAXED JACKET</t>
  </si>
  <si>
    <t>Jacket made of waxed finish fabric with lightly padded interior. Contrast fabric lapel collar. Long sleeves. Patch pockets at hip. Interior pocket. Slightly cropped length. Front hidden zip and button closure.</t>
  </si>
  <si>
    <t>https://www.zara.com/us/en/contrasting-patches-bomber-jacket-p03833401.html</t>
  </si>
  <si>
    <t>311297509-800-2</t>
  </si>
  <si>
    <t>https://www.zara.com/us/en/padded-bomber-jacket-p03918620.html</t>
  </si>
  <si>
    <t>315947178-800-2</t>
  </si>
  <si>
    <t>PADDED BOMBER JACKET</t>
  </si>
  <si>
    <t>Quilted jacket made of technical fabric. Lapel collar and long sleeves. Welt pockets at hip. Rib trim. Front zip closure.</t>
  </si>
  <si>
    <t>https://www.zara.com/us/en/technical-padded-jacket-p03833311.html</t>
  </si>
  <si>
    <t>311297745-800-2</t>
  </si>
  <si>
    <t>Jacket made of technical fabric with padded interior. Lapel collar and long sleeves with elastic cuffs. Welt pockets at hip and interior pocket. Adjustable drawstring hem. Front snap button closure.</t>
  </si>
  <si>
    <t>https://www.zara.com/us/en/pocket-denim-jacket-p00840482.html</t>
  </si>
  <si>
    <t>330290360-427-3</t>
  </si>
  <si>
    <t>POCKET DENIM JACKET</t>
  </si>
  <si>
    <t>Slightly cropped denim jacket. Lapel collar and long sleeves with buttoned cuffs. Flap patch pocket at chest and side hip. Washed effect. Front button closure.</t>
  </si>
  <si>
    <t>https://www.zara.com/us/en/boxy-fit-denim-jacket-p00840402.html</t>
  </si>
  <si>
    <t>320449897-427-2</t>
  </si>
  <si>
    <t>BOXY FIT DENIM JACKET</t>
  </si>
  <si>
    <t>Boxy fit jacket. Lapel collar and long sleeves with buttoned cuffs. Patch pockets at hip. Washed effect.Asymmetric hem with side vents. Front button closure.</t>
  </si>
  <si>
    <t>https://www.zara.com/us/en/faux-shearling-plaid-jacket-p00993305.html</t>
  </si>
  <si>
    <t>311297724-700-97</t>
  </si>
  <si>
    <t>FAUX SHEARLING PLAID JACKET</t>
  </si>
  <si>
    <t>Jacket made of faux shearling fabric. V-neckline and long sleeves with elastic cuffs. Lined interior with structured mesh fabric. Welt pockets at hip. Adjustable hem with side elastics. Front snap button closure.</t>
  </si>
  <si>
    <t>https://www.zara.com/us/en/embroidered-forest-jacket-p02795407.html</t>
  </si>
  <si>
    <t>328332050-700-97</t>
  </si>
  <si>
    <t>EMBROIDERED FOREST JACKET</t>
  </si>
  <si>
    <t>Jacket with lightly padded interior. Corduroy lapel collar. Long sleeves. Patch pockets at hip. Front button closure.</t>
  </si>
  <si>
    <t>https://www.zara.com/us/en/pocket-overshirt-p05070605.html</t>
  </si>
  <si>
    <t>311282469-505-2</t>
  </si>
  <si>
    <t>POCKET OVERSHIRT</t>
  </si>
  <si>
    <t>Cropped overshirt. Lapel collar and long sleeves with buttoned cuffs. Front patch pockets. Irregular finished seams. Front button closure.</t>
  </si>
  <si>
    <t>https://www.zara.com/us/en/boucle-textured-vest-p01437303.html</t>
  </si>
  <si>
    <t>319502128-515-2</t>
  </si>
  <si>
    <t>BOUCLE TEXTURED VEST</t>
  </si>
  <si>
    <t>Vest made of viscose and wool blend fabric. V-neckline. Patch pockets at hip. Front zip closure.</t>
  </si>
  <si>
    <t>https://www.zara.com/us/en/color-block-puffer-jacket-p08281365.html</t>
  </si>
  <si>
    <t>311287226-472-2</t>
  </si>
  <si>
    <t>COLOR BLOCK PUFFER JACKET</t>
  </si>
  <si>
    <t>Jacket made of technical fabric with padded interior. High collar and long sleeves with elastic cuffs. Front pockets with hidden zip closure. Elastic hem. Front zip closure.</t>
  </si>
  <si>
    <t>https://www.zara.com/us/en/longline-quilted-jacket-p05071688.html</t>
  </si>
  <si>
    <t>316683359-818-2</t>
  </si>
  <si>
    <t>LONGLINE QUILTED JACKET</t>
  </si>
  <si>
    <t>Parka made of technical fabric with padded interior. High collar with removable hood. Long sleeves with interior elastic cuffs. Welt pockets at chest and flap pockets at hip. Interior pocket. Adjustable interior waistband with drawstring. Adjustable hem with side elastics. Front zip hidden by a snap button flap.</t>
  </si>
  <si>
    <t>https://www.zara.com/us/en/wool-blend-suit-jacket-p04156504.html</t>
  </si>
  <si>
    <t>322901350-800-46</t>
  </si>
  <si>
    <t>WOOL BLEND SUIT JACKET</t>
  </si>
  <si>
    <t>Straight fit jacket made of wool blend fabric. Notched lapel collar and long sleeves with buttoned cuffs. Welt pockets at chest and flap pockets at hip. Interior pocket. Central vent at back hem. Front button closure.</t>
  </si>
  <si>
    <t>https://www.zara.com/us/en/hooded-knit-cardigan-p02621407.html</t>
  </si>
  <si>
    <t>322929313-802-97</t>
  </si>
  <si>
    <t>HOODED KNIT CARDIGAN</t>
  </si>
  <si>
    <t>Cotton knit jacket. Hooded collar and long sleeves. Rib trim. Front pouch pockets. Rib trim. Front zip closure.</t>
  </si>
  <si>
    <t>https://www.zara.com/us/en/hooded-technical-jacket-p01538301.html</t>
  </si>
  <si>
    <t>267186163-643-2</t>
  </si>
  <si>
    <t>HOODED TECHNICAL JACKET</t>
  </si>
  <si>
    <t>Jacket made of technical fabric with brushed interior. High collar with adjustable hood. Long sleeves with cuffs and adhesive straps. Zip pockets at chest and hip. Front zip closure.</t>
  </si>
  <si>
    <t>https://www.zara.com/us/en/houndstooth-suit-jacket-p04285498.html</t>
  </si>
  <si>
    <t>329706743-401-46</t>
  </si>
  <si>
    <t>HOUNDSTOOTH SUIT JACKET</t>
  </si>
  <si>
    <t>Straight fit blazer. Notched lapel collar and long sleeves with buttoned cuffs. Welt pocket at chest and flap pockets at hip. Interior pocket. Back vents. Front button closure.</t>
  </si>
  <si>
    <t>https://www.zara.com/us/en/bomber-jacket-p05344402.html</t>
  </si>
  <si>
    <t>321496813-710-2</t>
  </si>
  <si>
    <t>Jacket with padded interior. Rib elastic collar and long sleeves. Flap pockets at hip and interior pocket. Rib trim. Front zip closure.</t>
  </si>
  <si>
    <t>https://www.zara.com/us/en/hooded-technical-jacket-p00155502.html</t>
  </si>
  <si>
    <t>312596416-800-2</t>
  </si>
  <si>
    <t>Cropped jacket made of technical fabric. Hooded high collar and long sleeves with adjustable snap button cuffs. Front patch pockets with flaps at hips. Adjustable hem with side elastics. Front zip hidden by a snap button flap.</t>
  </si>
  <si>
    <t>https://www.zara.com/us/en/hooded-technical-jacket-p08281355.html</t>
  </si>
  <si>
    <t>311287132-251-2</t>
  </si>
  <si>
    <t>Jacket made of technical fabric. High collar with adjustable drawstring hood. Long sleeves with rib cuffs. Chest welt pocket and hip patch pockets. Interior pocket. Adjustable hem with elastics at sides. Front zip hidden by a snap button flap.</t>
  </si>
  <si>
    <t>https://www.zara.com/us/en/washed-effect-bomber-jacket-p08281307.html</t>
  </si>
  <si>
    <t>323675323-700-2</t>
  </si>
  <si>
    <t>WASHED EFFECT BOMBER JACKET</t>
  </si>
  <si>
    <t>Jacket made of technical fabric. Lapel collar and long sleeves with pocket detail. Welt pockets at hip and interior pocket. Washed effect. Elasticized trim. Front zip hidden by a snap button flap.</t>
  </si>
  <si>
    <t>https://www.zara.com/us/en/washed-technical-jacket-p04695300.html</t>
  </si>
  <si>
    <t>323672371-507-2</t>
  </si>
  <si>
    <t>WASHED TECHNICAL JACKET</t>
  </si>
  <si>
    <t>Jacket made of technical fabric. High collar and long sleeves with adjustable cuffs with snap button straps. Flap patch pockets at hip. Adjustable drawstring hem. Washed effect. Front zip hidden by a snap button flap.</t>
  </si>
  <si>
    <t>https://www.zara.com/us/en/100-feather-fill-puffer-jacket-p00155480.html</t>
  </si>
  <si>
    <t>327116625-505-2</t>
  </si>
  <si>
    <t>Puffer vest made of technical fabric. Fill is a blend of 60% down and 40% feather. Sleeveless design with high collar. Zip pockets at hip and interior pocket. Adjustable hem with side elastics. Front snap button closure.</t>
  </si>
  <si>
    <t>https://www.zara.com/us/en/padded-bomber-jacket-p03918400.html</t>
  </si>
  <si>
    <t>311302424-409-2</t>
  </si>
  <si>
    <t>Jacket made of technical fabric with lightly padded interior. Rib elastic collar and long sleeves. Zip pockets at hip. Elastic hem. Front zip closure.</t>
  </si>
  <si>
    <t>https://www.zara.com/us/en/pocket-jacket-p04297266.html</t>
  </si>
  <si>
    <t>329158644-605-2</t>
  </si>
  <si>
    <t>Regular fit jacket with lapel collar and long sleeves. Patch pockets at chest and hip. Front button closure.</t>
  </si>
  <si>
    <t>https://www.zara.com/us/en/slim-fit-suit-jacket-p04239493.html</t>
  </si>
  <si>
    <t>329300083-705-48</t>
  </si>
  <si>
    <t>https://www.zara.com/us/en/mixed-collar-jacket-p03046507.html</t>
  </si>
  <si>
    <t>323212374-510-2</t>
  </si>
  <si>
    <t>MIXED COLLAR JACKET</t>
  </si>
  <si>
    <t>Jacket made of technical fabric with lightly padded interior. Rib high collar. Long sleeves with elastic cuffs. Patch pockets at hip. Front zip closure.</t>
  </si>
  <si>
    <t>https://www.zara.com/us/en/hooded-denim-jacket-p01538428.html</t>
  </si>
  <si>
    <t>322547863-811-2</t>
  </si>
  <si>
    <t>HOODED DENIM JACKET</t>
  </si>
  <si>
    <t>Boxy fit jacket. High collar with adjustable hood and long sleeves with buttoned cuffs. Patch pockets with flaps at chest. Front straps with multi-functional ring. Washed effect. Front hidden zip and snap button closure.</t>
  </si>
  <si>
    <t>https://www.zara.com/us/en/waxed-effect-plaid-jacket-p04272302.html</t>
  </si>
  <si>
    <t>320600266-745-2</t>
  </si>
  <si>
    <t>WAXED EFFECT PLAID JACKET</t>
  </si>
  <si>
    <t>Cropped jacket made of cotton with waxed finish. Lapel collar and long adjustable cuffed sleeves. Welt pockets at hip and interior pocket. Adjustable front drawcord hem. Front zip closure.</t>
  </si>
  <si>
    <t>https://www.zara.com/us/en/wool-blend-felt-texture-jacket-p04160752.html</t>
  </si>
  <si>
    <t>320771732-800-2</t>
  </si>
  <si>
    <t>WOOL BLEND FELT TEXTURE JACKET</t>
  </si>
  <si>
    <t>Cropped jacket made with wool blend fabric. Lapel collar and long sleeves. Welt pockets at hip. Front hidden button closure.</t>
  </si>
  <si>
    <t>https://www.zara.com/us/en/printed-denim-overshirt-p02553808.html</t>
  </si>
  <si>
    <t>289179723-020-2</t>
  </si>
  <si>
    <t>PRINTED DENIM OVERSHIRT</t>
  </si>
  <si>
    <t>Boxy fit overshirt. Lapel collar and short sleeves. Front snap button closure.</t>
  </si>
  <si>
    <t>https://www.zara.com/us/en/structured-twill-overshirt-p06861430.html</t>
  </si>
  <si>
    <t>327747299-800-2</t>
  </si>
  <si>
    <t>STRUCTURED TWILL OVERSHIRT</t>
  </si>
  <si>
    <t>Regular fit overshirt made of 22% wool fabric. Lapel collar and long sleeves with buttoned cuffs. Patch pocket at chest and side pockets at hip. Side vents at hem. Front button closure.</t>
  </si>
  <si>
    <t>https://www.zara.com/us/en/cotton-overshirt-p09621103.html</t>
  </si>
  <si>
    <t>317782501-701-2</t>
  </si>
  <si>
    <t>COTTON OVERSHIRT</t>
  </si>
  <si>
    <t>Relaxed fit overshirt made with cotton fabric. Lapel collar and long sleeves with buttoned cuffs. Flap patch pockets at chest and side hip pockets. Front button closure.</t>
  </si>
  <si>
    <t>https://www.zara.com/us/en/reversible-plaid-overshirt-p09621301.html</t>
  </si>
  <si>
    <t>311282298-099-2</t>
  </si>
  <si>
    <t>REVERSIBLE PLAID OVERSHIRT</t>
  </si>
  <si>
    <t>Relaxed fit reversible overshirt. Italian collar and long sleeves with buttoned cuffs. Chest patch pocket. Front button closure.</t>
  </si>
  <si>
    <t>https://www.zara.com/us/en/plaid-overshirt-p01300100.html</t>
  </si>
  <si>
    <t>322612356-505-2</t>
  </si>
  <si>
    <t>PLAID OVERSHIRT</t>
  </si>
  <si>
    <t>Relaxed fit overshirt made with cotton fabric. Lapel collar and long sleeves with buttoned cuffs. Patch pockets at hip. Washed effect. Front button closure.</t>
  </si>
  <si>
    <t>https://www.zara.com/us/en/pocket-overshirt-p00706621.html</t>
  </si>
  <si>
    <t>311282631-712-2</t>
  </si>
  <si>
    <t>Relaxed fit overshirt. Lapel collar and long sleeves with adjustable button cuffs. Welt pockets at hip. Front zip hidden by a snap button flap.</t>
  </si>
  <si>
    <t>https://www.zara.com/us/en/100-linen-overshirt-p04224708.html</t>
  </si>
  <si>
    <t>329282612-401-2</t>
  </si>
  <si>
    <t>100% LINEN OVERSHIRT</t>
  </si>
  <si>
    <t>Relaxed fit overshirt made of linen fabric. Lapel collar and long sleeves with buttoned cuffs. Chest patch pockets. Front button closure.</t>
  </si>
  <si>
    <t>https://www.zara.com/us/en/plaid-overshirt-p08281303.html</t>
  </si>
  <si>
    <t>320026789-714-2</t>
  </si>
  <si>
    <t>Relaxed fit overshirt made of viscose blend fabric. Lapel collar and long sleeves with buttoned cuffs. Chest patch pocket. Front button closure.</t>
  </si>
  <si>
    <t>https://www.zara.com/us/en/pocket-denim-overshirt-p01472403.html</t>
  </si>
  <si>
    <t>323216360-406-2</t>
  </si>
  <si>
    <t>POCKET DENIM OVERSHIRT</t>
  </si>
  <si>
    <t>Boxy fit overshirt. Lapel collar and long sleeves with buttoned cuffs. Chest patch pockets. Washed effect. Front button closure.</t>
  </si>
  <si>
    <t>https://www.zara.com/us/en/faux-suede-overshirt-p03715303.html</t>
  </si>
  <si>
    <t>318209963-800-2</t>
  </si>
  <si>
    <t>FAUX SUEDE OVERSHIRT</t>
  </si>
  <si>
    <t>Relaxed fit overshirt. Lapel collar and long sleeves. Chest patch pocket. Front snap button closure.</t>
  </si>
  <si>
    <t>https://www.zara.com/us/en/plaid-overshirt-p00794432.html</t>
  </si>
  <si>
    <t>316727555-700-2</t>
  </si>
  <si>
    <t>Regular fit overshirt. Lapel collar and long sleeves with buttoned cuffs. Front zip closure.</t>
  </si>
  <si>
    <t>https://www.zara.com/us/en/textured-pocket-overshirt-p01934436.html</t>
  </si>
  <si>
    <t>312571093-710-2</t>
  </si>
  <si>
    <t>TEXTURED POCKET OVERSHIRT</t>
  </si>
  <si>
    <t>Overshirt made of diagonal textured cotton fabric. Lapel collar and long sleeves with buttoned cuffs. Patch pockets at hip. Front button closure.</t>
  </si>
  <si>
    <t>https://www.zara.com/us/en/pocket-overshirt-p04466468.html</t>
  </si>
  <si>
    <t>330290387-401-2</t>
  </si>
  <si>
    <t>Relaxed fit overshirt made of 25% wool fabric. Lapel collar and long sleeves with buttoned cuffs. Patch pocket at chest and side pockets at hip. Front button closure.</t>
  </si>
  <si>
    <t>https://www.zara.com/us/en/overshirt-p00706623.html</t>
  </si>
  <si>
    <t>313027279-800-2</t>
  </si>
  <si>
    <t>OVERSHIRT</t>
  </si>
  <si>
    <t>Relaxed fit overshirt made of stretch fabric. Lapel collar and long sleeves with buttoned cuffs. Chest patch pocket. Front button closure.</t>
  </si>
  <si>
    <t>https://www.zara.com/us/en/plaid-overshirt-p04266381.html</t>
  </si>
  <si>
    <t>320671529-802-2</t>
  </si>
  <si>
    <t>Cropped overshirt. Lapel collar and long sleeves with buttoned cuffs. Chest patch pocket. Irregular trim. Front button closure.</t>
  </si>
  <si>
    <t>https://www.zara.com/us/en/pocket-overshirt-p05070314.html</t>
  </si>
  <si>
    <t>323646471-802-2</t>
  </si>
  <si>
    <t>Overshirt with lapel collar and long sleeves with buttoned cuffs. Chest patch pocket. Front button closure.</t>
  </si>
  <si>
    <t>https://www.zara.com/us/en/zippered-wool-blend-overshirt-p05854401.html</t>
  </si>
  <si>
    <t>312978838-611-2</t>
  </si>
  <si>
    <t>ZIPPERED WOOL BLEND OVERSHIRT</t>
  </si>
  <si>
    <t>Relaxed fit overshirt made of wool blend fabric. Lapel collar and long sleeves with buttoned cuffs. Welt pockets at hip. Front zip closure.</t>
  </si>
  <si>
    <t>https://www.zara.com/us/en/geometric-jacquard-overshirt-p04196412.html</t>
  </si>
  <si>
    <t>336446858-822-2</t>
  </si>
  <si>
    <t>GEOMETRIC JACQUARD OVERSHIRT</t>
  </si>
  <si>
    <t>Relaxed fit overshirt made with cotton fabric. Lapel collar and long sleeves with buttoned cuffs. Welt pockets at hip. Front button closure.</t>
  </si>
  <si>
    <t>https://www.zara.com/us/en/paint-print-overshirt-p05320305.html</t>
  </si>
  <si>
    <t>281883711-071-2</t>
  </si>
  <si>
    <t>PAINT PRINT OVERSHIRT</t>
  </si>
  <si>
    <t>Relaxed fit overshirt. Lapel collar and long sleeves with snap button cuffs. Chest patch pockets. Side vents at hem. Front snap button closure.</t>
  </si>
  <si>
    <t>https://www.zara.com/us/en/padded-corduroy-overshirt-p01063400.html</t>
  </si>
  <si>
    <t>313008692-514-2</t>
  </si>
  <si>
    <t>PADDED CORDUROY OVERSHIRT</t>
  </si>
  <si>
    <t>Overshirt with quilted interior. Lapel collar and long sleeves with buttoned cuffs. Flap patch pockets at chest and in-seam pockets at side hip. Front snap button closure.</t>
  </si>
  <si>
    <t>https://www.zara.com/us/en/plaid-tie-dye-overshirt-p01063313.html</t>
  </si>
  <si>
    <t>281593208-015-2</t>
  </si>
  <si>
    <t>PLAID TIE DYE OVERSHIRT</t>
  </si>
  <si>
    <t>Regular fit overshirt made of cotton. Lapel collar and long sleeves with buttoned cuffs. Chest patch pockets. Front button closure.</t>
  </si>
  <si>
    <t>https://www.zara.com/us/en/overshirt-with-contrasting-topstitching-p06917325.html</t>
  </si>
  <si>
    <t>314937772-710-2</t>
  </si>
  <si>
    <t>OVERSHIRT WITH CONTRASTING TOPSTITCHING</t>
  </si>
  <si>
    <t>Relaxed fit overshirt made with cotton fabric. Lapel collar and long sleeves with buttoned cuffs. Chest patch pocket. Contrasting topstitching all over the garment. Front button closure.</t>
  </si>
  <si>
    <t>https://www.zara.com/us/en/quilted-structured-overshirt-p09621370.html</t>
  </si>
  <si>
    <t>320278659-251-2</t>
  </si>
  <si>
    <t>QUILTED STRUCTURED OVERSHIRT</t>
  </si>
  <si>
    <t>Regular fit overshirt with quilted interior. Lapel collar and long sleeves with buttoned cuffs. Patch pockets at chest and welt pockets at hip. Front button closure.</t>
  </si>
  <si>
    <t>https://www.zara.com/us/en/technical-overshirt-p05320500.html</t>
  </si>
  <si>
    <t>321993245-500-2</t>
  </si>
  <si>
    <t>TECHNICAL OVERSHIRT</t>
  </si>
  <si>
    <t>Regular fit overshirt with lightly padded interior. Lapel collar and long sleeves with buttoned cuffs. Flap pockets at hip. Front button closure.</t>
  </si>
  <si>
    <t>https://www.zara.com/us/en/plaid-overshirt-p07446410.html</t>
  </si>
  <si>
    <t>330590505-500-2</t>
  </si>
  <si>
    <t>Relaxed fit overshirt. Lapel collar and long sleeves with buttoned cuffs. Chest patch pocket. Front button closure.</t>
  </si>
  <si>
    <t>https://www.zara.com/us/en/suede-fisherman-sandals-p12436320.html</t>
  </si>
  <si>
    <t>320680326-107-39</t>
  </si>
  <si>
    <t>SUEDE FISHERMAN SANDALS</t>
  </si>
  <si>
    <t>Fisherman sandals. Made of leather with a suede finish. Crossed straps at front. Buckled ankle strap closure. Slightly chunky soles.</t>
  </si>
  <si>
    <t>shoes</t>
  </si>
  <si>
    <t>https://www.zara.com/us/en/zipper-multipiece-sneakers-p12319220.html</t>
  </si>
  <si>
    <t>311292244-800-39</t>
  </si>
  <si>
    <t>ZIPPER MULTIPIECE SNEAKERS</t>
  </si>
  <si>
    <t>Running shoes. Upper in a combination of pieces and finishes. Front zip closure. Back pull tab for ease. Chunky soles with irregular design.</t>
  </si>
  <si>
    <t>https://www.zara.com/us/en/suede-laceless-sneakers-p12221320.html</t>
  </si>
  <si>
    <t>311307610-400-39</t>
  </si>
  <si>
    <t>SUEDE LACELESS SNEAKERS</t>
  </si>
  <si>
    <t>Slip on sneakers. Made of leather with a suede finish. Upper in a combination of pieces. Chunky sole.</t>
  </si>
  <si>
    <t>https://www.zara.com/us/en/multicolor-sneakers-p12304320.html</t>
  </si>
  <si>
    <t>311302877-203-39</t>
  </si>
  <si>
    <t>MULTICOLOR SNEAKERS</t>
  </si>
  <si>
    <t>Sneakers. Combination of colors and pieces at upper. Lacing with six pairs of eyelets. Chunky rubber sole with irregular design.</t>
  </si>
  <si>
    <t>https://www.zara.com/us/en/retro-running-sneakers-p12350320.html</t>
  </si>
  <si>
    <t>311302598-500-39</t>
  </si>
  <si>
    <t>RETRO RUNNING SNEAKERS</t>
  </si>
  <si>
    <t>Running shoes. Upper in a combination of pieces and materials. Lacing with seven pairs of eyelets. Chunky lug soles. Retro-inspired design.</t>
  </si>
  <si>
    <t>https://www.zara.com/us/en/suede-high-tops-p12120320.html</t>
  </si>
  <si>
    <t>311297328-800-39</t>
  </si>
  <si>
    <t>SUEDE HIGH-TOPS</t>
  </si>
  <si>
    <t>High top sneakers. Upper in a combination of pieces and materials. Lacing with seven pairs of eyelets. Chunky tonal sole.</t>
  </si>
  <si>
    <t>https://www.zara.com/us/en/suede-strap-sandals-p12707320.html</t>
  </si>
  <si>
    <t>311302865-804-39</t>
  </si>
  <si>
    <t>SUEDE STRAP SANDALS</t>
  </si>
  <si>
    <t>Sandals. Made of leather with a suede finish. Two crossed wide straps at instep. Thick lightweight soles.</t>
  </si>
  <si>
    <t>https://www.zara.com/us/en/multipiece-sneakers-p12215320.html</t>
  </si>
  <si>
    <t>311307489-203-39</t>
  </si>
  <si>
    <t>MULTIPIECE SNEAKERS</t>
  </si>
  <si>
    <t>Sneakers. Upper in a combination of pieces and colors. Lacing with seven pairs of eyelets. Chunky sole with a combination of colors. Retro-inspired design.</t>
  </si>
  <si>
    <t>https://www.zara.com/us/en/topstitch-sneakers-p12240320.html</t>
  </si>
  <si>
    <t>311287075-120-39</t>
  </si>
  <si>
    <t>TOPSTITCH SNEAKERS</t>
  </si>
  <si>
    <t>Sneakers. Pieces and topstitching at upper. Lacing with six pairs of eyelets. Contrasting slightly chunky soles.</t>
  </si>
  <si>
    <t>https://www.zara.com/us/en/retro-sneakers-p12280220.html</t>
  </si>
  <si>
    <t>276378605-515-39</t>
  </si>
  <si>
    <t>RETRO SNEAKERS</t>
  </si>
  <si>
    <t>Sneakers. Upper in a combination of pieces and materials. Lacing with seven pairs of eyelets. Quilted back piece. Chunky sole. Retro style.</t>
  </si>
  <si>
    <t>https://www.zara.com/us/en/retro-high-top-sneakers-p12180220.html</t>
  </si>
  <si>
    <t>277776476-700-39</t>
  </si>
  <si>
    <t>RETRO HIGH TOP SNEAKERS</t>
  </si>
  <si>
    <t>High-top sneakers. Upper in a combination of pieces. Laces with ten pairs of eyelets. Chunky sole.</t>
  </si>
  <si>
    <t>https://www.zara.com/us/en/multi-pieced-retro-sneakers-p12220320.html</t>
  </si>
  <si>
    <t>313381662-202-39</t>
  </si>
  <si>
    <t>MULTI-PIECED RETRO SNEAKERS</t>
  </si>
  <si>
    <t>Sneakers. Upper in a combination of pieces and colors. Lacing with six pairs of eyelets. Textured chunky soles. Retro style.</t>
  </si>
  <si>
    <t>https://www.zara.com/us/en/tassel-leather-loafers-p12609320.html</t>
  </si>
  <si>
    <t>311292343-700-39</t>
  </si>
  <si>
    <t>TASSEL LEATHER LOAFERS</t>
  </si>
  <si>
    <t>Loafers. Made of leather. Smooth upper with ruching at toe. Decorative fringed tassels at instep. Rounded shape. Welt around upper. Chunky lug soles.</t>
  </si>
  <si>
    <t>https://www.zara.com/us/en/moc-toe-suede-boots-p12015320.html</t>
  </si>
  <si>
    <t>311309627-805-39</t>
  </si>
  <si>
    <t>MOC-TOE SUEDE BOOTS</t>
  </si>
  <si>
    <t>Suede leather boots. Ridged seam detail at upper. Lacing with two pairs of eyelets. Welt around upper. Slightly chunky sole.</t>
  </si>
  <si>
    <t>https://www.zara.com/us/en/strap-sandals-p12765320.html</t>
  </si>
  <si>
    <t>315851805-800-39</t>
  </si>
  <si>
    <t>STRAP SANDALS</t>
  </si>
  <si>
    <t>Sandals with two straps. The thin straps hug the instep. Slightly chunky sole.</t>
  </si>
  <si>
    <t>https://www.zara.com/us/en/suede-retro-sneakers-p12309320.html</t>
  </si>
  <si>
    <t>311292644-400-39</t>
  </si>
  <si>
    <t>SUEDE RETRO SNEAKERS</t>
  </si>
  <si>
    <t>Sneakers. Made of leather. Combination of finishes and materials at upper. Lacing with seven pairs of eyelets. Chunky sole in a combination of colors. Retro-inspired design.</t>
  </si>
  <si>
    <t>https://www.zara.com/us/en/hiking-boots-p12103320.html</t>
  </si>
  <si>
    <t>311302552-800-39</t>
  </si>
  <si>
    <t>HIKING BOOTS</t>
  </si>
  <si>
    <t>Lace-up boots. Upper in a combination of pieces and finishes. Laces with metal appliqués and seven pairs of eyelets. Welt detail around upper. Rounded shape. Chunky lug soles.</t>
  </si>
  <si>
    <t>https://www.zara.com/us/en/suede-sneakers-p12502320.html</t>
  </si>
  <si>
    <t>311302532-102-39</t>
  </si>
  <si>
    <t>SUEDE SNEAKERS</t>
  </si>
  <si>
    <t>Sneakers. Made of leather with a suede finish. Laces with five pairs of eyelets. Chunky soles.</t>
  </si>
  <si>
    <t>https://www.zara.com/us/en/faux-shearling-lined-suede-boots-p12050320.html</t>
  </si>
  <si>
    <t>311287147-723-39</t>
  </si>
  <si>
    <t>FAUX SHEARLING LINED SUEDE BOOTS</t>
  </si>
  <si>
    <t>Ankle boots. Made of leather with a suede finish. Faux shearling interior and side detail. Rounded shape. Welt around upper. Back pull tab. Chunky lug soles.</t>
  </si>
  <si>
    <t>https://www.zara.com/us/en/chunky-sole-multipiece-sneakers-p12266220.html</t>
  </si>
  <si>
    <t>311307332-202-39</t>
  </si>
  <si>
    <t>CHUNKY SNEAKERS</t>
  </si>
  <si>
    <t>Sneakers. Upper in a combination of pieces and textures. Shoelaces with six pairs of eyelets at different heights. Chunky irregular design soles. Retro-inspired design.</t>
  </si>
  <si>
    <t>https://www.zara.com/us/en/double-strap-suede-sandals-p12716320.html</t>
  </si>
  <si>
    <t>311282293-131-39</t>
  </si>
  <si>
    <t>DOUBLE STRAP SUEDE SANDALS</t>
  </si>
  <si>
    <t>Sandals. Made of leather with a suede finish. Two wide straps at instep with buckles. Insole with anatomical shaped footbed. Welt around upper. Chunky lug soles.</t>
  </si>
  <si>
    <t>https://www.zara.com/us/en/chunky-sole-canvas-lace-up-boots-p12005320.html</t>
  </si>
  <si>
    <t>311287149-800-39</t>
  </si>
  <si>
    <t>CHUNKY SOLE CANVAS LACE-UP BOOTS</t>
  </si>
  <si>
    <t>High shaft boots. Lacing with eight pairs of eyelets. Back pull tab for ease. Rounded shape. Chunky lug soles.</t>
  </si>
  <si>
    <t>https://www.zara.com/us/en/suede-penny-loafers-p12644320.html</t>
  </si>
  <si>
    <t>311307624-500-39</t>
  </si>
  <si>
    <t>SUEDE PENNY LOAFERS</t>
  </si>
  <si>
    <t>Loafers. Made of leather with a suede finish. Ornamental saddle detail at instep. Rounded shape. Contrasting colored sole.</t>
  </si>
  <si>
    <t>https://www.zara.com/us/en/adherent-stripes-sneakers-p12269320.html</t>
  </si>
  <si>
    <t>311282212-800-39</t>
  </si>
  <si>
    <t>ADHERENT STRIPES SNEAKERS</t>
  </si>
  <si>
    <t>Sneakers. Monochromatic. Upper in a combination of pieces. Closure with three adhesive straps. Slightly chunky sole.</t>
  </si>
  <si>
    <t>https://www.zara.com/us/en/multipiece-sneakers-p12318220.html</t>
  </si>
  <si>
    <t>311292281-203-39</t>
  </si>
  <si>
    <t>Running shoes. Upper in a combination of pieces and finishes. Lacing with six pairs of eyelets. Chunky soles with irregular design. Lug soles. Trek style.</t>
  </si>
  <si>
    <t>https://www.zara.com/us/en/chunky-sole-high-top-sneakers-p12104320.html</t>
  </si>
  <si>
    <t>311302515-800-39</t>
  </si>
  <si>
    <t>CHUNKY SOLE HIGH TOP SNEAKERS</t>
  </si>
  <si>
    <t>High top sneakers. Lacing with nine pairs of eyelets. Contrasting foxing around the upper. Chunky rubberized soles.</t>
  </si>
  <si>
    <t>https://www.zara.com/us/en/contrast-sole-leather-sneakers-p12510320.html</t>
  </si>
  <si>
    <t>314937773-800-39</t>
  </si>
  <si>
    <t>CONTRAST SOLE LEATHER SNEAKERS</t>
  </si>
  <si>
    <t>Sneakers. Made of leather. Upper in a combination of pieces and finishes. Lacing with six pairs of eyelets. Rounded shape. Chunky sole.</t>
  </si>
  <si>
    <t>https://www.zara.com/us/en/suede-running-sneakers-p12320320.html</t>
  </si>
  <si>
    <t>316608794-802-39</t>
  </si>
  <si>
    <t>SUEDE RUNNING SNEAKERS</t>
  </si>
  <si>
    <t>Running shoes. Made of suede leather. Upper in a combination of materials and colors. Lacing with six pairs of eyelets. Chunky soles with irregular design.</t>
  </si>
  <si>
    <t>https://www.zara.com/us/en/woven-leather-slides-p12708320.html</t>
  </si>
  <si>
    <t>319205037-800-39</t>
  </si>
  <si>
    <t>WOVEN LEATHER SLIDES</t>
  </si>
  <si>
    <t>Sandals. Made of leather. Three woven wide straps at instep. Chunky sole.</t>
  </si>
  <si>
    <t>https://www.zara.com/us/en/suede-sneakers-p12216320.html</t>
  </si>
  <si>
    <t>311307495-131-39</t>
  </si>
  <si>
    <t>Sneakers. Made of leather with a suede finish. Contrast lacing with seven pairs of eyelets. Welt around upper. Chunky sole.</t>
  </si>
  <si>
    <t>https://www.zara.com/us/en/asymmetric-cropped-knit-sweater-p06771149.html</t>
  </si>
  <si>
    <t>336449731-712-1</t>
  </si>
  <si>
    <t>ASYMMETRIC CROPPED KNIT SWEATER</t>
  </si>
  <si>
    <t>Woven V-neckline long sleeve sweater. Asymmetric hem.</t>
  </si>
  <si>
    <t>sweaters</t>
  </si>
  <si>
    <t>WOMAN</t>
  </si>
  <si>
    <t>https://www.zara.com/us/en/knit-sweater-with-pearls-p02142249.html</t>
  </si>
  <si>
    <t>313890651-712-2</t>
  </si>
  <si>
    <t>KNIT SWEATER WITH PEARLS</t>
  </si>
  <si>
    <t>Sweater made with 22% wool and 10% alpaca. Round neck and long sleeves. Faux pearl appliqué.</t>
  </si>
  <si>
    <t>https://www.zara.com/us/en/high-collar-knit-sweater-p01509118.html</t>
  </si>
  <si>
    <t>287414911-803-2</t>
  </si>
  <si>
    <t>HIGH COLLAR KNIT SWEATER</t>
  </si>
  <si>
    <t>Sweater with high collar and long sleeves. Front pocket. Side vents at hem. Rib trim.</t>
  </si>
  <si>
    <t>https://www.zara.com/us/en/striped-knit-sweater-p06427115.html</t>
  </si>
  <si>
    <t>342171615-104-2</t>
  </si>
  <si>
    <t>STRIPED KNIT SWEATER</t>
  </si>
  <si>
    <t>Sweater with high collar and long sleeves. Front zip closure.</t>
  </si>
  <si>
    <t>https://www.zara.com/us/en/cable-knit-metallic-sweater-p04369103.html</t>
  </si>
  <si>
    <t>314152967-485-2</t>
  </si>
  <si>
    <t>CABLE KNIT METALLIC SWEATER</t>
  </si>
  <si>
    <t>Round neck long sleeve sweater. Metallic fabric detail and frayed trim.</t>
  </si>
  <si>
    <t>https://www.zara.com/us/en/asymmetrical-wool-and-silk-blend-sweater-p09598025.html</t>
  </si>
  <si>
    <t>324186867-642-2</t>
  </si>
  <si>
    <t>ASYMMETRICAL WOOL AND SILK BLEND SWEATER</t>
  </si>
  <si>
    <t>Wool and silk blend sweater. Asymmetric neckline and long sleeves.</t>
  </si>
  <si>
    <t>https://www.zara.com/us/en/wool-and-cashmere-blend-rib-sweater-p02893054.html</t>
  </si>
  <si>
    <t>316900618-809-2</t>
  </si>
  <si>
    <t>WOOL AND CASHMERE BLEND RIB SWEATER</t>
  </si>
  <si>
    <t>Sweater made with 80% wool and 20% cashmere. Round neck and long sleeves.</t>
  </si>
  <si>
    <t>https://www.zara.com/us/en/alpaca-and-wool-blend-tie-dye-knit-sweater-p02142220.html</t>
  </si>
  <si>
    <t>313890645-330-2</t>
  </si>
  <si>
    <t>ALPACA AND WOOL BLEND TIE DYE KNIT SWEATER</t>
  </si>
  <si>
    <t>Sweater made with 31% wool and 28% alpaca. Round neck and long sleeves.</t>
  </si>
  <si>
    <t>https://www.zara.com/us/en/mock-neck-wool-and-silk-blend-knit-top-p09598125.html</t>
  </si>
  <si>
    <t>324597432-800-2</t>
  </si>
  <si>
    <t>MOCK NECK WOOL AND SILK BLEND KNIT TOP</t>
  </si>
  <si>
    <t>Wool and silk blend top. High collar and long sleeves.</t>
  </si>
  <si>
    <t>https://www.zara.com/us/en/cashmere-blend-knit-sweater-p02893169.html</t>
  </si>
  <si>
    <t>313890686-731-2</t>
  </si>
  <si>
    <t>CASHMERE BLEND KNIT SWEATER</t>
  </si>
  <si>
    <t>Sweater made with 95% cashmere. V-neck and long sleeves. Rib trim.</t>
  </si>
  <si>
    <t>https://www.zara.com/us/en/alpaca-blend-open-knit-sweater-p05755132.html</t>
  </si>
  <si>
    <t>313890650-712-2</t>
  </si>
  <si>
    <t>ALPACA BLEND OPEN KNIT SWEATER</t>
  </si>
  <si>
    <t>Sweater made with 63% alpaca. Round neck and long sleeves.</t>
  </si>
  <si>
    <t>https://www.zara.com/us/en/oversized-knit-sweater-p09598288.html</t>
  </si>
  <si>
    <t>313890680-450-2</t>
  </si>
  <si>
    <t>OVERSIZED KNIT SWEATER</t>
  </si>
  <si>
    <t>Sweater made with 20% wool and 17% alpaca. Crew neck and long sleeves. Tonal rib trim.</t>
  </si>
  <si>
    <t>https://www.zara.com/us/en/wool-blend-knit-sweater-p02893159.html</t>
  </si>
  <si>
    <t>344575855-982-2</t>
  </si>
  <si>
    <t>WOOL BLEND KNIT SWEATER</t>
  </si>
  <si>
    <t>Sweater made with 31% wool. Round neck and long sleeves. Rib trim.</t>
  </si>
  <si>
    <t>https://www.zara.com/us/en/soft-jewel-sweater-p02298153.html</t>
  </si>
  <si>
    <t>323175653-803-2</t>
  </si>
  <si>
    <t>SOFT JEWEL SWEATER</t>
  </si>
  <si>
    <t>Sweater made of soft touch fabric. Round neckline with jewel appliqués and long sleeves.</t>
  </si>
  <si>
    <t>https://www.zara.com/us/en/faux-fur-jewel-sweater-p07901339.html</t>
  </si>
  <si>
    <t>324814227-400-2</t>
  </si>
  <si>
    <t>FAUX FUR JEWEL SWEATER</t>
  </si>
  <si>
    <t>Round neck short sleeve sweater. Soft feel faux fur fabric. Jewel appliqués.</t>
  </si>
  <si>
    <t>https://www.zara.com/us/en/metal-bead-knit-sweater-p03920018.html</t>
  </si>
  <si>
    <t>323218942-800-2</t>
  </si>
  <si>
    <t>METAL BEAD KNIT SWEATER</t>
  </si>
  <si>
    <t>Round neck long sleeve sweater. Side slit at hem with metal bead appliqués.</t>
  </si>
  <si>
    <t>https://www.zara.com/us/en/knit-sweater-with-buttons-p08851131.html</t>
  </si>
  <si>
    <t>313890656-800-2</t>
  </si>
  <si>
    <t>KNIT SWEATER WITH BUTTONS</t>
  </si>
  <si>
    <t>Basic sweater with round neck and long sleeves. Side button details at shoulders.</t>
  </si>
  <si>
    <t>https://www.zara.com/us/en/jewel-knit-sweater-p05755005.html</t>
  </si>
  <si>
    <t>321480271-802-2</t>
  </si>
  <si>
    <t>JEWEL KNIT SWEATER</t>
  </si>
  <si>
    <t>Round neck sweater with jewel appliqués and long sleeves. Back opening with button closure.</t>
  </si>
  <si>
    <t>https://www.zara.com/us/en/knit-sweater-with-piping-p05536151.html</t>
  </si>
  <si>
    <t>311297787-806-1</t>
  </si>
  <si>
    <t>KNIT SWEATER WITH PIPING</t>
  </si>
  <si>
    <t>Round neck long sleeve sweater. Contrasting piping detail. Rib trim.</t>
  </si>
  <si>
    <t>https://www.zara.com/us/en/fine-knit-crop-sweater-p09598029.html</t>
  </si>
  <si>
    <t>322677494-446-1</t>
  </si>
  <si>
    <t>FINE KNIT CROP SWEATER</t>
  </si>
  <si>
    <t>Cropped fine knit sweater with round neck and long sleeves.</t>
  </si>
  <si>
    <t>https://www.zara.com/us/en/knit-sweater-with-rips-p00021110.html</t>
  </si>
  <si>
    <t>313890688-330-1</t>
  </si>
  <si>
    <t>KNIT SWEATER WITH RIPS</t>
  </si>
  <si>
    <t>Round neck long sleeve sweater. Openwork detail with rips.</t>
  </si>
  <si>
    <t>https://www.zara.com/us/en/gathered-waist-knit-sweater-p05536012.html</t>
  </si>
  <si>
    <t>322451460-800-1</t>
  </si>
  <si>
    <t>GATHERED WAIST KNIT SWEATER</t>
  </si>
  <si>
    <t>Round neck long sleeve sweater. Fitted waist with side ruching.</t>
  </si>
  <si>
    <t>https://www.zara.com/us/en/knit-v-neck-sweater-p06771003.html</t>
  </si>
  <si>
    <t>319465261-800-2</t>
  </si>
  <si>
    <t>KNIT V-NECK SWEATER</t>
  </si>
  <si>
    <t>V-neck sweater with long sleeves. Rib trim.</t>
  </si>
  <si>
    <t>https://www.zara.com/us/en/basic-foil-knit-sweater-p00506101.html</t>
  </si>
  <si>
    <t>317331009-312-2</t>
  </si>
  <si>
    <t>BASIC FOIL KNIT SWEATER</t>
  </si>
  <si>
    <t>Round neck long sleeve sweater. Rib trim.</t>
  </si>
  <si>
    <t>https://www.zara.com/us/en/contrast-topstitching-crop-knit-sweater-p09598003.html</t>
  </si>
  <si>
    <t>311297400-803-1</t>
  </si>
  <si>
    <t>CONTRAST TOPSTITCHING CROP KNIT SWEATER</t>
  </si>
  <si>
    <t>V-neck cropped sweater with long sleeves. Front patch pockets. Contrast topstitching.</t>
  </si>
  <si>
    <t>https://www.zara.com/us/en/striped-crop-knit-sweater-p06771158.html</t>
  </si>
  <si>
    <t>336449779-104-1</t>
  </si>
  <si>
    <t>STRIPED CROP KNIT SWEATER</t>
  </si>
  <si>
    <t>Long sleeve high collar cropped sweater. Frayed hem.</t>
  </si>
  <si>
    <t>https://www.zara.com/us/en/basic-knit-sweater-p01509115.html</t>
  </si>
  <si>
    <t>324593343-043-2</t>
  </si>
  <si>
    <t>BASIC KNIT SWEATER</t>
  </si>
  <si>
    <t>Long sleeve round neck sweater. Side vents at hem. Rib trim.</t>
  </si>
  <si>
    <t>https://www.zara.com/us/en/v-neck-knit-sweater-p03519001.html</t>
  </si>
  <si>
    <t>319473750-809-1</t>
  </si>
  <si>
    <t>V-NECK KNIT SWEATER</t>
  </si>
  <si>
    <t>V-neck sweater with long sleeves. Side vents at hem.</t>
  </si>
  <si>
    <t>https://www.zara.com/us/en/foil-knit-crop-sweater-p06771001.html</t>
  </si>
  <si>
    <t>331789902-808-1</t>
  </si>
  <si>
    <t>FOIL KNIT CROP SWEATER</t>
  </si>
  <si>
    <t>Ribbed sweater with round neck and long sleeves. Ripped hem.</t>
  </si>
  <si>
    <t>https://www.zara.com/us/en/basic-100-wool-sweater-p02893106.html</t>
  </si>
  <si>
    <t>300250126-401-2</t>
  </si>
  <si>
    <t>BASIC 100% WOOL SWEATER</t>
  </si>
  <si>
    <t>Sweater made of 100% wool. Round neck and long sleeves. Ribbed trim.</t>
  </si>
  <si>
    <t>https://www.zara.com/us/en/colorblock-knit-crop-sweater-p05536008.html</t>
  </si>
  <si>
    <t>320052978-401-2</t>
  </si>
  <si>
    <t>COLORBLOCK KNIT CROP SWEATER</t>
  </si>
  <si>
    <t>Short sweater with round neck and long sleeves.</t>
  </si>
  <si>
    <t>https://www.zara.com/us/en/fine-knit-sweater-p09598045.html</t>
  </si>
  <si>
    <t>324722597-400-2</t>
  </si>
  <si>
    <t>FINE KNIT SWEATER</t>
  </si>
  <si>
    <t>V-neck sweater with long sleeves.</t>
  </si>
  <si>
    <t>https://www.zara.com/us/en/knit-open-back-pearly-sweater-p04331152.html</t>
  </si>
  <si>
    <t>328207551-500-2</t>
  </si>
  <si>
    <t>KNIT OPEN BACK PEARLY SWEATER</t>
  </si>
  <si>
    <t>High collar sweater with long sleeves. Open back detail and pearl appliqués. Back button closure.</t>
  </si>
  <si>
    <t>https://www.zara.com/us/en/knit-pearl-sweater-p04331165.html</t>
  </si>
  <si>
    <t>318131967-800-2</t>
  </si>
  <si>
    <t>KNIT PEARL SWEATER</t>
  </si>
  <si>
    <t>Round neck long sleeve sweater. Tonal pearl appliqués and open back with tie.</t>
  </si>
  <si>
    <t>https://www.zara.com/us/en/striped-textured-overshirt-p04179056.html</t>
  </si>
  <si>
    <t>324027512-064-2</t>
  </si>
  <si>
    <t>STRIPED TEXTURED OVERSHIRT</t>
  </si>
  <si>
    <t>Relaxed fit overshirt. Lapel collar and long sleeves with buttoned cuffs. Patch pockets at hip. Front button closure.</t>
  </si>
  <si>
    <t>https://www.zara.com/us/en/fleece-overshirt-p01248320.html</t>
  </si>
  <si>
    <t>311292623-712-97</t>
  </si>
  <si>
    <t>FLEECE OVERSHIRT</t>
  </si>
  <si>
    <t>Regular fit overshirt. Lapel collar and long sleeves with buttoned cuffs. Chest patch pockets. Front button closure.</t>
  </si>
  <si>
    <t>https://www.zara.com/us/en/plaid-overshirt-p04054659.html</t>
  </si>
  <si>
    <t>319162032-064-2</t>
  </si>
  <si>
    <t>Relaxed fit overshirt. Lapel collar and long sleeves with buttoned cuffs. Chest patch pockets. Front button closure.</t>
  </si>
  <si>
    <t>https://www.zara.com/us/en/baggy-fit-jeans-limited-edition-p03991480.html</t>
  </si>
  <si>
    <t>324908098-800-38</t>
  </si>
  <si>
    <t>BAGGY FIT JEANS LIMITED EDITION</t>
  </si>
  <si>
    <t>Baggy jeans. Five pockets. Washed effect. Front zip and button closure.</t>
  </si>
  <si>
    <t>jeans</t>
  </si>
  <si>
    <t>https://www.zara.com/us/en/baggy-belted-jeans-p04365401.html</t>
  </si>
  <si>
    <t>326540983-802-36</t>
  </si>
  <si>
    <t>BAGGY BELTED JEANS</t>
  </si>
  <si>
    <t>Baggy jeans. Self belt at waist. Front pockets and back patch pockets. Washed effect. Front button closure.</t>
  </si>
  <si>
    <t>https://www.zara.com/us/en/baggy-fit-jeans-p08062482.html</t>
  </si>
  <si>
    <t>315836999-406-34</t>
  </si>
  <si>
    <t>BAGGY FIT JEANS</t>
  </si>
  <si>
    <t>Baggy fit jeans. Five pockets. Washed effect. Front zip and button closure.</t>
  </si>
  <si>
    <t>https://www.zara.com/us/en/baggy-fit-jeans-p06688486.html</t>
  </si>
  <si>
    <t>315738965-802-34</t>
  </si>
  <si>
    <t>https://www.zara.com/us/en/flared-fit-cargo-jeans-p06688411.html</t>
  </si>
  <si>
    <t>311287318-400-38</t>
  </si>
  <si>
    <t>FLARED FIT CARGO JEANS</t>
  </si>
  <si>
    <t>Flared jeans. Patch pockets with flaps at hip. Patch pocket appliqués at legs. Washed effect. Adjustable hem with zippers. Front zipper and crossover button closure.</t>
  </si>
  <si>
    <t>https://www.zara.com/us/en/pleated-wide-fit-jeans-p05862417.html</t>
  </si>
  <si>
    <t>312393140-406-2</t>
  </si>
  <si>
    <t>PLEATED WIDE FIT JEANS</t>
  </si>
  <si>
    <t>Wide fit jeans. Adjustable interior elastic waistband with front pleats. Front pockets and back patch pockets. Washed effect. Front zip and button closure.</t>
  </si>
  <si>
    <t>https://www.zara.com/us/en/denim-shirt-p06085371.html</t>
  </si>
  <si>
    <t>275600408-400-2</t>
  </si>
  <si>
    <t>DENIM SHIRT</t>
  </si>
  <si>
    <t>Relaxed fit shirt made of denim fabric. Lapel collar and short sleeves. Chest patch pocket. Washed effect. Front button closure.</t>
  </si>
  <si>
    <t>https://www.zara.com/us/en/ripped-straight-fit-jeans-p03991404.html</t>
  </si>
  <si>
    <t>311303003-407-38</t>
  </si>
  <si>
    <t>RIPPED STRAIGHT FIT JEANS</t>
  </si>
  <si>
    <t>Straight fit jeans. Five pockets. Washed effect with rips at legs. Front button closure.</t>
  </si>
  <si>
    <t>https://www.zara.com/us/en/textured-sweater-p02893403.html</t>
  </si>
  <si>
    <t>311307250-710-3</t>
  </si>
  <si>
    <t>TEXTURED SWEATER</t>
  </si>
  <si>
    <t>Sweater made of 30% wool thread. Round neck and long sleeves. Rib trim.</t>
  </si>
  <si>
    <t>https://www.zara.com/us/en/purl-knit-sweater-p03332300.html</t>
  </si>
  <si>
    <t>267195405-500-3</t>
  </si>
  <si>
    <t>PURL KNIT SWEATER</t>
  </si>
  <si>
    <t>High collar sweater with front zipper. Long sleeves. Rib trim.</t>
  </si>
  <si>
    <t>https://www.zara.com/us/en/braided-color-block-sweater-p03284412.html</t>
  </si>
  <si>
    <t>317894313-707-3</t>
  </si>
  <si>
    <t>BRAIDED COLOR BLOCK SWEATER</t>
  </si>
  <si>
    <t>Round neck long sleeve full cut sweater. Rib trim.</t>
  </si>
  <si>
    <t>https://www.zara.com/us/en/contrast-interior-sweater-p04696400.html</t>
  </si>
  <si>
    <t>315075917-803-2</t>
  </si>
  <si>
    <t>CONTRAST INTERIOR SWEATER</t>
  </si>
  <si>
    <t>Cotton blend sweater. Round neck and long sleeves. Contrast interior. Rib trim.</t>
  </si>
  <si>
    <t>https://www.zara.com/us/en/abstract-jacquard-sweater-p03284407.html</t>
  </si>
  <si>
    <t>317889153-700-3</t>
  </si>
  <si>
    <t>ABSTRACT JACQUARD SWEATER</t>
  </si>
  <si>
    <t>Full cut cotton knit sweater. Round neck and long sleeves. Rib trim.</t>
  </si>
  <si>
    <t>https://www.zara.com/us/en/basic-slim-fit-t-shirt-p05584361.html</t>
  </si>
  <si>
    <t>315241755-800-2</t>
  </si>
  <si>
    <t>BASIC SLIM FIT T-SHIRT</t>
  </si>
  <si>
    <t>Slim fit shirt. Round neck and short sleeves.</t>
  </si>
  <si>
    <t>t-shirts</t>
  </si>
  <si>
    <t>https://www.zara.com/us/en/cropped-washed-t-shirt-p03665403.html</t>
  </si>
  <si>
    <t>320326523-707-2</t>
  </si>
  <si>
    <t>CROPPED WASHED T-SHIRT</t>
  </si>
  <si>
    <t>Cropped fit T-shirt with round neck and short sleeves. Contrasting front and back prints. Washed effect.</t>
  </si>
  <si>
    <t>https://www.zara.com/us/en/basic-heavyweight-t-shirt-p01887450.html</t>
  </si>
  <si>
    <t>316715458-250-2</t>
  </si>
  <si>
    <t>BASIC HEAVYWEIGHT T-SHIRT</t>
  </si>
  <si>
    <t>Roomy T-shirt made of dense cotton. Round neck and short sleeves.</t>
  </si>
  <si>
    <t>https://www.zara.com/us/en/heart-print-t-shirt-p06224419.html</t>
  </si>
  <si>
    <t>322677489-800-2</t>
  </si>
  <si>
    <t>HEART PRINT T-SHIRT</t>
  </si>
  <si>
    <t>Boxy fit T-shirt with round neck and short sleeves. Contrasting prints at shoulder and back.</t>
  </si>
  <si>
    <t>https://www.zara.com/us/en/text-t-shirt-p00962458.html</t>
  </si>
  <si>
    <t>330077856-251-2</t>
  </si>
  <si>
    <t>TEXT T-SHIRT</t>
  </si>
  <si>
    <t>Boxy fit T-shirt. Round neck and short sleeves. Velvet effect print with contrast text.</t>
  </si>
  <si>
    <t>https://www.zara.com/us/en/printed-cropped-fit-shirt-limited-edition-p06224490.html</t>
  </si>
  <si>
    <t>328232452-898-2</t>
  </si>
  <si>
    <t>PRINTED CROPPED FIT SHIRT LIMITED EDITION</t>
  </si>
  <si>
    <t>Cropped shirt. Round neckline. Contrasting front print. Washed effect. Irregular trim.</t>
  </si>
  <si>
    <t>https://www.zara.com/us/en/ribbed-knit-t-shirt-p03332431.html</t>
  </si>
  <si>
    <t>317230892-251-3</t>
  </si>
  <si>
    <t>RIBBED KNIT T-SHIRT</t>
  </si>
  <si>
    <t>Cotton knit tank top. Round neck with front button closure. Rib trim.</t>
  </si>
  <si>
    <t>https://www.zara.com/us/en/oversize-fit-t-shirt-p04092405.html</t>
  </si>
  <si>
    <t>330478123-712-2</t>
  </si>
  <si>
    <t>OVERSIZE FIT T-SHIRT</t>
  </si>
  <si>
    <t>Oversized T-shirt. Round neck and short sleeves.</t>
  </si>
  <si>
    <t>https://www.zara.com/us/en/basic-medium-weight-t-shirt-p01887470.html</t>
  </si>
  <si>
    <t>318255748-250-2</t>
  </si>
  <si>
    <t>BASIC MEDIUM WEIGHT T-SHIRT</t>
  </si>
  <si>
    <t>Regular fit T-shirt. Round neck and short sleeves.</t>
  </si>
  <si>
    <t>https://www.zara.com/us/en/structured-text-t-shirt-p00761434.html</t>
  </si>
  <si>
    <t>319334069-712-2</t>
  </si>
  <si>
    <t>STRUCTURED TEXT T-SHIRT</t>
  </si>
  <si>
    <t>Full cut T-shirt made of mesh textured fabric. Contrast rib V-neckline and short sleeves. Front contrast printed text.</t>
  </si>
  <si>
    <t>https://www.zara.com/us/en/abstract-print-t-shirt-p06224403.html</t>
  </si>
  <si>
    <t>311307261-712-2</t>
  </si>
  <si>
    <t>ABSTRACT PRINT T-SHIRT</t>
  </si>
  <si>
    <t>Full cut T-shirt with crew neck and short sleeves. Contrasting front and back prints. Washed effect.</t>
  </si>
  <si>
    <t>https://www.zara.com/us/en/raised-text-t-shirt-limited-edition-p00977490.html</t>
  </si>
  <si>
    <t>323216369-922-2</t>
  </si>
  <si>
    <t>RAISED TEXT T-SHIRT LIMITED EDITION</t>
  </si>
  <si>
    <t>Full cut T-shirt with round neck and short sleeves. Front tonal raised text. Washed effect.</t>
  </si>
  <si>
    <t>https://www.zara.com/us/en/ribbed-knit-t-shirt-p04805409.html</t>
  </si>
  <si>
    <t>320111404-428-2</t>
  </si>
  <si>
    <t>Cropped fit knit shirt. Round neck and long sleeves. Washed effect.</t>
  </si>
  <si>
    <t>https://www.zara.com/us/en/semi-sheer-knit-shirt-limited-edition-p04805424.html</t>
  </si>
  <si>
    <t>328232445-800-2</t>
  </si>
  <si>
    <t>SEMI-SHEER KNIT SHIRT LIMITED EDITION</t>
  </si>
  <si>
    <t>Slim fit shirt made of wrinkle effect fabric. Round neck and long sleeves.</t>
  </si>
  <si>
    <t>https://www.zara.com/us/en/viscose-blend-knit-t-shirt-p00693401.html</t>
  </si>
  <si>
    <t>311297550-251-2</t>
  </si>
  <si>
    <t>VISCOSE BLEND KNIT T-SHIRT</t>
  </si>
  <si>
    <t>Knit shirt in viscose blend fabric. Mock neck and short sleeves. Rib trim.</t>
  </si>
  <si>
    <t>https://www.zara.com/us/en/striped-jacquard-t-shirt-p05372400.html</t>
  </si>
  <si>
    <t>322909502-819-2</t>
  </si>
  <si>
    <t>STRIPED JACQUARD T-SHIRT</t>
  </si>
  <si>
    <t>Relaxed fit T-shirt with round neck and short sleeves.</t>
  </si>
  <si>
    <t>https://www.zara.com/us/en/abstract-print-knit-t-shirt-p04805401.html</t>
  </si>
  <si>
    <t>320071210-802-2</t>
  </si>
  <si>
    <t>ABSTRACT PRINT KNIT T-SHIRT</t>
  </si>
  <si>
    <t>Cotton knit T-shirt. Round neck and short sleeves.</t>
  </si>
  <si>
    <t>https://www.zara.com/us/en/structured-text-t-shirt-p00761435.html</t>
  </si>
  <si>
    <t>319334070-401-2</t>
  </si>
  <si>
    <t xml:space="preserve">aggregate functions </t>
  </si>
  <si>
    <t xml:space="preserve">functions </t>
  </si>
  <si>
    <t>sum</t>
  </si>
  <si>
    <t>max</t>
  </si>
  <si>
    <t>min</t>
  </si>
  <si>
    <t xml:space="preserve">count </t>
  </si>
  <si>
    <t xml:space="preserve">count if </t>
  </si>
  <si>
    <t>if</t>
  </si>
  <si>
    <t xml:space="preserve">multiple if </t>
  </si>
  <si>
    <t>sum if</t>
  </si>
  <si>
    <t>sumifs</t>
  </si>
  <si>
    <t>vlookup</t>
  </si>
  <si>
    <t xml:space="preserve">index match </t>
  </si>
  <si>
    <t>index match 2</t>
  </si>
  <si>
    <t>index match 3</t>
  </si>
  <si>
    <t>sumifs2</t>
  </si>
  <si>
    <t>Row Labels</t>
  </si>
  <si>
    <t>Grand Total</t>
  </si>
  <si>
    <t>Sum of Sales Volume</t>
  </si>
  <si>
    <t xml:space="preserve">product categroy and sales based on season </t>
  </si>
  <si>
    <t>sales based on promotion</t>
  </si>
  <si>
    <t>sales based on section</t>
  </si>
  <si>
    <t>Sum of price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</si>
</sst>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applyNumberFormat="1"/>
    <xf numFmtId="22"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cellXfs>
  <cellStyles count="1">
    <cellStyle name="Normal" xfId="0" builtinId="0"/>
  </cellStyles>
  <dxfs count="25">
    <dxf>
      <numFmt numFmtId="0" formatCode="General"/>
    </dxf>
    <dxf>
      <numFmt numFmtId="0" formatCode="General"/>
    </dxf>
    <dxf>
      <fill>
        <patternFill>
          <bgColor theme="6"/>
        </patternFill>
      </fil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m/d/yyyy\ h:m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connections" Target="connection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1.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[zara data analysis with dashabord.xlsx]pivot table !PivotTable1</c:name>
    <c:fmtId val="10"/>
  </c:pivotSource>
  <c:chart>
    <c:title>
      <c:tx>
        <c:rich>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r>
              <a:rPr lang="en-US"/>
              <a:t>sales based on seasonality and product category</a:t>
            </a:r>
          </a:p>
        </c:rich>
      </c:tx>
      <c:overlay val="0"/>
      <c:spPr>
        <a:noFill/>
        <a:ln>
          <a:noFill/>
        </a:ln>
        <a:effectLst/>
      </c:spPr>
      <c:txPr>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endParaRPr lang="en-US"/>
        </a:p>
      </c:txPr>
    </c:title>
    <c:autoTitleDeleted val="0"/>
    <c:pivotFmts>
      <c:pivotFmt>
        <c:idx val="0"/>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circle"/>
          <c:size val="6"/>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'!$B$3</c:f>
              <c:strCache>
                <c:ptCount val="1"/>
                <c:pt idx="0">
                  <c:v>Total</c:v>
                </c:pt>
              </c:strCache>
            </c:strRef>
          </c:tx>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multiLvlStrRef>
              <c:f>'pivot table '!$A$4:$A$7</c:f>
              <c:multiLvlStrCache>
                <c:ptCount val="2"/>
                <c:lvl>
                  <c:pt idx="0">
                    <c:v>No</c:v>
                  </c:pt>
                  <c:pt idx="1">
                    <c:v>Yes</c:v>
                  </c:pt>
                </c:lvl>
                <c:lvl>
                  <c:pt idx="0">
                    <c:v>Clothing</c:v>
                  </c:pt>
                </c:lvl>
              </c:multiLvlStrCache>
            </c:multiLvlStrRef>
          </c:cat>
          <c:val>
            <c:numRef>
              <c:f>'pivot table '!$B$4:$B$7</c:f>
              <c:numCache>
                <c:formatCode>General</c:formatCode>
                <c:ptCount val="2"/>
                <c:pt idx="0">
                  <c:v>226392</c:v>
                </c:pt>
                <c:pt idx="1">
                  <c:v>233181</c:v>
                </c:pt>
              </c:numCache>
            </c:numRef>
          </c:val>
          <c:extLst>
            <c:ext xmlns:c16="http://schemas.microsoft.com/office/drawing/2014/chart" uri="{C3380CC4-5D6E-409C-BE32-E72D297353CC}">
              <c16:uniqueId val="{00000000-B2F6-4F13-A0CF-4ECE1337185A}"/>
            </c:ext>
          </c:extLst>
        </c:ser>
        <c:dLbls>
          <c:dLblPos val="inEnd"/>
          <c:showLegendKey val="0"/>
          <c:showVal val="1"/>
          <c:showCatName val="0"/>
          <c:showSerName val="0"/>
          <c:showPercent val="0"/>
          <c:showBubbleSize val="0"/>
        </c:dLbls>
        <c:gapWidth val="41"/>
        <c:axId val="822227584"/>
        <c:axId val="822229984"/>
      </c:barChart>
      <c:catAx>
        <c:axId val="82222758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822229984"/>
        <c:crosses val="autoZero"/>
        <c:auto val="1"/>
        <c:lblAlgn val="ctr"/>
        <c:lblOffset val="100"/>
        <c:noMultiLvlLbl val="0"/>
      </c:catAx>
      <c:valAx>
        <c:axId val="822229984"/>
        <c:scaling>
          <c:orientation val="minMax"/>
        </c:scaling>
        <c:delete val="1"/>
        <c:axPos val="l"/>
        <c:numFmt formatCode="General" sourceLinked="1"/>
        <c:majorTickMark val="none"/>
        <c:minorTickMark val="none"/>
        <c:tickLblPos val="nextTo"/>
        <c:crossAx val="8222275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[zara data analysis with dashabord.xlsx]pivot table !PivotTable3</c:name>
    <c:fmtId val="5"/>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sales based on section </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'pivot table '!$B$19</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7F43-48FE-86E6-85ED85517077}"/>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7F43-48FE-86E6-85ED85517077}"/>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 '!$A$20:$A$22</c:f>
              <c:strCache>
                <c:ptCount val="2"/>
                <c:pt idx="0">
                  <c:v>MAN</c:v>
                </c:pt>
                <c:pt idx="1">
                  <c:v>WOMAN</c:v>
                </c:pt>
              </c:strCache>
            </c:strRef>
          </c:cat>
          <c:val>
            <c:numRef>
              <c:f>'pivot table '!$B$20:$B$22</c:f>
              <c:numCache>
                <c:formatCode>General</c:formatCode>
                <c:ptCount val="2"/>
                <c:pt idx="0">
                  <c:v>396199</c:v>
                </c:pt>
                <c:pt idx="1">
                  <c:v>63374</c:v>
                </c:pt>
              </c:numCache>
            </c:numRef>
          </c:val>
          <c:extLst>
            <c:ext xmlns:c16="http://schemas.microsoft.com/office/drawing/2014/chart" uri="{C3380CC4-5D6E-409C-BE32-E72D297353CC}">
              <c16:uniqueId val="{00000004-7F43-48FE-86E6-85ED85517077}"/>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[zara data analysis with dashabord.xlsx]pivot table !PivotTable2</c:name>
    <c:fmtId val="1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promotion</a:t>
            </a:r>
            <a:r>
              <a:rPr lang="en-US" baseline="0"/>
              <a:t> wise sales </a:t>
            </a:r>
          </a:p>
          <a:p>
            <a:pPr>
              <a:defRPr/>
            </a:pPr>
            <a:endParaRPr lang="en-US"/>
          </a:p>
        </c:rich>
      </c:tx>
      <c:layout>
        <c:manualLayout>
          <c:xMode val="edge"/>
          <c:yMode val="edge"/>
          <c:x val="0.32137073102548575"/>
          <c:y val="2.9130327318950618E-3"/>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'pivot table '!$B$11</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multiLvlStrRef>
              <c:f>'pivot table '!$A$12:$A$15</c:f>
              <c:multiLvlStrCache>
                <c:ptCount val="2"/>
                <c:lvl>
                  <c:pt idx="0">
                    <c:v>No</c:v>
                  </c:pt>
                  <c:pt idx="1">
                    <c:v>Yes</c:v>
                  </c:pt>
                </c:lvl>
                <c:lvl>
                  <c:pt idx="0">
                    <c:v>Zara</c:v>
                  </c:pt>
                </c:lvl>
              </c:multiLvlStrCache>
            </c:multiLvlStrRef>
          </c:cat>
          <c:val>
            <c:numRef>
              <c:f>'pivot table '!$B$12:$B$15</c:f>
              <c:numCache>
                <c:formatCode>General</c:formatCode>
                <c:ptCount val="2"/>
                <c:pt idx="0">
                  <c:v>240312</c:v>
                </c:pt>
                <c:pt idx="1">
                  <c:v>219261</c:v>
                </c:pt>
              </c:numCache>
            </c:numRef>
          </c:val>
          <c:extLst>
            <c:ext xmlns:c16="http://schemas.microsoft.com/office/drawing/2014/chart" uri="{C3380CC4-5D6E-409C-BE32-E72D297353CC}">
              <c16:uniqueId val="{00000000-1BE4-4F6B-8D46-A41C1DBBB054}"/>
            </c:ext>
          </c:extLst>
        </c:ser>
        <c:dLbls>
          <c:showLegendKey val="0"/>
          <c:showVal val="0"/>
          <c:showCatName val="0"/>
          <c:showSerName val="0"/>
          <c:showPercent val="0"/>
          <c:showBubbleSize val="0"/>
        </c:dLbls>
        <c:gapWidth val="150"/>
        <c:shape val="box"/>
        <c:axId val="825614784"/>
        <c:axId val="825615264"/>
        <c:axId val="0"/>
      </c:bar3DChart>
      <c:catAx>
        <c:axId val="82561478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25615264"/>
        <c:crosses val="autoZero"/>
        <c:auto val="1"/>
        <c:lblAlgn val="ctr"/>
        <c:lblOffset val="100"/>
        <c:noMultiLvlLbl val="0"/>
      </c:catAx>
      <c:valAx>
        <c:axId val="825615264"/>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256147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[zara data analysis with dashabord.xlsx]pivot table !PivotTable4</c:name>
    <c:fmtId val="5"/>
  </c:pivotSource>
  <c:chart>
    <c:title>
      <c:tx>
        <c:rich>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r>
              <a:rPr lang="en-US"/>
              <a:t>impact</a:t>
            </a:r>
            <a:r>
              <a:rPr lang="en-US" baseline="0"/>
              <a:t> on sales of promotional price </a:t>
            </a:r>
          </a:p>
          <a:p>
            <a:pPr>
              <a:defRPr/>
            </a:pPr>
            <a:endParaRPr lang="en-US"/>
          </a:p>
        </c:rich>
      </c:tx>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endParaRPr lang="en-US"/>
        </a:p>
      </c:txPr>
    </c:title>
    <c:autoTitleDeleted val="0"/>
    <c:pivotFmts>
      <c:pivotFmt>
        <c:idx val="0"/>
        <c:spPr>
          <a:solidFill>
            <a:schemeClr val="accent1"/>
          </a:solidFill>
          <a:ln>
            <a:noFill/>
          </a:ln>
          <a:effectLst/>
        </c:spPr>
        <c:marker>
          <c:symbol val="circle"/>
          <c:size val="6"/>
          <c:spPr>
            <a:solidFill>
              <a:schemeClr val="lt1"/>
            </a:solidFill>
            <a:ln w="1587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6"/>
          <c:spPr>
            <a:solidFill>
              <a:schemeClr val="lt1"/>
            </a:solidFill>
            <a:ln w="15875">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'!$B$25</c:f>
              <c:strCache>
                <c:ptCount val="1"/>
                <c:pt idx="0">
                  <c:v>Sum of price</c:v>
                </c:pt>
              </c:strCache>
            </c:strRef>
          </c:tx>
          <c:spPr>
            <a:solidFill>
              <a:schemeClr val="accent1"/>
            </a:solidFill>
            <a:ln>
              <a:noFill/>
            </a:ln>
            <a:effectLst/>
          </c:spPr>
          <c:invertIfNegative val="0"/>
          <c:cat>
            <c:strRef>
              <c:f>'pivot table '!$A$26:$A$28</c:f>
              <c:strCache>
                <c:ptCount val="2"/>
                <c:pt idx="0">
                  <c:v>No</c:v>
                </c:pt>
                <c:pt idx="1">
                  <c:v>Yes</c:v>
                </c:pt>
              </c:strCache>
            </c:strRef>
          </c:cat>
          <c:val>
            <c:numRef>
              <c:f>'pivot table '!$B$26:$B$28</c:f>
              <c:numCache>
                <c:formatCode>General</c:formatCode>
                <c:ptCount val="2"/>
                <c:pt idx="0">
                  <c:v>10645.99999999998</c:v>
                </c:pt>
                <c:pt idx="1">
                  <c:v>11089.639999999983</c:v>
                </c:pt>
              </c:numCache>
            </c:numRef>
          </c:val>
          <c:extLst>
            <c:ext xmlns:c16="http://schemas.microsoft.com/office/drawing/2014/chart" uri="{C3380CC4-5D6E-409C-BE32-E72D297353CC}">
              <c16:uniqueId val="{00000000-7C0D-4714-B36C-01B386D3A1BD}"/>
            </c:ext>
          </c:extLst>
        </c:ser>
        <c:ser>
          <c:idx val="1"/>
          <c:order val="1"/>
          <c:tx>
            <c:strRef>
              <c:f>'pivot table '!$C$25</c:f>
              <c:strCache>
                <c:ptCount val="1"/>
                <c:pt idx="0">
                  <c:v>Sum of Sales Volume</c:v>
                </c:pt>
              </c:strCache>
            </c:strRef>
          </c:tx>
          <c:spPr>
            <a:solidFill>
              <a:schemeClr val="accent2"/>
            </a:solidFill>
            <a:ln>
              <a:noFill/>
            </a:ln>
            <a:effectLst/>
          </c:spPr>
          <c:invertIfNegative val="0"/>
          <c:cat>
            <c:strRef>
              <c:f>'pivot table '!$A$26:$A$28</c:f>
              <c:strCache>
                <c:ptCount val="2"/>
                <c:pt idx="0">
                  <c:v>No</c:v>
                </c:pt>
                <c:pt idx="1">
                  <c:v>Yes</c:v>
                </c:pt>
              </c:strCache>
            </c:strRef>
          </c:cat>
          <c:val>
            <c:numRef>
              <c:f>'pivot table '!$C$26:$C$28</c:f>
              <c:numCache>
                <c:formatCode>General</c:formatCode>
                <c:ptCount val="2"/>
                <c:pt idx="0">
                  <c:v>240312</c:v>
                </c:pt>
                <c:pt idx="1">
                  <c:v>219261</c:v>
                </c:pt>
              </c:numCache>
            </c:numRef>
          </c:val>
          <c:extLst>
            <c:ext xmlns:c16="http://schemas.microsoft.com/office/drawing/2014/chart" uri="{C3380CC4-5D6E-409C-BE32-E72D297353CC}">
              <c16:uniqueId val="{00000001-7C0D-4714-B36C-01B386D3A1BD}"/>
            </c:ext>
          </c:extLst>
        </c:ser>
        <c:dLbls>
          <c:showLegendKey val="0"/>
          <c:showVal val="0"/>
          <c:showCatName val="0"/>
          <c:showSerName val="0"/>
          <c:showPercent val="0"/>
          <c:showBubbleSize val="0"/>
        </c:dLbls>
        <c:gapWidth val="267"/>
        <c:overlap val="-43"/>
        <c:axId val="932474240"/>
        <c:axId val="932476160"/>
      </c:barChart>
      <c:catAx>
        <c:axId val="932474240"/>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932476160"/>
        <c:crosses val="autoZero"/>
        <c:auto val="1"/>
        <c:lblAlgn val="ctr"/>
        <c:lblOffset val="100"/>
        <c:noMultiLvlLbl val="0"/>
      </c:catAx>
      <c:valAx>
        <c:axId val="932476160"/>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932474240"/>
        <c:crosses val="autoZero"/>
        <c:crossBetween val="between"/>
      </c:valAx>
      <c:spPr>
        <a:pattFill prst="ltDnDiag">
          <a:fgClr>
            <a:schemeClr val="dk1">
              <a:lumMod val="15000"/>
              <a:lumOff val="85000"/>
            </a:schemeClr>
          </a:fgClr>
          <a:bgClr>
            <a:schemeClr val="lt1"/>
          </a:bgClr>
        </a:patt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5">
  <a:schemeClr val="accent2"/>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08">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1.xml"/><Relationship Id="rId2" Type="http://schemas.microsoft.com/office/2007/relationships/hdphoto" Target="../media/hdphoto1.wdp"/><Relationship Id="rId1" Type="http://schemas.openxmlformats.org/officeDocument/2006/relationships/image" Target="../media/image1.png"/><Relationship Id="rId6" Type="http://schemas.openxmlformats.org/officeDocument/2006/relationships/chart" Target="../charts/chart4.xml"/><Relationship Id="rId5" Type="http://schemas.openxmlformats.org/officeDocument/2006/relationships/chart" Target="../charts/chart3.xml"/><Relationship Id="rId4"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0</xdr:col>
      <xdr:colOff>274320</xdr:colOff>
      <xdr:row>0</xdr:row>
      <xdr:rowOff>22860</xdr:rowOff>
    </xdr:from>
    <xdr:to>
      <xdr:col>24</xdr:col>
      <xdr:colOff>205740</xdr:colOff>
      <xdr:row>47</xdr:row>
      <xdr:rowOff>137160</xdr:rowOff>
    </xdr:to>
    <xdr:sp macro="" textlink="">
      <xdr:nvSpPr>
        <xdr:cNvPr id="2" name="Rectangle 1">
          <a:extLst>
            <a:ext uri="{FF2B5EF4-FFF2-40B4-BE49-F238E27FC236}">
              <a16:creationId xmlns:a16="http://schemas.microsoft.com/office/drawing/2014/main" id="{8884E3C2-923E-045F-458D-F611758A3DE3}"/>
            </a:ext>
          </a:extLst>
        </xdr:cNvPr>
        <xdr:cNvSpPr/>
      </xdr:nvSpPr>
      <xdr:spPr>
        <a:xfrm>
          <a:off x="274320" y="22860"/>
          <a:ext cx="14561820" cy="8709660"/>
        </a:xfrm>
        <a:prstGeom prst="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7620</xdr:colOff>
      <xdr:row>0</xdr:row>
      <xdr:rowOff>38100</xdr:rowOff>
    </xdr:from>
    <xdr:to>
      <xdr:col>16</xdr:col>
      <xdr:colOff>236220</xdr:colOff>
      <xdr:row>2</xdr:row>
      <xdr:rowOff>167640</xdr:rowOff>
    </xdr:to>
    <xdr:sp macro="" textlink="">
      <xdr:nvSpPr>
        <xdr:cNvPr id="3" name="Rectangle 2">
          <a:extLst>
            <a:ext uri="{FF2B5EF4-FFF2-40B4-BE49-F238E27FC236}">
              <a16:creationId xmlns:a16="http://schemas.microsoft.com/office/drawing/2014/main" id="{A9C6E8CC-09D3-D12B-0C30-F76F1CCCA26C}"/>
            </a:ext>
          </a:extLst>
        </xdr:cNvPr>
        <xdr:cNvSpPr/>
      </xdr:nvSpPr>
      <xdr:spPr>
        <a:xfrm>
          <a:off x="4274820" y="38100"/>
          <a:ext cx="5715000" cy="495300"/>
        </a:xfrm>
        <a:prstGeom prst="rect">
          <a:avLst/>
        </a:prstGeom>
        <a:solidFill>
          <a:schemeClr val="bg1">
            <a:lumMod val="8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400" b="1" i="1" u="sng">
              <a:solidFill>
                <a:srgbClr val="7030A0"/>
              </a:solidFill>
            </a:rPr>
            <a:t>ZARA SALES ANALYSIS  </a:t>
          </a:r>
        </a:p>
      </xdr:txBody>
    </xdr:sp>
    <xdr:clientData/>
  </xdr:twoCellAnchor>
  <xdr:twoCellAnchor>
    <xdr:from>
      <xdr:col>0</xdr:col>
      <xdr:colOff>335280</xdr:colOff>
      <xdr:row>6</xdr:row>
      <xdr:rowOff>129540</xdr:rowOff>
    </xdr:from>
    <xdr:to>
      <xdr:col>10</xdr:col>
      <xdr:colOff>426720</xdr:colOff>
      <xdr:row>25</xdr:row>
      <xdr:rowOff>99060</xdr:rowOff>
    </xdr:to>
    <xdr:sp macro="" textlink="">
      <xdr:nvSpPr>
        <xdr:cNvPr id="4" name="Rectangle 3">
          <a:extLst>
            <a:ext uri="{FF2B5EF4-FFF2-40B4-BE49-F238E27FC236}">
              <a16:creationId xmlns:a16="http://schemas.microsoft.com/office/drawing/2014/main" id="{7B55D8D0-835B-C95D-A683-D7F970F851A0}"/>
            </a:ext>
          </a:extLst>
        </xdr:cNvPr>
        <xdr:cNvSpPr/>
      </xdr:nvSpPr>
      <xdr:spPr>
        <a:xfrm>
          <a:off x="335280" y="1226820"/>
          <a:ext cx="6187440" cy="3444240"/>
        </a:xfrm>
        <a:prstGeom prst="rect">
          <a:avLst/>
        </a:prstGeom>
        <a:solidFill>
          <a:schemeClr val="bg1">
            <a:lumMod val="8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411480</xdr:colOff>
      <xdr:row>7</xdr:row>
      <xdr:rowOff>15240</xdr:rowOff>
    </xdr:from>
    <xdr:to>
      <xdr:col>21</xdr:col>
      <xdr:colOff>259080</xdr:colOff>
      <xdr:row>25</xdr:row>
      <xdr:rowOff>83820</xdr:rowOff>
    </xdr:to>
    <xdr:sp macro="" textlink="">
      <xdr:nvSpPr>
        <xdr:cNvPr id="5" name="Rectangle 4">
          <a:extLst>
            <a:ext uri="{FF2B5EF4-FFF2-40B4-BE49-F238E27FC236}">
              <a16:creationId xmlns:a16="http://schemas.microsoft.com/office/drawing/2014/main" id="{AC102ACF-B00F-B7E3-B353-2356D15BB149}"/>
            </a:ext>
          </a:extLst>
        </xdr:cNvPr>
        <xdr:cNvSpPr/>
      </xdr:nvSpPr>
      <xdr:spPr>
        <a:xfrm>
          <a:off x="7117080" y="1295400"/>
          <a:ext cx="5943600" cy="3360420"/>
        </a:xfrm>
        <a:prstGeom prst="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373380</xdr:colOff>
      <xdr:row>28</xdr:row>
      <xdr:rowOff>68580</xdr:rowOff>
    </xdr:from>
    <xdr:to>
      <xdr:col>11</xdr:col>
      <xdr:colOff>83820</xdr:colOff>
      <xdr:row>46</xdr:row>
      <xdr:rowOff>152400</xdr:rowOff>
    </xdr:to>
    <xdr:sp macro="" textlink="">
      <xdr:nvSpPr>
        <xdr:cNvPr id="6" name="Rectangle 5">
          <a:extLst>
            <a:ext uri="{FF2B5EF4-FFF2-40B4-BE49-F238E27FC236}">
              <a16:creationId xmlns:a16="http://schemas.microsoft.com/office/drawing/2014/main" id="{93418EBE-99B5-BE83-E005-486551107E3B}"/>
            </a:ext>
          </a:extLst>
        </xdr:cNvPr>
        <xdr:cNvSpPr/>
      </xdr:nvSpPr>
      <xdr:spPr>
        <a:xfrm>
          <a:off x="373380" y="5189220"/>
          <a:ext cx="6416040" cy="3375660"/>
        </a:xfrm>
        <a:prstGeom prst="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0</xdr:colOff>
      <xdr:row>28</xdr:row>
      <xdr:rowOff>83820</xdr:rowOff>
    </xdr:from>
    <xdr:to>
      <xdr:col>22</xdr:col>
      <xdr:colOff>304800</xdr:colOff>
      <xdr:row>47</xdr:row>
      <xdr:rowOff>15240</xdr:rowOff>
    </xdr:to>
    <xdr:sp macro="" textlink="">
      <xdr:nvSpPr>
        <xdr:cNvPr id="7" name="Rectangle 6">
          <a:extLst>
            <a:ext uri="{FF2B5EF4-FFF2-40B4-BE49-F238E27FC236}">
              <a16:creationId xmlns:a16="http://schemas.microsoft.com/office/drawing/2014/main" id="{2888A6E1-7FD9-9B34-C962-FC3687929579}"/>
            </a:ext>
          </a:extLst>
        </xdr:cNvPr>
        <xdr:cNvSpPr/>
      </xdr:nvSpPr>
      <xdr:spPr>
        <a:xfrm>
          <a:off x="7315200" y="5204460"/>
          <a:ext cx="6400800" cy="3406140"/>
        </a:xfrm>
        <a:prstGeom prst="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17</xdr:col>
      <xdr:colOff>327660</xdr:colOff>
      <xdr:row>0</xdr:row>
      <xdr:rowOff>0</xdr:rowOff>
    </xdr:from>
    <xdr:to>
      <xdr:col>21</xdr:col>
      <xdr:colOff>419100</xdr:colOff>
      <xdr:row>5</xdr:row>
      <xdr:rowOff>44780</xdr:rowOff>
    </xdr:to>
    <xdr:pic>
      <xdr:nvPicPr>
        <xdr:cNvPr id="11" name="Picture 10">
          <a:extLst>
            <a:ext uri="{FF2B5EF4-FFF2-40B4-BE49-F238E27FC236}">
              <a16:creationId xmlns:a16="http://schemas.microsoft.com/office/drawing/2014/main" id="{1A904BBC-A075-345E-BEDC-65B94D85930D}"/>
            </a:ext>
          </a:extLst>
        </xdr:cNvPr>
        <xdr:cNvPicPr>
          <a:picLocks noChangeAspect="1"/>
        </xdr:cNvPicPr>
      </xdr:nvPicPr>
      <xdr:blipFill>
        <a:blip xmlns:r="http://schemas.openxmlformats.org/officeDocument/2006/relationships" r:embed="rId1">
          <a:extLst>
            <a:ext uri="{BEBA8EAE-BF5A-486C-A8C5-ECC9F3942E4B}">
              <a14:imgProps xmlns:a14="http://schemas.microsoft.com/office/drawing/2010/main">
                <a14:imgLayer r:embed="rId2">
                  <a14:imgEffect>
                    <a14:saturation sat="0"/>
                  </a14:imgEffect>
                </a14:imgLayer>
              </a14:imgProps>
            </a:ext>
            <a:ext uri="{28A0092B-C50C-407E-A947-70E740481C1C}">
              <a14:useLocalDpi xmlns:a14="http://schemas.microsoft.com/office/drawing/2010/main" val="0"/>
            </a:ext>
          </a:extLst>
        </a:blip>
        <a:stretch>
          <a:fillRect/>
        </a:stretch>
      </xdr:blipFill>
      <xdr:spPr>
        <a:xfrm>
          <a:off x="10690860" y="0"/>
          <a:ext cx="2529840" cy="959180"/>
        </a:xfrm>
        <a:prstGeom prst="rect">
          <a:avLst/>
        </a:prstGeom>
        <a:ln w="228600" cap="sq" cmpd="thickThin">
          <a:solidFill>
            <a:schemeClr val="bg1"/>
          </a:solidFill>
          <a:prstDash val="solid"/>
          <a:miter lim="800000"/>
        </a:ln>
        <a:effectLst>
          <a:innerShdw blurRad="76200">
            <a:srgbClr val="000000"/>
          </a:innerShdw>
        </a:effectLst>
      </xdr:spPr>
    </xdr:pic>
    <xdr:clientData/>
  </xdr:twoCellAnchor>
  <xdr:twoCellAnchor>
    <xdr:from>
      <xdr:col>0</xdr:col>
      <xdr:colOff>335280</xdr:colOff>
      <xdr:row>6</xdr:row>
      <xdr:rowOff>129540</xdr:rowOff>
    </xdr:from>
    <xdr:to>
      <xdr:col>10</xdr:col>
      <xdr:colOff>464820</xdr:colOff>
      <xdr:row>25</xdr:row>
      <xdr:rowOff>114300</xdr:rowOff>
    </xdr:to>
    <xdr:graphicFrame macro="">
      <xdr:nvGraphicFramePr>
        <xdr:cNvPr id="12" name="Chart 11">
          <a:extLst>
            <a:ext uri="{FF2B5EF4-FFF2-40B4-BE49-F238E27FC236}">
              <a16:creationId xmlns:a16="http://schemas.microsoft.com/office/drawing/2014/main" id="{0E6999D8-7453-4C67-9C97-3E265FF6F8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411480</xdr:colOff>
      <xdr:row>7</xdr:row>
      <xdr:rowOff>15240</xdr:rowOff>
    </xdr:from>
    <xdr:to>
      <xdr:col>21</xdr:col>
      <xdr:colOff>259080</xdr:colOff>
      <xdr:row>25</xdr:row>
      <xdr:rowOff>76200</xdr:rowOff>
    </xdr:to>
    <xdr:graphicFrame macro="">
      <xdr:nvGraphicFramePr>
        <xdr:cNvPr id="14" name="Chart 13">
          <a:extLst>
            <a:ext uri="{FF2B5EF4-FFF2-40B4-BE49-F238E27FC236}">
              <a16:creationId xmlns:a16="http://schemas.microsoft.com/office/drawing/2014/main" id="{1D0C42BB-052F-4F54-AF6F-AC40319CB2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373380</xdr:colOff>
      <xdr:row>28</xdr:row>
      <xdr:rowOff>68580</xdr:rowOff>
    </xdr:from>
    <xdr:to>
      <xdr:col>11</xdr:col>
      <xdr:colOff>106680</xdr:colOff>
      <xdr:row>46</xdr:row>
      <xdr:rowOff>175260</xdr:rowOff>
    </xdr:to>
    <xdr:graphicFrame macro="">
      <xdr:nvGraphicFramePr>
        <xdr:cNvPr id="16" name="Chart 15">
          <a:extLst>
            <a:ext uri="{FF2B5EF4-FFF2-40B4-BE49-F238E27FC236}">
              <a16:creationId xmlns:a16="http://schemas.microsoft.com/office/drawing/2014/main" id="{A8CFFEBE-1DD5-48F1-9D9E-945765BA9E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0</xdr:colOff>
      <xdr:row>28</xdr:row>
      <xdr:rowOff>83820</xdr:rowOff>
    </xdr:from>
    <xdr:to>
      <xdr:col>22</xdr:col>
      <xdr:colOff>281940</xdr:colOff>
      <xdr:row>46</xdr:row>
      <xdr:rowOff>175260</xdr:rowOff>
    </xdr:to>
    <xdr:graphicFrame macro="">
      <xdr:nvGraphicFramePr>
        <xdr:cNvPr id="18" name="Chart 17">
          <a:extLst>
            <a:ext uri="{FF2B5EF4-FFF2-40B4-BE49-F238E27FC236}">
              <a16:creationId xmlns:a16="http://schemas.microsoft.com/office/drawing/2014/main" id="{C5524FF4-DBDC-4443-945F-60567EB2F0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327660</xdr:colOff>
      <xdr:row>0</xdr:row>
      <xdr:rowOff>0</xdr:rowOff>
    </xdr:from>
    <xdr:to>
      <xdr:col>5</xdr:col>
      <xdr:colOff>403860</xdr:colOff>
      <xdr:row>5</xdr:row>
      <xdr:rowOff>160020</xdr:rowOff>
    </xdr:to>
    <mc:AlternateContent xmlns:mc="http://schemas.openxmlformats.org/markup-compatibility/2006">
      <mc:Choice xmlns:a14="http://schemas.microsoft.com/office/drawing/2010/main" Requires="a14">
        <xdr:graphicFrame macro="">
          <xdr:nvGraphicFramePr>
            <xdr:cNvPr id="19" name="section 1">
              <a:extLst>
                <a:ext uri="{FF2B5EF4-FFF2-40B4-BE49-F238E27FC236}">
                  <a16:creationId xmlns:a16="http://schemas.microsoft.com/office/drawing/2014/main" id="{3793EC97-9A5F-4FBF-A92D-581724C4EB28}"/>
                </a:ext>
              </a:extLst>
            </xdr:cNvPr>
            <xdr:cNvGraphicFramePr/>
          </xdr:nvGraphicFramePr>
          <xdr:xfrm>
            <a:off x="0" y="0"/>
            <a:ext cx="0" cy="0"/>
          </xdr:xfrm>
          <a:graphic>
            <a:graphicData uri="http://schemas.microsoft.com/office/drawing/2010/slicer">
              <sle:slicer xmlns:sle="http://schemas.microsoft.com/office/drawing/2010/slicer" name="section 1"/>
            </a:graphicData>
          </a:graphic>
        </xdr:graphicFrame>
      </mc:Choice>
      <mc:Fallback>
        <xdr:sp macro="" textlink="">
          <xdr:nvSpPr>
            <xdr:cNvPr id="0" name=""/>
            <xdr:cNvSpPr>
              <a:spLocks noTextEdit="1"/>
            </xdr:cNvSpPr>
          </xdr:nvSpPr>
          <xdr:spPr>
            <a:xfrm>
              <a:off x="327660" y="0"/>
              <a:ext cx="3124200" cy="10744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6191.878534837961" createdVersion="8" refreshedVersion="8" minRefreshableVersion="3" recordCount="252" xr:uid="{4867C13F-2F93-4BD7-A67D-2A3E197D98F9}">
  <cacheSource type="worksheet">
    <worksheetSource name="zara"/>
  </cacheSource>
  <cacheFields count="27">
    <cacheField name="Product ID" numFmtId="0">
      <sharedItems containsSemiMixedTypes="0" containsString="0" containsNumber="1" containsInteger="1" minValue="110075" maxValue="199631" count="252">
        <n v="183825"/>
        <n v="123047"/>
        <n v="113435"/>
        <n v="117590"/>
        <n v="192936"/>
        <n v="172364"/>
        <n v="137990"/>
        <n v="134429"/>
        <n v="171520"/>
        <n v="136272"/>
        <n v="166421"/>
        <n v="166331"/>
        <n v="141434"/>
        <n v="188909"/>
        <n v="133183"/>
        <n v="176666"/>
        <n v="152723"/>
        <n v="195103"/>
        <n v="137598"/>
        <n v="120354"/>
        <n v="135521"/>
        <n v="185102"/>
        <n v="182306"/>
        <n v="138779"/>
        <n v="183074"/>
        <n v="183634"/>
        <n v="148888"/>
        <n v="165910"/>
        <n v="126146"/>
        <n v="117751"/>
        <n v="154278"/>
        <n v="185307"/>
        <n v="111979"/>
        <n v="162699"/>
        <n v="133100"/>
        <n v="115581"/>
        <n v="163982"/>
        <n v="113143"/>
        <n v="139967"/>
        <n v="172015"/>
        <n v="179801"/>
        <n v="115873"/>
        <n v="181502"/>
        <n v="159145"/>
        <n v="143231"/>
        <n v="187234"/>
        <n v="152563"/>
        <n v="147998"/>
        <n v="111521"/>
        <n v="133078"/>
        <n v="137044"/>
        <n v="127478"/>
        <n v="148230"/>
        <n v="132007"/>
        <n v="138505"/>
        <n v="110805"/>
        <n v="154224"/>
        <n v="163610"/>
        <n v="158781"/>
        <n v="183537"/>
        <n v="150953"/>
        <n v="182157"/>
        <n v="126806"/>
        <n v="110329"/>
        <n v="129247"/>
        <n v="154016"/>
        <n v="129152"/>
        <n v="120228"/>
        <n v="195879"/>
        <n v="120266"/>
        <n v="147051"/>
        <n v="155050"/>
        <n v="123824"/>
        <n v="174171"/>
        <n v="132889"/>
        <n v="134927"/>
        <n v="123985"/>
        <n v="197524"/>
        <n v="196752"/>
        <n v="152174"/>
        <n v="199233"/>
        <n v="180176"/>
        <n v="125408"/>
        <n v="148823"/>
        <n v="198375"/>
        <n v="144848"/>
        <n v="112194"/>
        <n v="110075"/>
        <n v="151925"/>
        <n v="134788"/>
        <n v="175059"/>
        <n v="168516"/>
        <n v="111957"/>
        <n v="126979"/>
        <n v="132322"/>
        <n v="131298"/>
        <n v="134693"/>
        <n v="114550"/>
        <n v="182779"/>
        <n v="130321"/>
        <n v="129906"/>
        <n v="175584"/>
        <n v="127314"/>
        <n v="123150"/>
        <n v="133757"/>
        <n v="150424"/>
        <n v="124088"/>
        <n v="133109"/>
        <n v="128179"/>
        <n v="134763"/>
        <n v="135857"/>
        <n v="125409"/>
        <n v="171061"/>
        <n v="182362"/>
        <n v="174041"/>
        <n v="182099"/>
        <n v="159816"/>
        <n v="155848"/>
        <n v="190238"/>
        <n v="141861"/>
        <n v="141330"/>
        <n v="193686"/>
        <n v="129898"/>
        <n v="114877"/>
        <n v="152871"/>
        <n v="185800"/>
        <n v="173576"/>
        <n v="124981"/>
        <n v="129134"/>
        <n v="174412"/>
        <n v="194915"/>
        <n v="194339"/>
        <n v="144651"/>
        <n v="168571"/>
        <n v="193227"/>
        <n v="183064"/>
        <n v="199279"/>
        <n v="177771"/>
        <n v="183574"/>
        <n v="115153"/>
        <n v="177131"/>
        <n v="186681"/>
        <n v="141904"/>
        <n v="171776"/>
        <n v="118578"/>
        <n v="118719"/>
        <n v="119049"/>
        <n v="173508"/>
        <n v="198248"/>
        <n v="163234"/>
        <n v="165158"/>
        <n v="153997"/>
        <n v="123077"/>
        <n v="122809"/>
        <n v="119955"/>
        <n v="112917"/>
        <n v="147491"/>
        <n v="198283"/>
        <n v="189692"/>
        <n v="182866"/>
        <n v="146839"/>
        <n v="168270"/>
        <n v="183243"/>
        <n v="172816"/>
        <n v="135610"/>
        <n v="117725"/>
        <n v="175927"/>
        <n v="146804"/>
        <n v="167599"/>
        <n v="127644"/>
        <n v="111760"/>
        <n v="134104"/>
        <n v="156342"/>
        <n v="154736"/>
        <n v="110295"/>
        <n v="135036"/>
        <n v="173550"/>
        <n v="141547"/>
        <n v="149510"/>
        <n v="196427"/>
        <n v="125398"/>
        <n v="186638"/>
        <n v="161909"/>
        <n v="165786"/>
        <n v="199631"/>
        <n v="140028"/>
        <n v="149487"/>
        <n v="147947"/>
        <n v="189349"/>
        <n v="193332"/>
        <n v="125938"/>
        <n v="147449"/>
        <n v="165326"/>
        <n v="142257"/>
        <n v="127296"/>
        <n v="178281"/>
        <n v="185774"/>
        <n v="119044"/>
        <n v="151438"/>
        <n v="166345"/>
        <n v="144497"/>
        <n v="135490"/>
        <n v="139789"/>
        <n v="199368"/>
        <n v="152985"/>
        <n v="180661"/>
        <n v="167640"/>
        <n v="159182"/>
        <n v="145289"/>
        <n v="121348"/>
        <n v="140727"/>
        <n v="185154"/>
        <n v="118569"/>
        <n v="181011"/>
        <n v="160763"/>
        <n v="191230"/>
        <n v="189118"/>
        <n v="154676"/>
        <n v="195082"/>
        <n v="154846"/>
        <n v="158958"/>
        <n v="155674"/>
        <n v="167281"/>
        <n v="147690"/>
        <n v="123230"/>
        <n v="122926"/>
        <n v="170364"/>
        <n v="162883"/>
        <n v="117065"/>
        <n v="144012"/>
        <n v="167981"/>
        <n v="151396"/>
        <n v="155010"/>
        <n v="149315"/>
        <n v="167592"/>
        <n v="171860"/>
        <n v="187930"/>
        <n v="122307"/>
        <n v="118985"/>
        <n v="194410"/>
        <n v="168837"/>
        <n v="137121"/>
        <n v="188771"/>
        <n v="116228"/>
        <n v="187180"/>
        <n v="198329"/>
        <n v="186083"/>
        <n v="185809"/>
        <n v="140142"/>
        <n v="122484"/>
        <n v="136738"/>
        <n v="174708"/>
      </sharedItems>
    </cacheField>
    <cacheField name="Product Position" numFmtId="0">
      <sharedItems count="3">
        <s v="Aisle"/>
        <s v="End-cap"/>
        <s v="Front of Store"/>
      </sharedItems>
    </cacheField>
    <cacheField name="Promotion" numFmtId="0">
      <sharedItems count="2">
        <s v="Yes"/>
        <s v="No"/>
      </sharedItems>
    </cacheField>
    <cacheField name="Product Category" numFmtId="0">
      <sharedItems count="1">
        <s v="Clothing"/>
      </sharedItems>
    </cacheField>
    <cacheField name="Seasonal" numFmtId="0">
      <sharedItems count="2">
        <s v="Yes"/>
        <s v="No"/>
      </sharedItems>
    </cacheField>
    <cacheField name="Sales Volume" numFmtId="0">
      <sharedItems containsSemiMixedTypes="0" containsString="0" containsNumber="1" containsInteger="1" minValue="529" maxValue="2989" count="234">
        <n v="2989"/>
        <n v="2985"/>
        <n v="2973"/>
        <n v="2968"/>
        <n v="2942"/>
        <n v="2931"/>
        <n v="2929"/>
        <n v="2914"/>
        <n v="2901"/>
        <n v="2887"/>
        <n v="2878"/>
        <n v="2877"/>
        <n v="2870"/>
        <n v="2863"/>
        <n v="2859"/>
        <n v="2852"/>
        <n v="2849"/>
        <n v="2839"/>
        <n v="2836"/>
        <n v="2835"/>
        <n v="2823"/>
        <n v="2805"/>
        <n v="2801"/>
        <n v="2791"/>
        <n v="2778"/>
        <n v="2774"/>
        <n v="2760"/>
        <n v="2759"/>
        <n v="2749"/>
        <n v="2743"/>
        <n v="2734"/>
        <n v="2732"/>
        <n v="2729"/>
        <n v="2728"/>
        <n v="2685"/>
        <n v="2663"/>
        <n v="2634"/>
        <n v="2622"/>
        <n v="2608"/>
        <n v="2606"/>
        <n v="2591"/>
        <n v="2579"/>
        <n v="2578"/>
        <n v="2575"/>
        <n v="2572"/>
        <n v="2556"/>
        <n v="2553"/>
        <n v="2535"/>
        <n v="2534"/>
        <n v="2498"/>
        <n v="2494"/>
        <n v="2491"/>
        <n v="2478"/>
        <n v="2477"/>
        <n v="2474"/>
        <n v="2466"/>
        <n v="2443"/>
        <n v="2434"/>
        <n v="2421"/>
        <n v="2404"/>
        <n v="2397"/>
        <n v="2386"/>
        <n v="2366"/>
        <n v="2356"/>
        <n v="2347"/>
        <n v="2339"/>
        <n v="2328"/>
        <n v="2325"/>
        <n v="2321"/>
        <n v="2277"/>
        <n v="2273"/>
        <n v="2265"/>
        <n v="2252"/>
        <n v="2240"/>
        <n v="2231"/>
        <n v="2227"/>
        <n v="2226"/>
        <n v="2222"/>
        <n v="2220"/>
        <n v="2211"/>
        <n v="2202"/>
        <n v="2193"/>
        <n v="2187"/>
        <n v="2185"/>
        <n v="2179"/>
        <n v="2170"/>
        <n v="2168"/>
        <n v="2164"/>
        <n v="2141"/>
        <n v="2135"/>
        <n v="2133"/>
        <n v="2124"/>
        <n v="2114"/>
        <n v="2097"/>
        <n v="2093"/>
        <n v="2089"/>
        <n v="2084"/>
        <n v="2076"/>
        <n v="2074"/>
        <n v="2071"/>
        <n v="2067"/>
        <n v="2065"/>
        <n v="2063"/>
        <n v="2060"/>
        <n v="2048"/>
        <n v="2045"/>
        <n v="2040"/>
        <n v="2032"/>
        <n v="2019"/>
        <n v="2016"/>
        <n v="1978"/>
        <n v="1961"/>
        <n v="1942"/>
        <n v="1917"/>
        <n v="1916"/>
        <n v="1915"/>
        <n v="1899"/>
        <n v="1866"/>
        <n v="1860"/>
        <n v="1847"/>
        <n v="1841"/>
        <n v="1838"/>
        <n v="1832"/>
        <n v="1831"/>
        <n v="1796"/>
        <n v="1792"/>
        <n v="1791"/>
        <n v="1778"/>
        <n v="1773"/>
        <n v="1770"/>
        <n v="1764"/>
        <n v="1752"/>
        <n v="1736"/>
        <n v="1733"/>
        <n v="1717"/>
        <n v="1712"/>
        <n v="1685"/>
        <n v="1678"/>
        <n v="1669"/>
        <n v="1659"/>
        <n v="1658"/>
        <n v="1644"/>
        <n v="1633"/>
        <n v="1622"/>
        <n v="1608"/>
        <n v="1603"/>
        <n v="1592"/>
        <n v="1590"/>
        <n v="1568"/>
        <n v="1563"/>
        <n v="1558"/>
        <n v="1553"/>
        <n v="1552"/>
        <n v="1525"/>
        <n v="1524"/>
        <n v="1513"/>
        <n v="1506"/>
        <n v="1504"/>
        <n v="1500"/>
        <n v="1498"/>
        <n v="1474"/>
        <n v="1466"/>
        <n v="1448"/>
        <n v="1435"/>
        <n v="1431"/>
        <n v="1426"/>
        <n v="1412"/>
        <n v="1401"/>
        <n v="1350"/>
        <n v="1296"/>
        <n v="1290"/>
        <n v="1278"/>
        <n v="1269"/>
        <n v="1260"/>
        <n v="1258"/>
        <n v="1249"/>
        <n v="1245"/>
        <n v="1237"/>
        <n v="1204"/>
        <n v="1191"/>
        <n v="1188"/>
        <n v="1180"/>
        <n v="1165"/>
        <n v="1145"/>
        <n v="1140"/>
        <n v="1137"/>
        <n v="1135"/>
        <n v="1105"/>
        <n v="1094"/>
        <n v="1061"/>
        <n v="1049"/>
        <n v="1041"/>
        <n v="1017"/>
        <n v="1014"/>
        <n v="1012"/>
        <n v="1008"/>
        <n v="1002"/>
        <n v="996"/>
        <n v="994"/>
        <n v="991"/>
        <n v="966"/>
        <n v="952"/>
        <n v="943"/>
        <n v="923"/>
        <n v="917"/>
        <n v="903"/>
        <n v="897"/>
        <n v="892"/>
        <n v="881"/>
        <n v="880"/>
        <n v="867"/>
        <n v="818"/>
        <n v="786"/>
        <n v="758"/>
        <n v="743"/>
        <n v="730"/>
        <n v="729"/>
        <n v="718"/>
        <n v="707"/>
        <n v="706"/>
        <n v="702"/>
        <n v="694"/>
        <n v="669"/>
        <n v="665"/>
        <n v="656"/>
        <n v="654"/>
        <n v="647"/>
        <n v="628"/>
        <n v="624"/>
        <n v="622"/>
        <n v="606"/>
        <n v="558"/>
        <n v="542"/>
        <n v="529"/>
      </sharedItems>
    </cacheField>
    <cacheField name="brand" numFmtId="0">
      <sharedItems count="1">
        <s v="Zara"/>
      </sharedItems>
    </cacheField>
    <cacheField name="url" numFmtId="0">
      <sharedItems/>
    </cacheField>
    <cacheField name="sku" numFmtId="0">
      <sharedItems/>
    </cacheField>
    <cacheField name="name" numFmtId="0">
      <sharedItems/>
    </cacheField>
    <cacheField name="description" numFmtId="0">
      <sharedItems longText="1"/>
    </cacheField>
    <cacheField name="price" numFmtId="0">
      <sharedItems containsSemiMixedTypes="0" containsString="0" containsNumber="1" minValue="7.99" maxValue="439" count="28">
        <n v="19.989999999999998"/>
        <n v="109"/>
        <n v="129"/>
        <n v="79.900000000000006"/>
        <n v="139"/>
        <n v="29.99"/>
        <n v="69.900000000000006"/>
        <n v="47.9"/>
        <n v="12.99"/>
        <n v="59.9"/>
        <n v="39.9"/>
        <n v="89.9"/>
        <n v="45.9"/>
        <n v="169"/>
        <n v="27.9"/>
        <n v="7.99"/>
        <n v="9.99"/>
        <n v="99.9"/>
        <n v="159"/>
        <n v="35.9"/>
        <n v="189"/>
        <n v="49.9"/>
        <n v="299"/>
        <n v="349"/>
        <n v="29.9"/>
        <n v="19.899999999999999"/>
        <n v="69.989999999999995"/>
        <n v="439"/>
      </sharedItems>
    </cacheField>
    <cacheField name="currency" numFmtId="0">
      <sharedItems/>
    </cacheField>
    <cacheField name="scraped_at" numFmtId="22">
      <sharedItems containsSemiMixedTypes="0" containsNonDate="0" containsDate="1" containsString="0" minDate="2024-02-19T08:50:06" maxDate="2024-02-19T09:10:52"/>
    </cacheField>
    <cacheField name="terms" numFmtId="0">
      <sharedItems/>
    </cacheField>
    <cacheField name="section" numFmtId="0">
      <sharedItems count="2">
        <s v="MAN"/>
        <s v="WOMAN"/>
      </sharedItems>
    </cacheField>
    <cacheField name="aggregate functions " numFmtId="0">
      <sharedItems containsString="0" containsBlank="1" containsNumber="1" containsInteger="1" minValue="115" maxValue="459573"/>
    </cacheField>
    <cacheField name="functions " numFmtId="0">
      <sharedItems containsBlank="1"/>
    </cacheField>
    <cacheField name="if" numFmtId="0">
      <sharedItems/>
    </cacheField>
    <cacheField name="multiple if " numFmtId="0">
      <sharedItems/>
    </cacheField>
    <cacheField name="sum if" numFmtId="0">
      <sharedItems containsSemiMixedTypes="0" containsString="0" containsNumber="1" minValue="511.39" maxValue="14806.109999999982"/>
    </cacheField>
    <cacheField name="sumifs" numFmtId="0">
      <sharedItems containsSemiMixedTypes="0" containsString="0" containsNumber="1" minValue="511.39" maxValue="14806.109999999982"/>
    </cacheField>
    <cacheField name="vlookup" numFmtId="0">
      <sharedItems/>
    </cacheField>
    <cacheField name="index match " numFmtId="0">
      <sharedItems/>
    </cacheField>
    <cacheField name="index match 2" numFmtId="0">
      <sharedItems/>
    </cacheField>
    <cacheField name="index match 3" numFmtId="0">
      <sharedItems/>
    </cacheField>
    <cacheField name="sumifs2" numFmtId="0">
      <sharedItems containsSemiMixedTypes="0" containsString="0" containsNumber="1" minValue="511.39" maxValue="14806.109999999982"/>
    </cacheField>
  </cacheFields>
  <extLst>
    <ext xmlns:x14="http://schemas.microsoft.com/office/spreadsheetml/2009/9/main" uri="{725AE2AE-9491-48be-B2B4-4EB974FC3084}">
      <x14:pivotCacheDefinition pivotCacheId="73293923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2">
  <r>
    <x v="0"/>
    <x v="0"/>
    <x v="0"/>
    <x v="0"/>
    <x v="0"/>
    <x v="0"/>
    <x v="0"/>
    <s v="https://www.zara.com/us/en/plaid-tie-dye-overshirt-p01063313.html"/>
    <s v="281593208-015-2"/>
    <s v="PLAID TIE DYE OVERSHIRT"/>
    <s v="Regular fit overshirt made of cotton. Lapel collar and long sleeves with buttoned cuffs. Chest patch pockets. Front button closure."/>
    <x v="0"/>
    <s v="USD"/>
    <d v="2024-02-19T08:51:41"/>
    <s v="jackets"/>
    <x v="0"/>
    <m/>
    <m/>
    <s v="DOLLAR"/>
    <s v="jacket"/>
    <n v="14806.109999999982"/>
    <n v="14806.109999999982"/>
    <s v="MAN"/>
    <s v="jackets"/>
    <s v="MAN"/>
    <s v="MAN"/>
    <n v="14806.109999999982"/>
  </r>
  <r>
    <x v="1"/>
    <x v="0"/>
    <x v="1"/>
    <x v="0"/>
    <x v="0"/>
    <x v="1"/>
    <x v="0"/>
    <s v="https://www.zara.com/us/en/fine-knit-crop-sweater-p09598029.html"/>
    <s v="313027279-800-2"/>
    <s v="SUIT JACKET IN 100% LINEN"/>
    <s v="Quilted jacket made of technical fabric. Lapel collar and long sleeves. Welt pockets at hip. Rib trim. Front zip closure."/>
    <x v="1"/>
    <s v="USD"/>
    <d v="2024-02-19T09:10:37"/>
    <s v="t-shirts"/>
    <x v="0"/>
    <m/>
    <m/>
    <s v="DOLLAR"/>
    <s v="t-shirts"/>
    <n v="2157.6900000000005"/>
    <n v="2157.6900000000005"/>
    <s v="MAN"/>
    <s v="t-shirts"/>
    <s v="MAN"/>
    <s v="MAN"/>
    <n v="2157.6900000000005"/>
  </r>
  <r>
    <x v="2"/>
    <x v="0"/>
    <x v="1"/>
    <x v="0"/>
    <x v="0"/>
    <x v="2"/>
    <x v="0"/>
    <s v="https://www.zara.com/us/en/foil-knit-crop-sweater-p06771001.html"/>
    <s v="320278659-251-2"/>
    <s v="RIB COLLAR JACKET"/>
    <s v="Overshirt made of stretchy fabric. Lapel collar and long sleeves with snap buttoned cuffs. Chest patch pockets. Front snap button closure."/>
    <x v="2"/>
    <s v="USD"/>
    <d v="2024-02-19T09:10:43"/>
    <s v="jackets"/>
    <x v="0"/>
    <m/>
    <m/>
    <s v="DOLLAR"/>
    <s v="jacket"/>
    <n v="14806.109999999982"/>
    <n v="14806.109999999982"/>
    <s v="MAN"/>
    <s v="jackets"/>
    <s v="MAN"/>
    <s v="MAN"/>
    <n v="14806.109999999982"/>
  </r>
  <r>
    <x v="3"/>
    <x v="1"/>
    <x v="1"/>
    <x v="0"/>
    <x v="1"/>
    <x v="3"/>
    <x v="0"/>
    <s v="https://www.zara.com/us/en/contrasting-collar-jacket-p06987331.html"/>
    <s v="320298385-807-2"/>
    <s v="CONTRASTING COLLAR JACKET"/>
    <s v="Relaxed fit jacket. Contrasting lapel collar and long sleeves with buttoned cuffs. Front pouch pockets. Interior pocket. Washed effect. Front zip closure."/>
    <x v="3"/>
    <s v="USD"/>
    <d v="2024-02-19T08:50:09"/>
    <s v="jackets"/>
    <x v="0"/>
    <m/>
    <m/>
    <s v="DOLLAR"/>
    <s v="jacket"/>
    <n v="14806.109999999982"/>
    <n v="14806.109999999982"/>
    <s v="MAN"/>
    <s v="jackets"/>
    <s v="MAN"/>
    <s v="MAN"/>
    <n v="14806.109999999982"/>
  </r>
  <r>
    <x v="4"/>
    <x v="1"/>
    <x v="1"/>
    <x v="0"/>
    <x v="0"/>
    <x v="4"/>
    <x v="0"/>
    <s v="https://www.zara.com/us/en/double-faced-jacket-p08281477.html"/>
    <s v="312368260-800-2"/>
    <s v="DOUBLE FACED JACKET"/>
    <s v="Jacket made of faux leather faux shearling with fleece interior. Tabbed lapel collar. Long sleeves. Zip pockets at hip. Front zip closure."/>
    <x v="4"/>
    <s v="USD"/>
    <d v="2024-02-19T08:50:08"/>
    <s v="jackets"/>
    <x v="0"/>
    <n v="115"/>
    <s v="count if "/>
    <s v="DOLLAR"/>
    <s v="jacket"/>
    <n v="14806.109999999982"/>
    <n v="14806.109999999982"/>
    <s v="MAN"/>
    <s v="jackets"/>
    <s v="MAN"/>
    <s v="MAN"/>
    <n v="14806.109999999982"/>
  </r>
  <r>
    <x v="5"/>
    <x v="0"/>
    <x v="0"/>
    <x v="0"/>
    <x v="1"/>
    <x v="5"/>
    <x v="0"/>
    <s v="https://www.zara.com/us/en/faux-leather-bomber-jacket-p08281667.html"/>
    <s v="317782474-800-2"/>
    <s v="FAUX LEATHER BOMBER JACKET"/>
    <s v="Jacket made of faux leather fabric. Rib elastic collar and long sleeves. Zip pockets with flaps at hip. Interior pocket. Elastic hem. Front zip closure."/>
    <x v="1"/>
    <s v="USD"/>
    <d v="2024-02-19T08:50:26"/>
    <s v="jackets"/>
    <x v="0"/>
    <m/>
    <m/>
    <s v="DOLLAR"/>
    <s v="jacket"/>
    <n v="14806.109999999982"/>
    <n v="14806.109999999982"/>
    <s v="MAN"/>
    <s v="t-shirts"/>
    <s v="MAN"/>
    <s v="MAN"/>
    <n v="14806.109999999982"/>
  </r>
  <r>
    <x v="6"/>
    <x v="0"/>
    <x v="1"/>
    <x v="0"/>
    <x v="1"/>
    <x v="6"/>
    <x v="0"/>
    <s v="https://www.zara.com/us/en/cotton-jacket-p00706301.html"/>
    <s v="276213846-500-2"/>
    <s v="COTTON JACKET"/>
    <s v="Lapel collar jacket with long sleeves with elastic cuffs. Patch pockets at hip. Elastic hem. Front snap button closure."/>
    <x v="5"/>
    <s v="USD"/>
    <d v="2024-02-19T08:50:50"/>
    <s v="jackets"/>
    <x v="0"/>
    <m/>
    <m/>
    <s v="DOLLAR"/>
    <s v="jacket"/>
    <n v="14806.109999999982"/>
    <n v="14806.109999999982"/>
    <s v="MAN"/>
    <s v="jackets"/>
    <s v="MAN"/>
    <s v="MAN"/>
    <n v="14806.109999999982"/>
  </r>
  <r>
    <x v="7"/>
    <x v="0"/>
    <x v="1"/>
    <x v="0"/>
    <x v="1"/>
    <x v="7"/>
    <x v="0"/>
    <s v="https://www.zara.com/us/en/ripped-straight-fit-jeans-p03991404.html"/>
    <s v="311303003-407-38"/>
    <s v="RIPPED STRAIGHT FIT JEANS"/>
    <s v="Straight fit jeans. Five pockets. Washed effect with rips at legs. Front button closure."/>
    <x v="6"/>
    <s v="USD"/>
    <d v="2024-02-19T08:54:42"/>
    <s v="jeans"/>
    <x v="0"/>
    <m/>
    <m/>
    <s v="DOLLAR"/>
    <s v="jeans"/>
    <n v="511.39"/>
    <n v="511.39"/>
    <s v="MAN"/>
    <s v="jeans"/>
    <s v="MAN"/>
    <s v="MAN"/>
    <n v="511.39"/>
  </r>
  <r>
    <x v="8"/>
    <x v="1"/>
    <x v="0"/>
    <x v="0"/>
    <x v="0"/>
    <x v="8"/>
    <x v="0"/>
    <s v="https://www.zara.com/us/en/gathered-waist-knit-sweater-p05536012.html"/>
    <s v="322451460-800-1"/>
    <s v="GATHERED WAIST KNIT SWEATER"/>
    <s v="Round neck long sleeve sweater. Fitted waist with side ruching."/>
    <x v="7"/>
    <s v="USD"/>
    <d v="2024-02-19T09:10:45"/>
    <s v="sweaters"/>
    <x v="1"/>
    <m/>
    <m/>
    <s v="DOLLAR"/>
    <s v="sweaters"/>
    <n v="2249.3700000000013"/>
    <n v="2249.3700000000013"/>
    <s v="WOMAN"/>
    <s v="sweaters"/>
    <s v="WOMAN"/>
    <s v="WOMAN"/>
    <n v="2249.3700000000013"/>
  </r>
  <r>
    <x v="9"/>
    <x v="1"/>
    <x v="1"/>
    <x v="0"/>
    <x v="0"/>
    <x v="9"/>
    <x v="0"/>
    <s v="https://www.zara.com/us/en/purl-knit-sweater-p03332300.html"/>
    <s v="267195405-500-3"/>
    <s v="PURL KNIT SWEATER"/>
    <s v="High collar sweater with front zipper. Long sleeves. Rib trim."/>
    <x v="8"/>
    <s v="USD"/>
    <d v="2024-02-19T08:54:45"/>
    <s v="sweaters"/>
    <x v="0"/>
    <m/>
    <m/>
    <s v="DOLLAR"/>
    <s v="sweaters"/>
    <n v="2249.3700000000013"/>
    <n v="2249.3700000000013"/>
    <s v="MAN"/>
    <s v="sweaters"/>
    <s v="MAN"/>
    <s v="MAN"/>
    <n v="2249.3700000000013"/>
  </r>
  <r>
    <x v="10"/>
    <x v="1"/>
    <x v="0"/>
    <x v="0"/>
    <x v="1"/>
    <x v="10"/>
    <x v="0"/>
    <s v="https://www.zara.com/us/en/hiking-boots-p12103320.html"/>
    <s v="311302552-800-39"/>
    <s v="HIKING BOOTS"/>
    <s v="Lace-up boots. Upper in a combination of pieces and finishes. Laces with metal appliqués and seven pairs of eyelets. Welt detail around upper. Rounded shape. Chunky lug soles."/>
    <x v="3"/>
    <s v="USD"/>
    <d v="2024-02-19T09:00:42"/>
    <s v="shoes"/>
    <x v="0"/>
    <m/>
    <m/>
    <s v="DOLLAR"/>
    <s v="shoe"/>
    <n v="2011.0800000000013"/>
    <n v="2011.0800000000013"/>
    <s v="MAN"/>
    <s v="jackets"/>
    <s v="MAN"/>
    <s v="MAN"/>
    <n v="2011.0800000000013"/>
  </r>
  <r>
    <x v="11"/>
    <x v="0"/>
    <x v="0"/>
    <x v="0"/>
    <x v="0"/>
    <x v="11"/>
    <x v="0"/>
    <s v="https://www.zara.com/us/en/asymmetrical-wool-and-silk-blend-sweater-p09598025.html"/>
    <s v="324186867-642-2"/>
    <s v="ASYMMETRICAL WOOL AND SILK BLEND SWEATER"/>
    <s v="Wool and silk blend sweater. Asymmetric neckline and long sleeves."/>
    <x v="9"/>
    <s v="USD"/>
    <d v="2024-02-19T09:10:35"/>
    <s v="sweaters"/>
    <x v="1"/>
    <m/>
    <m/>
    <s v="DOLLAR"/>
    <s v="sweaters"/>
    <n v="2249.3700000000013"/>
    <n v="2249.3700000000013"/>
    <s v="WOMAN"/>
    <s v="sweaters"/>
    <s v="WOMAN"/>
    <s v="WOMAN"/>
    <n v="2249.3700000000013"/>
  </r>
  <r>
    <x v="12"/>
    <x v="2"/>
    <x v="1"/>
    <x v="0"/>
    <x v="0"/>
    <x v="12"/>
    <x v="0"/>
    <s v="https://www.zara.com/us/en/bomber-jacket-p05344402.html"/>
    <s v="311307610-400-39"/>
    <s v="FAUX LEATHER PUFFER JACKET"/>
    <s v="Jacket with lightly padded interior. Rib collar and long sleeves. Flap pockets at waist. Rib trim. Front asymmetric zip closure."/>
    <x v="10"/>
    <s v="USD"/>
    <d v="2024-02-19T09:10:32"/>
    <s v="jackets"/>
    <x v="0"/>
    <m/>
    <m/>
    <s v="DOLLAR"/>
    <s v="jacket"/>
    <n v="14806.109999999982"/>
    <n v="14806.109999999982"/>
    <s v="MAN"/>
    <s v="jackets"/>
    <s v="MAN"/>
    <s v="MAN"/>
    <n v="14806.109999999982"/>
  </r>
  <r>
    <x v="13"/>
    <x v="0"/>
    <x v="0"/>
    <x v="0"/>
    <x v="0"/>
    <x v="13"/>
    <x v="0"/>
    <s v="https://www.zara.com/us/en/asymmetric-cropped-knit-sweater-p06771149.html"/>
    <s v="336449731-712-1"/>
    <s v="ASYMMETRIC CROPPED KNIT SWEATER"/>
    <s v="Woven V-neckline long sleeve sweater. Asymmetric hem."/>
    <x v="10"/>
    <s v="USD"/>
    <d v="2024-02-19T09:10:32"/>
    <s v="sweaters"/>
    <x v="1"/>
    <m/>
    <m/>
    <s v="DOLLAR"/>
    <s v="sweaters"/>
    <n v="2249.3700000000013"/>
    <n v="2249.3700000000013"/>
    <s v="MAN"/>
    <s v="jackets"/>
    <s v="MAN"/>
    <s v="MAN"/>
    <n v="2249.3700000000013"/>
  </r>
  <r>
    <x v="14"/>
    <x v="2"/>
    <x v="0"/>
    <x v="0"/>
    <x v="0"/>
    <x v="14"/>
    <x v="0"/>
    <s v="https://www.zara.com/us/en/cotton-blend-bomber-jacket-p06518350.html"/>
    <s v="318265017-401-2"/>
    <s v="COTTON BLEND BOMBER JACKET"/>
    <s v="Jacket made of cotton blend fabric. High collar and long sleeves. Welt pockets at hip. Rib trim. Cropped length. Front zip closure."/>
    <x v="11"/>
    <s v="USD"/>
    <d v="2024-02-19T08:50:41"/>
    <s v="jackets"/>
    <x v="0"/>
    <m/>
    <m/>
    <s v="DOLLAR"/>
    <s v="jacket"/>
    <n v="14806.109999999982"/>
    <n v="14806.109999999982"/>
    <s v="MAN"/>
    <s v="jackets"/>
    <s v="MAN"/>
    <s v="MAN"/>
    <n v="14806.109999999982"/>
  </r>
  <r>
    <x v="15"/>
    <x v="0"/>
    <x v="0"/>
    <x v="0"/>
    <x v="1"/>
    <x v="15"/>
    <x v="0"/>
    <s v="https://www.zara.com/us/en/multi-pieced-retro-sneakers-p12220320.html"/>
    <s v="313381662-202-39"/>
    <s v="MULTI-PIECED RETRO SNEAKERS"/>
    <s v="Sneakers. Upper in a combination of pieces and colors. Lacing with six pairs of eyelets. Textured chunky soles. Retro style."/>
    <x v="12"/>
    <s v="USD"/>
    <d v="2024-02-19T09:00:37"/>
    <s v="shoes"/>
    <x v="0"/>
    <m/>
    <m/>
    <s v="DOLLAR"/>
    <s v="shoe"/>
    <n v="2011.0800000000013"/>
    <n v="2011.0800000000013"/>
    <s v="MAN"/>
    <s v="shoes"/>
    <s v="MAN"/>
    <s v="MAN"/>
    <n v="2011.0800000000013"/>
  </r>
  <r>
    <x v="16"/>
    <x v="0"/>
    <x v="1"/>
    <x v="0"/>
    <x v="0"/>
    <x v="16"/>
    <x v="0"/>
    <s v="https://www.zara.com/us/en/longline-quilted-jacket-p05071688.html"/>
    <s v="316683359-818-2"/>
    <s v="LONGLINE QUILTED JACKET"/>
    <s v="Parka made of technical fabric with padded interior. High collar with removable hood. Long sleeves with interior elastic cuffs. Welt pockets at chest and flap pockets at hip. Interior pocket. Adjustable interior waistband with drawstring. Adjustable hem with side elastics. Front zip hidden by a snap button flap."/>
    <x v="13"/>
    <s v="USD"/>
    <d v="2024-02-19T08:51:04"/>
    <s v="jackets"/>
    <x v="0"/>
    <m/>
    <m/>
    <s v="DOLLAR"/>
    <s v="jacket"/>
    <n v="14806.109999999982"/>
    <n v="14806.109999999982"/>
    <s v="MAN"/>
    <s v="jackets"/>
    <s v="MAN"/>
    <s v="MAN"/>
    <n v="14806.109999999982"/>
  </r>
  <r>
    <x v="17"/>
    <x v="0"/>
    <x v="0"/>
    <x v="0"/>
    <x v="1"/>
    <x v="16"/>
    <x v="0"/>
    <s v="https://www.zara.com/us/en/knit-sweater-with-piping-p05536151.html"/>
    <s v="330290387-401-2"/>
    <s v="BOUCLÉ TEXTURED JACKET"/>
    <s v="Varsity jacket with elastic collar and long sleeves. Welt pockets at hip and interior pocket. Embroidered appliqué and contrast front and back patches. Rib trim. Front snap button closure."/>
    <x v="1"/>
    <s v="USD"/>
    <d v="2024-02-19T09:10:37"/>
    <s v="t-shirts"/>
    <x v="0"/>
    <m/>
    <m/>
    <s v="DOLLAR"/>
    <s v="t-shirts"/>
    <n v="2157.6900000000005"/>
    <n v="2157.6900000000005"/>
    <s v="MAN"/>
    <s v="t-shirts"/>
    <s v="MAN"/>
    <s v="MAN"/>
    <n v="2157.6900000000005"/>
  </r>
  <r>
    <x v="18"/>
    <x v="0"/>
    <x v="1"/>
    <x v="0"/>
    <x v="0"/>
    <x v="17"/>
    <x v="0"/>
    <s v="https://www.zara.com/us/en/pocket-jacket-p04297266.html"/>
    <s v="329158644-605-2"/>
    <s v="POCKET JACKET"/>
    <s v="Regular fit jacket with lapel collar and long sleeves. Patch pockets at chest and hip. Front button closure."/>
    <x v="4"/>
    <s v="USD"/>
    <d v="2024-02-19T08:51:16"/>
    <s v="jackets"/>
    <x v="0"/>
    <m/>
    <m/>
    <s v="DOLLAR"/>
    <s v="jacket"/>
    <n v="14806.109999999982"/>
    <n v="14806.109999999982"/>
    <s v="MAN"/>
    <s v="jackets"/>
    <s v="MAN"/>
    <s v="MAN"/>
    <n v="14806.109999999982"/>
  </r>
  <r>
    <x v="19"/>
    <x v="0"/>
    <x v="0"/>
    <x v="0"/>
    <x v="1"/>
    <x v="18"/>
    <x v="0"/>
    <s v="https://www.zara.com/us/en/double-strap-suede-sandals-p12716320.html"/>
    <s v="311282293-131-39"/>
    <s v="DOUBLE STRAP SUEDE SANDALS"/>
    <s v="Sandals. Made of leather with a suede finish. Two wide straps at instep with buckles. Insole with anatomical shaped footbed. Welt around upper. Chunky lug soles."/>
    <x v="9"/>
    <s v="USD"/>
    <d v="2024-02-19T09:00:44"/>
    <s v="shoes"/>
    <x v="0"/>
    <m/>
    <m/>
    <s v="DOLLAR"/>
    <s v="shoe"/>
    <n v="2011.0800000000013"/>
    <n v="2011.0800000000013"/>
    <s v="WOMAN"/>
    <s v="sweaters"/>
    <s v="WOMAN"/>
    <s v="WOMAN"/>
    <n v="2011.0800000000013"/>
  </r>
  <r>
    <x v="20"/>
    <x v="1"/>
    <x v="1"/>
    <x v="0"/>
    <x v="0"/>
    <x v="19"/>
    <x v="0"/>
    <s v="https://www.zara.com/us/en/fine-knit-crop-sweater-p09598029.html"/>
    <s v="322677494-446-1"/>
    <s v="FINE KNIT CROP SWEATER"/>
    <s v="Cropped fine knit sweater with round neck and long sleeves."/>
    <x v="10"/>
    <s v="USD"/>
    <d v="2024-02-19T09:10:44"/>
    <s v="sweaters"/>
    <x v="1"/>
    <m/>
    <m/>
    <s v="DOLLAR"/>
    <s v="sweaters"/>
    <n v="2249.3700000000013"/>
    <n v="2249.3700000000013"/>
    <s v="MAN"/>
    <s v="jackets"/>
    <s v="MAN"/>
    <s v="MAN"/>
    <n v="2249.3700000000013"/>
  </r>
  <r>
    <x v="21"/>
    <x v="0"/>
    <x v="1"/>
    <x v="0"/>
    <x v="1"/>
    <x v="20"/>
    <x v="0"/>
    <s v="https://www.zara.com/us/en/basic-puffer-jacket-p06985450.html"/>
    <s v="272145190-250-2"/>
    <s v="BASIC PUFFER JACKET"/>
    <s v="Puffer jacket made of tear-resistant ripstop fabric. High collar and adjustable long sleeves with adhesive straps. Welt pockets at hip. Adjustable hem with side elastics. Front zip closure."/>
    <x v="0"/>
    <s v="USD"/>
    <d v="2024-02-19T08:50:06"/>
    <s v="jackets"/>
    <x v="0"/>
    <n v="459573"/>
    <s v="sum"/>
    <s v="DOLLAR"/>
    <s v="jacket"/>
    <n v="14806.109999999982"/>
    <n v="14806.109999999982"/>
    <s v="MAN"/>
    <s v="jackets"/>
    <s v="MAN"/>
    <s v="MAN"/>
    <n v="14806.109999999982"/>
  </r>
  <r>
    <x v="22"/>
    <x v="2"/>
    <x v="1"/>
    <x v="0"/>
    <x v="1"/>
    <x v="21"/>
    <x v="0"/>
    <s v="https://www.zara.com/us/en/cotton-overshirt-p09621103.html"/>
    <s v="317782501-701-2"/>
    <s v="COTTON OVERSHIRT"/>
    <s v="Relaxed fit overshirt made with cotton fabric. Lapel collar and long sleeves with buttoned cuffs. Flap patch pockets at chest and side hip pockets. Front button closure."/>
    <x v="11"/>
    <s v="USD"/>
    <d v="2024-02-19T08:51:32"/>
    <s v="jackets"/>
    <x v="0"/>
    <m/>
    <m/>
    <s v="DOLLAR"/>
    <s v="jacket"/>
    <n v="14806.109999999982"/>
    <n v="14806.109999999982"/>
    <s v="MAN"/>
    <s v="jackets"/>
    <s v="MAN"/>
    <s v="MAN"/>
    <n v="14806.109999999982"/>
  </r>
  <r>
    <x v="23"/>
    <x v="2"/>
    <x v="0"/>
    <x v="0"/>
    <x v="0"/>
    <x v="22"/>
    <x v="0"/>
    <s v="https://www.zara.com/us/en/slim-fit-suit-jacket-p04239493.html"/>
    <s v="329300083-705-48"/>
    <s v="SLIM FIT SUIT JACKET"/>
    <s v="Slim fit jacket made of viscose blend fabric. Notched lapel collar. Long sleeves with buttoned cuffs. Welt pocket at chest and flap pockets at hip. Interior pocket. Back vents. Front button closure."/>
    <x v="4"/>
    <s v="USD"/>
    <d v="2024-02-19T08:51:17"/>
    <s v="jackets"/>
    <x v="0"/>
    <m/>
    <m/>
    <s v="DOLLAR"/>
    <s v="jacket"/>
    <n v="14806.109999999982"/>
    <n v="14806.109999999982"/>
    <s v="MAN"/>
    <s v="jackets"/>
    <s v="MAN"/>
    <s v="MAN"/>
    <n v="14806.109999999982"/>
  </r>
  <r>
    <x v="24"/>
    <x v="0"/>
    <x v="1"/>
    <x v="0"/>
    <x v="1"/>
    <x v="23"/>
    <x v="0"/>
    <s v="https://www.zara.com/us/en/boxy-fit-denim-jacket-p00840402.html"/>
    <s v="320449897-427-2"/>
    <s v="BOXY FIT DENIM JACKET"/>
    <s v="Boxy fit jacket. Lapel collar and long sleeves with buttoned cuffs. Patch pockets at hip. Washed effect.Asymmetric hem with side vents. Front button closure."/>
    <x v="11"/>
    <s v="USD"/>
    <d v="2024-02-19T08:50:59"/>
    <s v="jackets"/>
    <x v="0"/>
    <m/>
    <m/>
    <s v="DOLLAR"/>
    <s v="jacket"/>
    <n v="14806.109999999982"/>
    <n v="14806.109999999982"/>
    <s v="MAN"/>
    <s v="jackets"/>
    <s v="MAN"/>
    <s v="MAN"/>
    <n v="14806.109999999982"/>
  </r>
  <r>
    <x v="25"/>
    <x v="2"/>
    <x v="0"/>
    <x v="0"/>
    <x v="0"/>
    <x v="24"/>
    <x v="0"/>
    <s v="https://www.zara.com/us/en/basic-knit-sweater-p01509115.html"/>
    <s v="324593343-043-2"/>
    <s v="BASIC KNIT SWEATER"/>
    <s v="Long sleeve round neck sweater. Side vents at hem. Rib trim."/>
    <x v="14"/>
    <s v="USD"/>
    <d v="2024-02-19T09:10:48"/>
    <s v="sweaters"/>
    <x v="1"/>
    <m/>
    <m/>
    <s v="DOLLAR"/>
    <s v="sweaters"/>
    <n v="2249.3700000000013"/>
    <n v="2249.3700000000013"/>
    <s v="WOMAN"/>
    <s v="sweaters"/>
    <s v="WOMAN"/>
    <s v="WOMAN"/>
    <n v="2249.3700000000013"/>
  </r>
  <r>
    <x v="26"/>
    <x v="2"/>
    <x v="1"/>
    <x v="0"/>
    <x v="1"/>
    <x v="25"/>
    <x v="0"/>
    <s v="https://www.zara.com/us/en/rib-collar-jacket-p08281410.html"/>
    <s v="316207898-712-2"/>
    <s v="RIB COLLAR JACKET"/>
    <s v="Jacket made of technical fabric with padded interior. Tonal elastic rib high collar. Long sleeves. Welt pockets at hip and interior pocket. Interior elastic finish. Front zip closure."/>
    <x v="1"/>
    <s v="USD"/>
    <d v="2024-02-19T08:50:22"/>
    <s v="jackets"/>
    <x v="0"/>
    <m/>
    <m/>
    <s v="DOLLAR"/>
    <s v="jacket"/>
    <n v="14806.109999999982"/>
    <n v="14806.109999999982"/>
    <s v="MAN"/>
    <s v="t-shirts"/>
    <s v="MAN"/>
    <s v="MAN"/>
    <n v="14806.109999999982"/>
  </r>
  <r>
    <x v="27"/>
    <x v="1"/>
    <x v="0"/>
    <x v="0"/>
    <x v="1"/>
    <x v="26"/>
    <x v="0"/>
    <s v="https://www.zara.com/us/en/knit-sweater-with-pearls-p02142249.html"/>
    <s v="313890651-712-2"/>
    <s v="KNIT SWEATER WITH PEARLS"/>
    <s v="Sweater made with 22% wool and 10% alpaca. Round neck and long sleeves. Faux pearl appliqué."/>
    <x v="6"/>
    <s v="USD"/>
    <d v="2024-02-19T09:10:33"/>
    <s v="sweaters"/>
    <x v="1"/>
    <m/>
    <m/>
    <s v="DOLLAR"/>
    <s v="sweaters"/>
    <n v="2249.3700000000013"/>
    <n v="2249.3700000000013"/>
    <s v="MAN"/>
    <s v="jeans"/>
    <s v="MAN"/>
    <s v="MAN"/>
    <n v="2249.3700000000013"/>
  </r>
  <r>
    <x v="28"/>
    <x v="0"/>
    <x v="1"/>
    <x v="0"/>
    <x v="1"/>
    <x v="27"/>
    <x v="0"/>
    <s v="https://www.zara.com/us/en/cropped-washed-t-shirt-p03665403.html"/>
    <s v="320326523-707-2"/>
    <s v="CROPPED WASHED T-SHIRT"/>
    <s v="Cropped fit T-shirt with round neck and short sleeves. Contrasting front and back prints. Washed effect."/>
    <x v="10"/>
    <s v="USD"/>
    <d v="2024-02-19T08:56:27"/>
    <s v="t-shirts"/>
    <x v="0"/>
    <m/>
    <m/>
    <s v="DOLLAR"/>
    <s v="t-shirts"/>
    <n v="2157.6900000000005"/>
    <n v="2157.6900000000005"/>
    <s v="MAN"/>
    <s v="jackets"/>
    <s v="MAN"/>
    <s v="MAN"/>
    <n v="2157.6900000000005"/>
  </r>
  <r>
    <x v="29"/>
    <x v="0"/>
    <x v="1"/>
    <x v="0"/>
    <x v="1"/>
    <x v="28"/>
    <x v="0"/>
    <s v="https://www.zara.com/us/en/contrast-jacquard-jacket-p04087423.html"/>
    <s v="323050745-798-97"/>
    <s v="CONTRAST JACQUARD JACKET"/>
    <s v="Full cut jacket with lapel collar and long sleeves. Front button closure."/>
    <x v="11"/>
    <s v="USD"/>
    <d v="2024-02-19T08:50:51"/>
    <s v="jackets"/>
    <x v="0"/>
    <m/>
    <m/>
    <s v="DOLLAR"/>
    <s v="jacket"/>
    <n v="14806.109999999982"/>
    <n v="14806.109999999982"/>
    <s v="MAN"/>
    <s v="jackets"/>
    <s v="MAN"/>
    <s v="MAN"/>
    <n v="14806.109999999982"/>
  </r>
  <r>
    <x v="30"/>
    <x v="1"/>
    <x v="1"/>
    <x v="0"/>
    <x v="0"/>
    <x v="28"/>
    <x v="0"/>
    <s v="https://www.zara.com/us/en/geometric-jacquard-overshirt-p04196412.html"/>
    <s v="336446858-822-2"/>
    <s v="GEOMETRIC JACQUARD OVERSHIRT"/>
    <s v="Relaxed fit overshirt made with cotton fabric. Lapel collar and long sleeves with buttoned cuffs. Welt pockets at hip. Front button closure."/>
    <x v="11"/>
    <s v="USD"/>
    <d v="2024-02-19T08:51:40"/>
    <s v="jackets"/>
    <x v="0"/>
    <m/>
    <m/>
    <s v="DOLLAR"/>
    <s v="jacket"/>
    <n v="14806.109999999982"/>
    <n v="14806.109999999982"/>
    <s v="MAN"/>
    <s v="jackets"/>
    <s v="MAN"/>
    <s v="MAN"/>
    <n v="14806.109999999982"/>
  </r>
  <r>
    <x v="31"/>
    <x v="2"/>
    <x v="1"/>
    <x v="0"/>
    <x v="0"/>
    <x v="29"/>
    <x v="0"/>
    <s v="https://www.zara.com/us/en/basic-100-wool-sweater-p02893106.html"/>
    <s v="300250126-401-2"/>
    <s v="BASIC 100% WOOL SWEATER"/>
    <s v="Sweater made of 100% wool. Round neck and long sleeves. Ribbed trim."/>
    <x v="15"/>
    <s v="USD"/>
    <d v="2024-02-19T09:10:50"/>
    <s v="sweaters"/>
    <x v="1"/>
    <m/>
    <m/>
    <s v="DOLLAR"/>
    <s v="sweaters"/>
    <n v="2249.3700000000013"/>
    <n v="2249.3700000000013"/>
    <s v="WOMAN"/>
    <s v="sweaters"/>
    <s v="WOMAN"/>
    <s v="WOMAN"/>
    <n v="2249.3700000000013"/>
  </r>
  <r>
    <x v="32"/>
    <x v="2"/>
    <x v="1"/>
    <x v="0"/>
    <x v="1"/>
    <x v="30"/>
    <x v="0"/>
    <s v="https://www.zara.com/us/en/chunky-sole-multipiece-sneakers-p12266220.html"/>
    <s v="311307332-202-39"/>
    <s v="CHUNKY SNEAKERS"/>
    <s v="Sneakers. Upper in a combination of pieces and textures. Shoelaces with six pairs of eyelets at different heights. Chunky irregular design soles. Retro-inspired design."/>
    <x v="9"/>
    <s v="USD"/>
    <d v="2024-02-19T09:00:44"/>
    <s v="shoes"/>
    <x v="0"/>
    <m/>
    <m/>
    <s v="DOLLAR"/>
    <s v="shoe"/>
    <n v="2011.0800000000013"/>
    <n v="2011.0800000000013"/>
    <s v="WOMAN"/>
    <s v="sweaters"/>
    <s v="WOMAN"/>
    <s v="WOMAN"/>
    <n v="2011.0800000000013"/>
  </r>
  <r>
    <x v="33"/>
    <x v="1"/>
    <x v="1"/>
    <x v="0"/>
    <x v="0"/>
    <x v="31"/>
    <x v="0"/>
    <s v="https://www.zara.com/us/en/wool-blend-knit-sweater-p02893159.html"/>
    <s v="329282612-401-2"/>
    <s v="LEATHER BIKER JACKET"/>
    <s v="Round neck long sleeve sweater. Metallic fabric detail and frayed trim."/>
    <x v="11"/>
    <s v="USD"/>
    <d v="2024-02-19T09:10:33"/>
    <s v="sweaters"/>
    <x v="0"/>
    <m/>
    <m/>
    <s v="DOLLAR"/>
    <s v="sweaters"/>
    <n v="2249.3700000000013"/>
    <n v="2249.3700000000013"/>
    <s v="MAN"/>
    <s v="jackets"/>
    <s v="MAN"/>
    <s v="MAN"/>
    <n v="2249.3700000000013"/>
  </r>
  <r>
    <x v="34"/>
    <x v="1"/>
    <x v="0"/>
    <x v="0"/>
    <x v="1"/>
    <x v="32"/>
    <x v="0"/>
    <s v="https://www.zara.com/us/en/puffer-jacket-with-pouch-pocket-p00155401.html"/>
    <s v="311302445-445-97"/>
    <s v="PUFFER JACKET WITH POUCH POCKET"/>
    <s v="Jacket made of technical fabric with padded interior. High collar with front zip closure and long sleeves with elastic strap cuffs. Front and back contrast embroidered text. Zip pockets at hip. Adjustable elastic strap at hem with side zippers and strap."/>
    <x v="11"/>
    <s v="USD"/>
    <d v="2024-02-19T08:50:37"/>
    <s v="jackets"/>
    <x v="0"/>
    <m/>
    <m/>
    <s v="DOLLAR"/>
    <s v="jacket"/>
    <n v="14806.109999999982"/>
    <n v="14806.109999999982"/>
    <s v="MAN"/>
    <s v="jackets"/>
    <s v="MAN"/>
    <s v="MAN"/>
    <n v="14806.109999999982"/>
  </r>
  <r>
    <x v="35"/>
    <x v="0"/>
    <x v="1"/>
    <x v="0"/>
    <x v="0"/>
    <x v="33"/>
    <x v="0"/>
    <s v="https://www.zara.com/us/en/striped-crop-knit-sweater-p06771158.html"/>
    <s v="336449779-104-1"/>
    <s v="STRIPED CROP KNIT SWEATER"/>
    <s v="Long sleeve high collar cropped sweater. Frayed hem."/>
    <x v="7"/>
    <s v="USD"/>
    <d v="2024-02-19T09:10:47"/>
    <s v="sweaters"/>
    <x v="1"/>
    <m/>
    <m/>
    <s v="DOLLAR"/>
    <s v="sweaters"/>
    <n v="2249.3700000000013"/>
    <n v="2249.3700000000013"/>
    <s v="WOMAN"/>
    <s v="sweaters"/>
    <s v="WOMAN"/>
    <s v="WOMAN"/>
    <n v="2249.3700000000013"/>
  </r>
  <r>
    <x v="36"/>
    <x v="2"/>
    <x v="1"/>
    <x v="0"/>
    <x v="1"/>
    <x v="34"/>
    <x v="0"/>
    <s v="https://www.zara.com/us/en/metal-bead-knit-sweater-p03920018.html"/>
    <s v="318209963-800-2"/>
    <s v="FAUX LEATHER JACKET"/>
    <s v="Cropped overshirt. Lapel collar and long sleeves with buttoned cuffs. Chest patch pocket. Irregular trim. Front button closure."/>
    <x v="6"/>
    <s v="USD"/>
    <d v="2024-02-19T09:10:35"/>
    <s v="t-shirts"/>
    <x v="0"/>
    <m/>
    <m/>
    <s v="DOLLAR"/>
    <s v="t-shirts"/>
    <n v="2157.6900000000005"/>
    <n v="2157.6900000000005"/>
    <s v="MAN"/>
    <s v="jeans"/>
    <s v="MAN"/>
    <s v="MAN"/>
    <n v="2157.6900000000005"/>
  </r>
  <r>
    <x v="37"/>
    <x v="0"/>
    <x v="0"/>
    <x v="0"/>
    <x v="0"/>
    <x v="35"/>
    <x v="0"/>
    <s v="https://www.zara.com/us/en/herringbone-textured-jacket-p08491401.html"/>
    <s v="316207900-710-2"/>
    <s v="HERRINGBONE TEXTURED JACKET"/>
    <s v="Jacket made of wool blend fabric. Lapel collar and long sleeves. Welt pockets at hip. Front zip closure."/>
    <x v="2"/>
    <s v="USD"/>
    <d v="2024-02-19T08:50:12"/>
    <s v="jackets"/>
    <x v="0"/>
    <m/>
    <m/>
    <s v="DOLLAR"/>
    <s v="jacket"/>
    <n v="14806.109999999982"/>
    <n v="14806.109999999982"/>
    <s v="MAN"/>
    <s v="jackets"/>
    <s v="MAN"/>
    <s v="MAN"/>
    <n v="14806.109999999982"/>
  </r>
  <r>
    <x v="38"/>
    <x v="1"/>
    <x v="1"/>
    <x v="0"/>
    <x v="1"/>
    <x v="36"/>
    <x v="0"/>
    <s v="https://www.zara.com/us/en/oversized-knit-sweater-p09598288.html"/>
    <s v="311282631-712-2"/>
    <s v="OVERSIZED CROPPED JACKET LIMITED EDITION"/>
    <s v="V-neck sweater with long sleeves. Rib trim."/>
    <x v="6"/>
    <s v="USD"/>
    <d v="2024-02-19T09:10:33"/>
    <s v="t-shirts"/>
    <x v="0"/>
    <m/>
    <m/>
    <s v="DOLLAR"/>
    <s v="t-shirts"/>
    <n v="2157.6900000000005"/>
    <n v="2157.6900000000005"/>
    <s v="MAN"/>
    <s v="jeans"/>
    <s v="MAN"/>
    <s v="MAN"/>
    <n v="2157.6900000000005"/>
  </r>
  <r>
    <x v="39"/>
    <x v="1"/>
    <x v="0"/>
    <x v="0"/>
    <x v="0"/>
    <x v="37"/>
    <x v="0"/>
    <s v="https://www.zara.com/us/en/striped-crop-knit-sweater-p06771158.html"/>
    <s v="313008692-514-2"/>
    <s v="FAUX LEATHER BOMBER JACKET"/>
    <s v="Cropped overshirt. Lapel collar and long sleeves with buttoned cuffs. Front patch pockets. Irregular finished seams. Front button closure."/>
    <x v="4"/>
    <s v="USD"/>
    <d v="2024-02-19T09:10:42"/>
    <s v="t-shirts"/>
    <x v="0"/>
    <m/>
    <m/>
    <s v="DOLLAR"/>
    <s v="t-shirts"/>
    <n v="2157.6900000000005"/>
    <n v="2157.6900000000005"/>
    <s v="MAN"/>
    <s v="jackets"/>
    <s v="MAN"/>
    <s v="MAN"/>
    <n v="2157.6900000000005"/>
  </r>
  <r>
    <x v="40"/>
    <x v="2"/>
    <x v="1"/>
    <x v="0"/>
    <x v="0"/>
    <x v="38"/>
    <x v="0"/>
    <s v="https://www.zara.com/us/en/contrasting-patches-bomber-jacket-p06318411.html"/>
    <s v="311307255-800-2"/>
    <s v="CONTRASTING PATCHES BOMBER JACKET"/>
    <s v="Varsity jacket with elastic collar and long sleeves. Welt pockets at hip and interior pocket. Embroidered appliqué and contrast front and back patches. Rib trim. Front snap button closure."/>
    <x v="2"/>
    <s v="USD"/>
    <d v="2024-02-19T08:50:23"/>
    <s v="jackets"/>
    <x v="0"/>
    <m/>
    <m/>
    <s v="DOLLAR"/>
    <s v="jacket"/>
    <n v="14806.109999999982"/>
    <n v="14806.109999999982"/>
    <s v="MAN"/>
    <s v="jackets"/>
    <s v="MAN"/>
    <s v="MAN"/>
    <n v="14806.109999999982"/>
  </r>
  <r>
    <x v="41"/>
    <x v="1"/>
    <x v="0"/>
    <x v="0"/>
    <x v="0"/>
    <x v="39"/>
    <x v="0"/>
    <s v="https://www.zara.com/us/en/contrast-topstitching-crop-knit-sweater-p09598003.html"/>
    <s v="311297400-803-1"/>
    <s v="CONTRAST TOPSTITCHING CROP KNIT SWEATER"/>
    <s v="V-neck cropped sweater with long sleeves. Front patch pockets. Contrast topstitching."/>
    <x v="9"/>
    <s v="USD"/>
    <d v="2024-02-19T09:10:47"/>
    <s v="sweaters"/>
    <x v="1"/>
    <m/>
    <m/>
    <s v="DOLLAR"/>
    <s v="sweaters"/>
    <n v="2249.3700000000013"/>
    <n v="2249.3700000000013"/>
    <s v="WOMAN"/>
    <s v="sweaters"/>
    <s v="WOMAN"/>
    <s v="WOMAN"/>
    <n v="2249.3700000000013"/>
  </r>
  <r>
    <x v="42"/>
    <x v="2"/>
    <x v="0"/>
    <x v="0"/>
    <x v="1"/>
    <x v="40"/>
    <x v="0"/>
    <s v="https://www.zara.com/us/en/soft-jewel-sweater-p02298153.html"/>
    <s v="323175653-803-2"/>
    <s v="SOFT JEWEL SWEATER"/>
    <s v="Sweater made of soft touch fabric. Round neckline with jewel appliqués and long sleeves."/>
    <x v="10"/>
    <s v="USD"/>
    <d v="2024-02-19T09:10:40"/>
    <s v="sweaters"/>
    <x v="1"/>
    <m/>
    <m/>
    <s v="DOLLAR"/>
    <s v="sweaters"/>
    <n v="2249.3700000000013"/>
    <n v="2249.3700000000013"/>
    <s v="MAN"/>
    <s v="jackets"/>
    <s v="MAN"/>
    <s v="MAN"/>
    <n v="2249.3700000000013"/>
  </r>
  <r>
    <x v="43"/>
    <x v="1"/>
    <x v="0"/>
    <x v="0"/>
    <x v="1"/>
    <x v="41"/>
    <x v="0"/>
    <s v="https://www.zara.com/us/en/faux-leather-puffer-jacket-p03833302.html"/>
    <s v="311297855-800-2"/>
    <s v="FAUX LEATHER PUFFER JACKET"/>
    <s v="Faux leather jacket with padded interior. Lapel collar and long sleeves with snap buttoned cuffs. Welt pockets at hip and interior pocket. Elastic hem. Front zip hidden by a snap button flap."/>
    <x v="1"/>
    <s v="USD"/>
    <d v="2024-02-19T08:50:25"/>
    <s v="jackets"/>
    <x v="0"/>
    <m/>
    <m/>
    <s v="DOLLAR"/>
    <s v="jacket"/>
    <n v="14806.109999999982"/>
    <n v="14806.109999999982"/>
    <s v="MAN"/>
    <s v="t-shirts"/>
    <s v="MAN"/>
    <s v="MAN"/>
    <n v="14806.109999999982"/>
  </r>
  <r>
    <x v="44"/>
    <x v="0"/>
    <x v="1"/>
    <x v="0"/>
    <x v="1"/>
    <x v="42"/>
    <x v="0"/>
    <s v="https://www.zara.com/us/en/technical-padded-jacket-p03833311.html"/>
    <s v="311297745-800-2"/>
    <s v="TECHNICAL PADDED JACKET"/>
    <s v="Jacket made of technical fabric with padded interior. Lapel collar and long sleeves with elastic cuffs. Welt pockets at hip and interior pocket. Adjustable drawstring hem. Front snap button closure."/>
    <x v="11"/>
    <s v="USD"/>
    <d v="2024-02-19T08:50:58"/>
    <s v="jackets"/>
    <x v="0"/>
    <m/>
    <m/>
    <s v="DOLLAR"/>
    <s v="jacket"/>
    <n v="14806.109999999982"/>
    <n v="14806.109999999982"/>
    <s v="MAN"/>
    <s v="jackets"/>
    <s v="MAN"/>
    <s v="MAN"/>
    <n v="14806.109999999982"/>
  </r>
  <r>
    <x v="45"/>
    <x v="2"/>
    <x v="0"/>
    <x v="0"/>
    <x v="0"/>
    <x v="43"/>
    <x v="0"/>
    <s v="https://www.zara.com/us/en/stretch-pocket-overshirt-p07484478.html"/>
    <s v="342657802-914-2"/>
    <s v="STRETCH POCKET OVERSHIRT"/>
    <s v="Overshirt made of stretchy fabric. Lapel collar and long sleeves with snap buttoned cuffs. Chest patch pockets. Front snap button closure."/>
    <x v="9"/>
    <s v="USD"/>
    <d v="2024-02-19T08:50:22"/>
    <s v="jackets"/>
    <x v="0"/>
    <m/>
    <m/>
    <s v="DOLLAR"/>
    <s v="jacket"/>
    <n v="14806.109999999982"/>
    <n v="14806.109999999982"/>
    <s v="WOMAN"/>
    <s v="sweaters"/>
    <s v="WOMAN"/>
    <s v="WOMAN"/>
    <n v="14806.109999999982"/>
  </r>
  <r>
    <x v="46"/>
    <x v="2"/>
    <x v="1"/>
    <x v="0"/>
    <x v="0"/>
    <x v="44"/>
    <x v="0"/>
    <s v="https://www.zara.com/us/en/cashmere-blend-knit-sweater-p02893169.html"/>
    <s v="313890686-731-2"/>
    <s v="CASHMERE BLEND KNIT SWEATER"/>
    <s v="Sweater made with 95% cashmere. V-neck and long sleeves. Rib trim."/>
    <x v="13"/>
    <s v="USD"/>
    <d v="2024-02-19T09:10:37"/>
    <s v="sweaters"/>
    <x v="1"/>
    <m/>
    <m/>
    <s v="DOLLAR"/>
    <s v="sweaters"/>
    <n v="2249.3700000000013"/>
    <n v="2249.3700000000013"/>
    <s v="MAN"/>
    <s v="jackets"/>
    <s v="MAN"/>
    <s v="MAN"/>
    <n v="2249.3700000000013"/>
  </r>
  <r>
    <x v="47"/>
    <x v="0"/>
    <x v="1"/>
    <x v="0"/>
    <x v="1"/>
    <x v="45"/>
    <x v="0"/>
    <s v="https://www.zara.com/us/en/retro-high-top-sneakers-p12180220.html"/>
    <s v="277776476-700-39"/>
    <s v="RETRO HIGH TOP SNEAKERS"/>
    <s v="High-top sneakers. Upper in a combination of pieces. Laces with ten pairs of eyelets. Chunky sole."/>
    <x v="16"/>
    <s v="USD"/>
    <d v="2024-02-19T09:00:36"/>
    <s v="shoes"/>
    <x v="0"/>
    <m/>
    <m/>
    <s v="DOLLAR"/>
    <s v="shoe"/>
    <n v="2011.0800000000013"/>
    <n v="2011.0800000000013"/>
    <s v="MAN"/>
    <s v="shoes"/>
    <s v="MAN"/>
    <s v="MAN"/>
    <n v="2011.0800000000013"/>
  </r>
  <r>
    <x v="48"/>
    <x v="2"/>
    <x v="0"/>
    <x v="0"/>
    <x v="0"/>
    <x v="46"/>
    <x v="0"/>
    <s v="https://www.zara.com/us/en/washed-technical-jacket-p04695300.html"/>
    <s v="323672371-507-2"/>
    <s v="WASHED TECHNICAL JACKET"/>
    <s v="Jacket made of technical fabric. High collar and long sleeves with adjustable cuffs with snap button straps. Flap patch pockets at hip. Adjustable drawstring hem. Washed effect. Front zip hidden by a snap button flap."/>
    <x v="17"/>
    <s v="USD"/>
    <d v="2024-02-19T08:51:08"/>
    <s v="jackets"/>
    <x v="0"/>
    <m/>
    <m/>
    <s v="DOLLAR"/>
    <s v="jacket"/>
    <n v="14806.109999999982"/>
    <n v="14806.109999999982"/>
    <s v="MAN"/>
    <s v="jackets"/>
    <s v="MAN"/>
    <s v="MAN"/>
    <n v="14806.109999999982"/>
  </r>
  <r>
    <x v="49"/>
    <x v="0"/>
    <x v="1"/>
    <x v="0"/>
    <x v="0"/>
    <x v="47"/>
    <x v="0"/>
    <s v="https://www.zara.com/us/en/padded-bomber-jacket-p03918400.html"/>
    <s v="311302424-409-2"/>
    <s v="PADDED BOMBER JACKET"/>
    <s v="Jacket made of technical fabric with lightly padded interior. Rib elastic collar and long sleeves. Zip pockets at hip. Elastic hem. Front zip closure."/>
    <x v="6"/>
    <s v="USD"/>
    <d v="2024-02-19T08:51:10"/>
    <s v="jackets"/>
    <x v="0"/>
    <m/>
    <m/>
    <s v="DOLLAR"/>
    <s v="jacket"/>
    <n v="14806.109999999982"/>
    <n v="14806.109999999982"/>
    <s v="MAN"/>
    <s v="jeans"/>
    <s v="MAN"/>
    <s v="MAN"/>
    <n v="14806.109999999982"/>
  </r>
  <r>
    <x v="50"/>
    <x v="0"/>
    <x v="1"/>
    <x v="0"/>
    <x v="0"/>
    <x v="48"/>
    <x v="0"/>
    <s v="https://www.zara.com/us/en/hooded-technical-jacket-p01538301.html"/>
    <s v="320680326-107-39"/>
    <s v="PATCH BOMBER JACKET"/>
    <s v="Varsity jacket with elastic collar and long sleeves. Welt pockets at hip and interior pocket. Embroidered appliqué and contrast front and back patches. Rib trim. Front snap button closure."/>
    <x v="8"/>
    <s v="USD"/>
    <d v="2024-02-19T09:10:45"/>
    <s v="jackets"/>
    <x v="0"/>
    <m/>
    <m/>
    <s v="DOLLAR"/>
    <s v="jacket"/>
    <n v="14806.109999999982"/>
    <n v="14806.109999999982"/>
    <s v="MAN"/>
    <s v="sweaters"/>
    <s v="MAN"/>
    <s v="MAN"/>
    <n v="14806.109999999982"/>
  </r>
  <r>
    <x v="51"/>
    <x v="2"/>
    <x v="1"/>
    <x v="0"/>
    <x v="0"/>
    <x v="49"/>
    <x v="0"/>
    <s v="https://www.zara.com/us/en/straight-suit-jacket-p04143291.html"/>
    <s v="328594167-800-46"/>
    <s v="STRAIGHT SUIT JACKET"/>
    <s v="Straight fit blazer. Notched lapel collar and long sleeves with buttoned cuffs. Flap pockets at hip. Interior pocket. Central back vent at hem. Front button closure."/>
    <x v="2"/>
    <s v="USD"/>
    <d v="2024-02-19T08:50:39"/>
    <s v="jackets"/>
    <x v="0"/>
    <m/>
    <m/>
    <s v="DOLLAR"/>
    <s v="jacket"/>
    <n v="14806.109999999982"/>
    <n v="14806.109999999982"/>
    <s v="MAN"/>
    <s v="jackets"/>
    <s v="MAN"/>
    <s v="MAN"/>
    <n v="14806.109999999982"/>
  </r>
  <r>
    <x v="52"/>
    <x v="2"/>
    <x v="0"/>
    <x v="0"/>
    <x v="1"/>
    <x v="50"/>
    <x v="0"/>
    <s v="https://www.zara.com/us/en/jewel-knit-sweater-p05755005.html"/>
    <s v="321480271-802-2"/>
    <s v="JEWEL KNIT SWEATER"/>
    <s v="Round neck sweater with jewel appliqués and long sleeves. Back opening with button closure."/>
    <x v="9"/>
    <s v="USD"/>
    <d v="2024-02-19T09:10:43"/>
    <s v="sweaters"/>
    <x v="1"/>
    <m/>
    <m/>
    <s v="DOLLAR"/>
    <s v="sweaters"/>
    <n v="2249.3700000000013"/>
    <n v="2249.3700000000013"/>
    <s v="WOMAN"/>
    <s v="sweaters"/>
    <s v="WOMAN"/>
    <s v="WOMAN"/>
    <n v="2249.3700000000013"/>
  </r>
  <r>
    <x v="53"/>
    <x v="0"/>
    <x v="1"/>
    <x v="0"/>
    <x v="0"/>
    <x v="51"/>
    <x v="0"/>
    <s v="https://www.zara.com/us/en/retro-sneakers-p12280220.html"/>
    <s v="276378605-515-39"/>
    <s v="RETRO SNEAKERS"/>
    <s v="Sneakers. Upper in a combination of pieces and materials. Lacing with seven pairs of eyelets. Quilted back piece. Chunky sole. Retro style."/>
    <x v="16"/>
    <s v="USD"/>
    <d v="2024-02-19T09:00:35"/>
    <s v="shoes"/>
    <x v="0"/>
    <m/>
    <m/>
    <s v="DOLLAR"/>
    <s v="shoe"/>
    <n v="2011.0800000000013"/>
    <n v="2011.0800000000013"/>
    <s v="MAN"/>
    <s v="shoes"/>
    <s v="MAN"/>
    <s v="MAN"/>
    <n v="2011.0800000000013"/>
  </r>
  <r>
    <x v="54"/>
    <x v="2"/>
    <x v="1"/>
    <x v="0"/>
    <x v="1"/>
    <x v="52"/>
    <x v="0"/>
    <s v="https://www.zara.com/us/en/ripped-denim-jacket-p01538470.html"/>
    <s v="335663355-406-2"/>
    <s v="RIPPED DENIM JACKET"/>
    <s v="Denim jacket with lapel collar and long sleeves with buttoned cuffs. Flap pockets at chest and welt pockets at hip. All over washed effect and rips. Front button closure."/>
    <x v="6"/>
    <s v="USD"/>
    <d v="2024-02-19T08:50:35"/>
    <s v="jackets"/>
    <x v="0"/>
    <m/>
    <m/>
    <s v="DOLLAR"/>
    <s v="jacket"/>
    <n v="14806.109999999982"/>
    <n v="14806.109999999982"/>
    <s v="MAN"/>
    <s v="jeans"/>
    <s v="MAN"/>
    <s v="MAN"/>
    <n v="14806.109999999982"/>
  </r>
  <r>
    <x v="55"/>
    <x v="2"/>
    <x v="0"/>
    <x v="0"/>
    <x v="1"/>
    <x v="53"/>
    <x v="0"/>
    <s v="https://www.zara.com/us/en/faux-leather-oversized-jacket-limited-edition-p07380310.html"/>
    <s v="321496761-800-2"/>
    <s v="FAUX LEATHER OVERSIZED JACKET LIMITED EDITION"/>
    <s v="Oversized jacket. Notched lapel collar and long sleeves. Flap pockets at hip and interior pocket. Front button closure."/>
    <x v="18"/>
    <s v="USD"/>
    <d v="2024-02-19T08:50:23"/>
    <s v="jackets"/>
    <x v="0"/>
    <m/>
    <m/>
    <s v="DOLLAR"/>
    <s v="jacket"/>
    <n v="14806.109999999982"/>
    <n v="14806.109999999982"/>
    <s v="MAN"/>
    <s v="jackets"/>
    <s v="MAN"/>
    <s v="MAN"/>
    <n v="14806.109999999982"/>
  </r>
  <r>
    <x v="56"/>
    <x v="1"/>
    <x v="0"/>
    <x v="0"/>
    <x v="1"/>
    <x v="54"/>
    <x v="0"/>
    <s v="https://www.zara.com/us/en/100-linen-overshirt-p04224708.html"/>
    <s v="329282612-401-2"/>
    <s v="100% LINEN OVERSHIRT"/>
    <s v="Relaxed fit overshirt made of linen fabric. Lapel collar and long sleeves with buttoned cuffs. Chest patch pockets. Front button closure."/>
    <x v="11"/>
    <s v="USD"/>
    <d v="2024-02-19T08:51:34"/>
    <s v="jackets"/>
    <x v="0"/>
    <m/>
    <m/>
    <s v="DOLLAR"/>
    <s v="jacket"/>
    <n v="14806.109999999982"/>
    <n v="14806.109999999982"/>
    <s v="MAN"/>
    <s v="jackets"/>
    <s v="MAN"/>
    <s v="MAN"/>
    <n v="14806.109999999982"/>
  </r>
  <r>
    <x v="57"/>
    <x v="2"/>
    <x v="0"/>
    <x v="0"/>
    <x v="1"/>
    <x v="55"/>
    <x v="0"/>
    <s v="https://www.zara.com/us/en/moc-toe-suede-boots-p12015320.html"/>
    <s v="311309627-805-39"/>
    <s v="MOC-TOE SUEDE BOOTS"/>
    <s v="Suede leather boots. Ridged seam detail at upper. Lacing with two pairs of eyelets. Welt around upper. Slightly chunky sole."/>
    <x v="11"/>
    <s v="USD"/>
    <d v="2024-02-19T09:00:39"/>
    <s v="shoes"/>
    <x v="0"/>
    <m/>
    <m/>
    <s v="DOLLAR"/>
    <s v="shoe"/>
    <n v="2011.0800000000013"/>
    <n v="2011.0800000000013"/>
    <s v="MAN"/>
    <s v="jackets"/>
    <s v="MAN"/>
    <s v="MAN"/>
    <n v="2011.0800000000013"/>
  </r>
  <r>
    <x v="58"/>
    <x v="1"/>
    <x v="0"/>
    <x v="0"/>
    <x v="0"/>
    <x v="56"/>
    <x v="0"/>
    <s v="https://www.zara.com/us/en/faux-suede-overshirt-p03715303.html"/>
    <s v="318209963-800-2"/>
    <s v="FAUX SUEDE OVERSHIRT"/>
    <s v="Relaxed fit overshirt. Lapel collar and long sleeves. Chest patch pocket. Front snap button closure."/>
    <x v="6"/>
    <s v="USD"/>
    <d v="2024-02-19T08:51:36"/>
    <s v="jackets"/>
    <x v="0"/>
    <m/>
    <m/>
    <s v="DOLLAR"/>
    <s v="jacket"/>
    <n v="14806.109999999982"/>
    <n v="14806.109999999982"/>
    <s v="MAN"/>
    <s v="jeans"/>
    <s v="MAN"/>
    <s v="MAN"/>
    <n v="14806.109999999982"/>
  </r>
  <r>
    <x v="59"/>
    <x v="2"/>
    <x v="0"/>
    <x v="0"/>
    <x v="0"/>
    <x v="57"/>
    <x v="0"/>
    <s v="https://www.zara.com/us/en/paint-print-overshirt-p05320305.html"/>
    <s v="281883711-071-2"/>
    <s v="PAINT PRINT OVERSHIRT"/>
    <s v="Relaxed fit overshirt. Lapel collar and long sleeves with snap button cuffs. Chest patch pockets. Side vents at hem. Front snap button closure."/>
    <x v="0"/>
    <s v="USD"/>
    <d v="2024-02-19T08:51:40"/>
    <s v="jackets"/>
    <x v="0"/>
    <m/>
    <m/>
    <s v="DOLLAR"/>
    <s v="jacket"/>
    <n v="14806.109999999982"/>
    <n v="14806.109999999982"/>
    <s v="MAN"/>
    <s v="jackets"/>
    <s v="MAN"/>
    <s v="MAN"/>
    <n v="14806.109999999982"/>
  </r>
  <r>
    <x v="60"/>
    <x v="2"/>
    <x v="0"/>
    <x v="0"/>
    <x v="0"/>
    <x v="57"/>
    <x v="0"/>
    <s v="https://www.zara.com/us/en/basic-foil-knit-sweater-p00506101.html"/>
    <s v="317331009-312-2"/>
    <s v="BASIC FOIL KNIT SWEATER"/>
    <s v="Round neck long sleeve sweater. Rib trim."/>
    <x v="19"/>
    <s v="USD"/>
    <d v="2024-02-19T09:10:46"/>
    <s v="sweaters"/>
    <x v="1"/>
    <m/>
    <m/>
    <s v="DOLLAR"/>
    <s v="sweaters"/>
    <n v="2249.3700000000013"/>
    <n v="2249.3700000000013"/>
    <s v="WOMAN"/>
    <s v="sweaters"/>
    <s v="WOMAN"/>
    <s v="WOMAN"/>
    <n v="2249.3700000000013"/>
  </r>
  <r>
    <x v="61"/>
    <x v="0"/>
    <x v="1"/>
    <x v="0"/>
    <x v="1"/>
    <x v="58"/>
    <x v="0"/>
    <s v="https://www.zara.com/us/en/suit-jacket-in-100-linen-p04307408.html"/>
    <s v="322972485-431-46"/>
    <s v="SUIT JACKET IN 100% LINEN"/>
    <s v="Straight fit blazer made of linen. Notched lapel collar and long sleeves with buttoned cuffs. Welt pocket at chest and flap pockets at hip. Interior pocket. Back vents. Front button closure."/>
    <x v="18"/>
    <s v="USD"/>
    <d v="2024-02-19T08:50:10"/>
    <s v="jackets"/>
    <x v="0"/>
    <m/>
    <m/>
    <s v="DOLLAR"/>
    <s v="jacket"/>
    <n v="14806.109999999982"/>
    <n v="14806.109999999982"/>
    <s v="MAN"/>
    <s v="jackets"/>
    <s v="MAN"/>
    <s v="MAN"/>
    <n v="14806.109999999982"/>
  </r>
  <r>
    <x v="62"/>
    <x v="1"/>
    <x v="0"/>
    <x v="0"/>
    <x v="0"/>
    <x v="59"/>
    <x v="0"/>
    <s v="https://www.zara.com/us/en/pocket-overshirt-p04466468.html"/>
    <s v="330290387-401-2"/>
    <s v="POCKET OVERSHIRT"/>
    <s v="Relaxed fit overshirt made of 25% wool fabric. Lapel collar and long sleeves with buttoned cuffs. Patch pocket at chest and side pockets at hip. Front button closure."/>
    <x v="1"/>
    <s v="USD"/>
    <d v="2024-02-19T08:51:37"/>
    <s v="jackets"/>
    <x v="0"/>
    <m/>
    <m/>
    <s v="DOLLAR"/>
    <s v="jacket"/>
    <n v="14806.109999999982"/>
    <n v="14806.109999999982"/>
    <s v="MAN"/>
    <s v="t-shirts"/>
    <s v="MAN"/>
    <s v="MAN"/>
    <n v="14806.109999999982"/>
  </r>
  <r>
    <x v="63"/>
    <x v="2"/>
    <x v="1"/>
    <x v="0"/>
    <x v="0"/>
    <x v="60"/>
    <x v="0"/>
    <s v="https://www.zara.com/us/en/contrast-sole-leather-sneakers-p12510320.html"/>
    <s v="314937773-800-39"/>
    <s v="CONTRAST SOLE LEATHER SNEAKERS"/>
    <s v="Sneakers. Made of leather. Upper in a combination of pieces and finishes. Lacing with six pairs of eyelets. Rounded shape. Chunky sole."/>
    <x v="6"/>
    <s v="USD"/>
    <d v="2024-02-19T09:00:49"/>
    <s v="shoes"/>
    <x v="0"/>
    <m/>
    <m/>
    <s v="DOLLAR"/>
    <s v="shoe"/>
    <n v="2011.0800000000013"/>
    <n v="2011.0800000000013"/>
    <s v="MAN"/>
    <s v="jeans"/>
    <s v="MAN"/>
    <s v="MAN"/>
    <n v="2011.0800000000013"/>
  </r>
  <r>
    <x v="64"/>
    <x v="2"/>
    <x v="0"/>
    <x v="0"/>
    <x v="1"/>
    <x v="61"/>
    <x v="0"/>
    <s v="https://www.zara.com/us/en/suede-sneakers-p12502320.html"/>
    <s v="311302532-102-39"/>
    <s v="SUEDE SNEAKERS"/>
    <s v="Sneakers. Made of leather with a suede finish. Laces with five pairs of eyelets. Chunky soles."/>
    <x v="6"/>
    <s v="USD"/>
    <d v="2024-02-19T09:00:42"/>
    <s v="shoes"/>
    <x v="0"/>
    <m/>
    <m/>
    <s v="DOLLAR"/>
    <s v="shoe"/>
    <n v="2011.0800000000013"/>
    <n v="2011.0800000000013"/>
    <s v="MAN"/>
    <s v="jeans"/>
    <s v="MAN"/>
    <s v="MAN"/>
    <n v="2011.0800000000013"/>
  </r>
  <r>
    <x v="65"/>
    <x v="1"/>
    <x v="0"/>
    <x v="0"/>
    <x v="0"/>
    <x v="62"/>
    <x v="0"/>
    <s v="https://www.zara.com/us/en/wool-blend-textured-jacket-p04296310.html"/>
    <s v="328244979-064-48"/>
    <s v="WOOL BLEND TEXTURED JACKET"/>
    <s v="Jacket made of wool blend fabric. Pointed lapel collar and long sleeves with buttoned cuffs. Welt pockets at chest and flap pockets at hip. Interior pocket. Back vents. Front double breasted button closure."/>
    <x v="20"/>
    <s v="USD"/>
    <d v="2024-02-19T08:50:49"/>
    <s v="jackets"/>
    <x v="0"/>
    <m/>
    <m/>
    <s v="DOLLAR"/>
    <s v="jacket"/>
    <n v="14806.109999999982"/>
    <n v="14806.109999999982"/>
    <s v="MAN"/>
    <s v="jackets"/>
    <s v="MAN"/>
    <s v="MAN"/>
    <n v="14806.109999999982"/>
  </r>
  <r>
    <x v="66"/>
    <x v="1"/>
    <x v="1"/>
    <x v="0"/>
    <x v="1"/>
    <x v="63"/>
    <x v="0"/>
    <s v="https://www.zara.com/us/en/lightweight-bomber-jacket-p08281315.html"/>
    <s v="320423517-800-2"/>
    <s v="LIGHTWEIGHT BOMBER JACKET"/>
    <s v="Lightweight jacket made of technical fabric. Round neck and long sleeves. Welt pockets at hip. Interior pocket. Rib trim. Front zip closure."/>
    <x v="21"/>
    <s v="USD"/>
    <d v="2024-02-19T08:50:19"/>
    <s v="jackets"/>
    <x v="0"/>
    <m/>
    <m/>
    <s v="DOLLAR"/>
    <s v="jacket"/>
    <n v="14806.109999999982"/>
    <n v="14806.109999999982"/>
    <s v="MAN"/>
    <s v="jackets"/>
    <s v="MAN"/>
    <s v="MAN"/>
    <n v="14806.109999999982"/>
  </r>
  <r>
    <x v="67"/>
    <x v="1"/>
    <x v="1"/>
    <x v="0"/>
    <x v="1"/>
    <x v="64"/>
    <x v="0"/>
    <s v="https://www.zara.com/us/en/100-feather-fill-puffer-jacket-p00155480.html"/>
    <s v="327116625-505-2"/>
    <s v="100% FEATHER FILL PUFFER JACKET"/>
    <s v="Puffer vest made of technical fabric. Fill is a blend of 60% down and 40% feather. Sleeveless design with high collar. Zip pockets at hip and interior pocket. Adjustable hem with side elastics. Front snap button closure."/>
    <x v="11"/>
    <s v="USD"/>
    <d v="2024-02-19T08:51:09"/>
    <s v="jackets"/>
    <x v="0"/>
    <m/>
    <m/>
    <s v="DOLLAR"/>
    <s v="jacket"/>
    <n v="14806.109999999982"/>
    <n v="14806.109999999982"/>
    <s v="MAN"/>
    <s v="jackets"/>
    <s v="MAN"/>
    <s v="MAN"/>
    <n v="14806.109999999982"/>
  </r>
  <r>
    <x v="68"/>
    <x v="2"/>
    <x v="0"/>
    <x v="0"/>
    <x v="0"/>
    <x v="65"/>
    <x v="0"/>
    <s v="https://www.zara.com/us/en/denim-bomber-jacket-p00621400.html"/>
    <s v="321496837-400-3"/>
    <s v="DENIM BOMBER JACKET"/>
    <s v="Jacket made of denim fabric with padded interior. Rib elastic collar and long sleeves. Welt pockets at hip and interior pocket. Elastic hem. All-over contrasting topstitching details. Front zip closure."/>
    <x v="2"/>
    <s v="USD"/>
    <d v="2024-02-19T08:50:16"/>
    <s v="jackets"/>
    <x v="0"/>
    <m/>
    <m/>
    <s v="DOLLAR"/>
    <s v="jacket"/>
    <n v="14806.109999999982"/>
    <n v="14806.109999999982"/>
    <s v="MAN"/>
    <s v="jackets"/>
    <s v="MAN"/>
    <s v="MAN"/>
    <n v="14806.109999999982"/>
  </r>
  <r>
    <x v="69"/>
    <x v="2"/>
    <x v="1"/>
    <x v="0"/>
    <x v="1"/>
    <x v="66"/>
    <x v="0"/>
    <s v="https://www.zara.com/us/en/plaid-overshirt-p04266381.html"/>
    <s v="320671529-802-2"/>
    <s v="PLAID OVERSHIRT"/>
    <s v="Cropped overshirt. Lapel collar and long sleeves with buttoned cuffs. Chest patch pocket. Irregular trim. Front button closure."/>
    <x v="9"/>
    <s v="USD"/>
    <d v="2024-02-19T08:51:38"/>
    <s v="jackets"/>
    <x v="0"/>
    <m/>
    <m/>
    <s v="DOLLAR"/>
    <s v="jacket"/>
    <n v="14806.109999999982"/>
    <n v="14806.109999999982"/>
    <s v="WOMAN"/>
    <s v="sweaters"/>
    <s v="WOMAN"/>
    <s v="WOMAN"/>
    <n v="14806.109999999982"/>
  </r>
  <r>
    <x v="70"/>
    <x v="2"/>
    <x v="1"/>
    <x v="0"/>
    <x v="1"/>
    <x v="67"/>
    <x v="0"/>
    <s v="https://www.zara.com/us/en/quilted-structured-overshirt-p09621370.html"/>
    <s v="320278659-251-2"/>
    <s v="QUILTED STRUCTURED OVERSHIRT"/>
    <s v="Regular fit overshirt with quilted interior. Lapel collar and long sleeves with buttoned cuffs. Patch pockets at chest and welt pockets at hip. Front button closure."/>
    <x v="1"/>
    <s v="USD"/>
    <d v="2024-02-19T08:51:42"/>
    <s v="jackets"/>
    <x v="0"/>
    <m/>
    <m/>
    <s v="DOLLAR"/>
    <s v="jacket"/>
    <n v="14806.109999999982"/>
    <n v="14806.109999999982"/>
    <s v="MAN"/>
    <s v="t-shirts"/>
    <s v="MAN"/>
    <s v="MAN"/>
    <n v="14806.109999999982"/>
  </r>
  <r>
    <x v="71"/>
    <x v="0"/>
    <x v="1"/>
    <x v="0"/>
    <x v="0"/>
    <x v="68"/>
    <x v="0"/>
    <s v="https://www.zara.com/us/en/boucle-textured-jacket-p08491402.html"/>
    <s v="316205038-615-2"/>
    <s v="BOUCLÉ TEXTURED JACKET"/>
    <s v="Cropped jacket made with wool blend fabric. High collar and long sleeves with elastic cuffs. Front patch pockets with flaps. Elastic hem. Front snap button closure."/>
    <x v="2"/>
    <s v="USD"/>
    <d v="2024-02-19T08:50:17"/>
    <s v="jackets"/>
    <x v="0"/>
    <m/>
    <m/>
    <s v="DOLLAR"/>
    <s v="jacket"/>
    <n v="14806.109999999982"/>
    <n v="14806.109999999982"/>
    <s v="MAN"/>
    <s v="jackets"/>
    <s v="MAN"/>
    <s v="MAN"/>
    <n v="14806.109999999982"/>
  </r>
  <r>
    <x v="72"/>
    <x v="0"/>
    <x v="0"/>
    <x v="0"/>
    <x v="1"/>
    <x v="69"/>
    <x v="0"/>
    <s v="https://www.zara.com/us/en/wool-blend-suit-jacket-p04156504.html"/>
    <s v="322901350-800-46"/>
    <s v="WOOL BLEND SUIT JACKET"/>
    <s v="Straight fit jacket made of wool blend fabric. Notched lapel collar and long sleeves with buttoned cuffs. Welt pockets at chest and flap pockets at hip. Interior pocket. Central vent at back hem. Front button closure."/>
    <x v="13"/>
    <s v="USD"/>
    <d v="2024-02-19T08:51:04"/>
    <s v="jackets"/>
    <x v="0"/>
    <m/>
    <m/>
    <s v="DOLLAR"/>
    <s v="jacket"/>
    <n v="14806.109999999982"/>
    <n v="14806.109999999982"/>
    <s v="MAN"/>
    <s v="jackets"/>
    <s v="MAN"/>
    <s v="MAN"/>
    <n v="14806.109999999982"/>
  </r>
  <r>
    <x v="73"/>
    <x v="2"/>
    <x v="0"/>
    <x v="0"/>
    <x v="0"/>
    <x v="70"/>
    <x v="0"/>
    <s v="https://www.zara.com/us/en/embroidered-forest-jacket-p02795407.html"/>
    <s v="328332050-700-97"/>
    <s v="EMBROIDERED FOREST JACKET"/>
    <s v="Jacket with lightly padded interior. Corduroy lapel collar. Long sleeves. Patch pockets at hip. Front button closure."/>
    <x v="11"/>
    <s v="USD"/>
    <d v="2024-02-19T08:51:00"/>
    <s v="jackets"/>
    <x v="0"/>
    <m/>
    <m/>
    <s v="DOLLAR"/>
    <s v="jacket"/>
    <n v="14806.109999999982"/>
    <n v="14806.109999999982"/>
    <s v="MAN"/>
    <s v="jackets"/>
    <s v="MAN"/>
    <s v="MAN"/>
    <n v="14806.109999999982"/>
  </r>
  <r>
    <x v="74"/>
    <x v="0"/>
    <x v="0"/>
    <x v="0"/>
    <x v="0"/>
    <x v="71"/>
    <x v="0"/>
    <s v="https://www.zara.com/us/en/faux-leather-boxy-fit-jacket-p08281654.html"/>
    <s v="311297555-706-2"/>
    <s v="FAUX LEATHER BOXY FIT JACKET"/>
    <s v="Boxy fit jacket. Lapel collar and long sleeves with buttoned cuffs. Welt pockets at hip. Front button closure."/>
    <x v="17"/>
    <s v="USD"/>
    <d v="2024-02-19T08:50:14"/>
    <s v="jackets"/>
    <x v="0"/>
    <m/>
    <m/>
    <s v="DOLLAR"/>
    <s v="jacket"/>
    <n v="14806.109999999982"/>
    <n v="14806.109999999982"/>
    <s v="MAN"/>
    <s v="jackets"/>
    <s v="MAN"/>
    <s v="MAN"/>
    <n v="14806.109999999982"/>
  </r>
  <r>
    <x v="75"/>
    <x v="0"/>
    <x v="0"/>
    <x v="0"/>
    <x v="0"/>
    <x v="72"/>
    <x v="0"/>
    <s v="https://www.zara.com/us/en/patch-bomber-jacket-p03833404.html"/>
    <s v="317129011-500-2"/>
    <s v="PATCH BOMBER JACKET"/>
    <s v="Varsity jacket with padded interior. Rib elastic collar and long sleeves in contrast faux leather. Double welt pockets at hip and interior pocket. Contrasting patch appliqués at front and back. Rib trim. Front snap button closure."/>
    <x v="2"/>
    <s v="USD"/>
    <d v="2024-02-19T08:50:24"/>
    <s v="jackets"/>
    <x v="0"/>
    <m/>
    <m/>
    <s v="DOLLAR"/>
    <s v="jacket"/>
    <n v="14806.109999999982"/>
    <n v="14806.109999999982"/>
    <s v="MAN"/>
    <s v="jackets"/>
    <s v="MAN"/>
    <s v="MAN"/>
    <n v="14806.109999999982"/>
  </r>
  <r>
    <x v="76"/>
    <x v="1"/>
    <x v="1"/>
    <x v="0"/>
    <x v="1"/>
    <x v="73"/>
    <x v="0"/>
    <s v="https://www.zara.com/us/en/multicolor-sneakers-p12304320.html"/>
    <s v="311302877-203-39"/>
    <s v="MULTICOLOR SNEAKERS"/>
    <s v="Sneakers. Combination of colors and pieces at upper. Lacing with six pairs of eyelets. Chunky rubber sole with irregular design."/>
    <x v="6"/>
    <s v="USD"/>
    <d v="2024-02-19T09:00:31"/>
    <s v="shoes"/>
    <x v="0"/>
    <m/>
    <m/>
    <s v="DOLLAR"/>
    <s v="shoe"/>
    <n v="2011.0800000000013"/>
    <n v="2011.0800000000013"/>
    <s v="MAN"/>
    <s v="jeans"/>
    <s v="MAN"/>
    <s v="MAN"/>
    <n v="2011.0800000000013"/>
  </r>
  <r>
    <x v="77"/>
    <x v="0"/>
    <x v="0"/>
    <x v="0"/>
    <x v="0"/>
    <x v="74"/>
    <x v="0"/>
    <s v="https://www.zara.com/us/en/plaid-overshirt-p07446410.html"/>
    <s v="330590505-500-2"/>
    <s v="PLAID OVERSHIRT"/>
    <s v="Relaxed fit overshirt. Lapel collar and long sleeves with buttoned cuffs. Chest patch pocket. Front button closure."/>
    <x v="21"/>
    <s v="USD"/>
    <d v="2024-02-19T08:51:43"/>
    <s v="jackets"/>
    <x v="0"/>
    <m/>
    <m/>
    <s v="DOLLAR"/>
    <s v="jacket"/>
    <n v="14806.109999999982"/>
    <n v="14806.109999999982"/>
    <s v="MAN"/>
    <s v="jackets"/>
    <s v="MAN"/>
    <s v="MAN"/>
    <n v="14806.109999999982"/>
  </r>
  <r>
    <x v="78"/>
    <x v="1"/>
    <x v="1"/>
    <x v="0"/>
    <x v="1"/>
    <x v="75"/>
    <x v="0"/>
    <s v="https://www.zara.com/us/en/structured-text-t-shirt-p00761435.html"/>
    <s v="319334070-401-2"/>
    <s v="STRUCTURED TEXT T-SHIRT"/>
    <s v="Full cut T-shirt made of mesh textured fabric. Contrast rib V-neckline and short sleeves. Front contrast printed text."/>
    <x v="12"/>
    <s v="USD"/>
    <d v="2024-02-19T08:56:36"/>
    <s v="t-shirts"/>
    <x v="0"/>
    <m/>
    <m/>
    <s v="DOLLAR"/>
    <s v="t-shirts"/>
    <n v="2157.6900000000005"/>
    <n v="2157.6900000000005"/>
    <s v="MAN"/>
    <s v="shoes"/>
    <s v="MAN"/>
    <s v="MAN"/>
    <n v="2157.6900000000005"/>
  </r>
  <r>
    <x v="79"/>
    <x v="1"/>
    <x v="1"/>
    <x v="0"/>
    <x v="1"/>
    <x v="76"/>
    <x v="0"/>
    <s v="https://www.zara.com/us/en/faux-leather-jacket-p03427320.html"/>
    <s v="317012940-800-2"/>
    <s v="FAUX LEATHER JACKET"/>
    <s v="Jacket made of faux leather fabric. Lapel collar with snap button details. Long sleeves with zip cuffs. Front zip pockets at chest and hip. Interior pocket. Asymmetric front closure with metal zipper."/>
    <x v="17"/>
    <s v="USD"/>
    <d v="2024-02-19T08:50:15"/>
    <s v="jackets"/>
    <x v="0"/>
    <m/>
    <m/>
    <s v="DOLLAR"/>
    <s v="jacket"/>
    <n v="14806.109999999982"/>
    <n v="14806.109999999982"/>
    <s v="MAN"/>
    <s v="jackets"/>
    <s v="MAN"/>
    <s v="MAN"/>
    <n v="14806.109999999982"/>
  </r>
  <r>
    <x v="80"/>
    <x v="0"/>
    <x v="0"/>
    <x v="0"/>
    <x v="1"/>
    <x v="77"/>
    <x v="0"/>
    <s v="https://www.zara.com/us/en/colorblock-knit-crop-sweater-p05536008.html"/>
    <s v="330590505-500-2"/>
    <s v="CONTRASTING PATCHES BOMBER JACKET"/>
    <s v="Oversized jacket. Notched lapel collar and long sleeves. Flap pockets at hip and interior pocket. Front button closure."/>
    <x v="18"/>
    <s v="USD"/>
    <d v="2024-02-19T09:10:44"/>
    <s v="jackets"/>
    <x v="0"/>
    <m/>
    <m/>
    <s v="DOLLAR"/>
    <s v="jacket"/>
    <n v="14806.109999999982"/>
    <n v="14806.109999999982"/>
    <s v="MAN"/>
    <s v="jackets"/>
    <s v="MAN"/>
    <s v="MAN"/>
    <n v="14806.109999999982"/>
  </r>
  <r>
    <x v="81"/>
    <x v="1"/>
    <x v="0"/>
    <x v="0"/>
    <x v="0"/>
    <x v="78"/>
    <x v="0"/>
    <s v="https://www.zara.com/us/en/slim-fit-suit-jacket-p01564520.html"/>
    <s v="335342680-800-44"/>
    <s v="SLIM FIT SUIT JACKET"/>
    <s v="Slim fit jacket. Notched lapel collar. Long sleeves with buttoned cuffs. Welt pocket at chest and flap pockets at hip. Interior pocket. Back vents. Front button closure."/>
    <x v="2"/>
    <s v="USD"/>
    <d v="2024-02-19T08:50:07"/>
    <s v="jackets"/>
    <x v="0"/>
    <n v="529"/>
    <s v="min"/>
    <s v="DOLLAR"/>
    <s v="jacket"/>
    <n v="14806.109999999982"/>
    <n v="14806.109999999982"/>
    <s v="MAN"/>
    <s v="jackets"/>
    <s v="MAN"/>
    <s v="MAN"/>
    <n v="14806.109999999982"/>
  </r>
  <r>
    <x v="82"/>
    <x v="1"/>
    <x v="0"/>
    <x v="0"/>
    <x v="0"/>
    <x v="78"/>
    <x v="0"/>
    <s v="https://www.zara.com/us/en/contrasting-patches-bomber-jacket-p03833401.html"/>
    <s v="311297509-800-2"/>
    <s v="CONTRASTING PATCHES BOMBER JACKET"/>
    <s v="Varsity jacket with elastic collar and long sleeves. Welt pockets at hip and interior pocket. Embroidered appliqué and contrast front and back patches. Rib trim. Front snap button closure."/>
    <x v="11"/>
    <s v="USD"/>
    <d v="2024-02-19T08:50:57"/>
    <s v="jackets"/>
    <x v="0"/>
    <m/>
    <m/>
    <s v="DOLLAR"/>
    <s v="jacket"/>
    <n v="14806.109999999982"/>
    <n v="14806.109999999982"/>
    <s v="MAN"/>
    <s v="jackets"/>
    <s v="MAN"/>
    <s v="MAN"/>
    <n v="14806.109999999982"/>
  </r>
  <r>
    <x v="83"/>
    <x v="0"/>
    <x v="1"/>
    <x v="0"/>
    <x v="0"/>
    <x v="79"/>
    <x v="0"/>
    <s v="https://www.zara.com/us/en/suede-fisherman-sandals-p12436320.html"/>
    <s v="320680326-107-39"/>
    <s v="SUEDE FISHERMAN SANDALS"/>
    <s v="Fisherman sandals. Made of leather with a suede finish. Crossed straps at front. Buckled ankle strap closure. Slightly chunky soles."/>
    <x v="11"/>
    <s v="USD"/>
    <d v="2024-02-19T09:00:28"/>
    <s v="shoes"/>
    <x v="0"/>
    <m/>
    <m/>
    <s v="DOLLAR"/>
    <s v="shoe"/>
    <n v="2011.0800000000013"/>
    <n v="2011.0800000000013"/>
    <s v="MAN"/>
    <s v="jackets"/>
    <s v="MAN"/>
    <s v="MAN"/>
    <n v="2011.0800000000013"/>
  </r>
  <r>
    <x v="84"/>
    <x v="1"/>
    <x v="1"/>
    <x v="0"/>
    <x v="1"/>
    <x v="80"/>
    <x v="0"/>
    <s v="https://www.zara.com/us/en/faux-leather-jacket-p08281345.html"/>
    <s v="311297763-800-2"/>
    <s v="FAUX LEATHER JACKET"/>
    <s v="Jacket made of faux leather fabric. Lapel collar and long sleeves with snap buttoned cuffs. Welt pockets at hip. Front snap button closure."/>
    <x v="6"/>
    <s v="USD"/>
    <d v="2024-02-19T08:50:34"/>
    <s v="jackets"/>
    <x v="0"/>
    <m/>
    <m/>
    <s v="DOLLAR"/>
    <s v="jacket"/>
    <n v="14806.109999999982"/>
    <n v="14806.109999999982"/>
    <s v="MAN"/>
    <s v="jeans"/>
    <s v="MAN"/>
    <s v="MAN"/>
    <n v="14806.109999999982"/>
  </r>
  <r>
    <x v="85"/>
    <x v="2"/>
    <x v="1"/>
    <x v="0"/>
    <x v="1"/>
    <x v="81"/>
    <x v="0"/>
    <s v="https://www.zara.com/us/en/chunky-sole-canvas-lace-up-boots-p12005320.html"/>
    <s v="311287149-800-39"/>
    <s v="CHUNKY SOLE CANVAS LACE-UP BOOTS"/>
    <s v="High shaft boots. Lacing with eight pairs of eyelets. Back pull tab for ease. Rounded shape. Chunky lug soles."/>
    <x v="11"/>
    <s v="USD"/>
    <d v="2024-02-19T09:00:46"/>
    <s v="shoes"/>
    <x v="0"/>
    <m/>
    <m/>
    <s v="DOLLAR"/>
    <s v="shoe"/>
    <n v="2011.0800000000013"/>
    <n v="2011.0800000000013"/>
    <s v="MAN"/>
    <s v="jackets"/>
    <s v="MAN"/>
    <s v="MAN"/>
    <n v="2011.0800000000013"/>
  </r>
  <r>
    <x v="86"/>
    <x v="0"/>
    <x v="0"/>
    <x v="0"/>
    <x v="0"/>
    <x v="82"/>
    <x v="0"/>
    <s v="https://www.zara.com/us/en/v-neck-knit-sweater-p03519001.html"/>
    <s v="314937772-710-2"/>
    <s v="STRETCH POCKET OVERSHIRT"/>
    <s v="Varsity jacket made of faux suede fabric. Double welt pockets at hip and interior pocket. Front and back contrasting patch appliqués and embroidery. Rib trim. Front snap button closure."/>
    <x v="1"/>
    <s v="USD"/>
    <d v="2024-02-19T09:10:43"/>
    <s v="jackets"/>
    <x v="0"/>
    <m/>
    <m/>
    <s v="DOLLAR"/>
    <s v="jacket"/>
    <n v="14806.109999999982"/>
    <n v="14806.109999999982"/>
    <s v="MAN"/>
    <s v="t-shirts"/>
    <s v="MAN"/>
    <s v="MAN"/>
    <n v="14806.109999999982"/>
  </r>
  <r>
    <x v="87"/>
    <x v="2"/>
    <x v="0"/>
    <x v="0"/>
    <x v="0"/>
    <x v="83"/>
    <x v="0"/>
    <s v="https://www.zara.com/us/en/wool-blend-felt-texture-jacket-p04160752.html"/>
    <s v="320771732-800-2"/>
    <s v="WOOL BLEND FELT TEXTURE JACKET"/>
    <s v="Cropped jacket made with wool blend fabric. Lapel collar and long sleeves. Welt pockets at hip. Front hidden button closure."/>
    <x v="18"/>
    <s v="USD"/>
    <d v="2024-02-19T08:51:18"/>
    <s v="jackets"/>
    <x v="0"/>
    <m/>
    <m/>
    <s v="DOLLAR"/>
    <s v="jacket"/>
    <n v="14806.109999999982"/>
    <n v="14806.109999999982"/>
    <s v="MAN"/>
    <s v="jackets"/>
    <s v="MAN"/>
    <s v="MAN"/>
    <n v="14806.109999999982"/>
  </r>
  <r>
    <x v="88"/>
    <x v="1"/>
    <x v="0"/>
    <x v="0"/>
    <x v="0"/>
    <x v="84"/>
    <x v="0"/>
    <s v="https://www.zara.com/us/en/vintage-effect-leather-bomber-jacket-p02521300.html"/>
    <s v="320774184-800-97"/>
    <s v="VINTAGE EFFECT LEATHER BOMBER JACKET"/>
    <s v=""/>
    <x v="22"/>
    <s v="USD"/>
    <d v="2024-02-19T08:50:44"/>
    <s v="jackets"/>
    <x v="0"/>
    <m/>
    <m/>
    <s v="DOLLAR"/>
    <s v="jacket"/>
    <n v="14806.109999999982"/>
    <n v="14806.109999999982"/>
    <s v="MAN"/>
    <s v="jackets"/>
    <s v="MAN"/>
    <s v="MAN"/>
    <n v="14806.109999999982"/>
  </r>
  <r>
    <x v="89"/>
    <x v="2"/>
    <x v="1"/>
    <x v="0"/>
    <x v="1"/>
    <x v="84"/>
    <x v="0"/>
    <s v="https://www.zara.com/us/en/fine-knit-sweater-p09598045.html"/>
    <s v="324722597-400-2"/>
    <s v="FINE KNIT SWEATER"/>
    <s v="V-neck sweater with long sleeves."/>
    <x v="12"/>
    <s v="USD"/>
    <d v="2024-02-19T09:10:51"/>
    <s v="sweaters"/>
    <x v="1"/>
    <m/>
    <m/>
    <s v="DOLLAR"/>
    <s v="sweaters"/>
    <n v="2249.3700000000013"/>
    <n v="2249.3700000000013"/>
    <s v="MAN"/>
    <s v="shoes"/>
    <s v="MAN"/>
    <s v="MAN"/>
    <n v="2249.3700000000013"/>
  </r>
  <r>
    <x v="90"/>
    <x v="0"/>
    <x v="0"/>
    <x v="0"/>
    <x v="1"/>
    <x v="85"/>
    <x v="0"/>
    <s v="https://www.zara.com/us/en/lightweight-bomber-jacket-p04302404.html"/>
    <s v="311292572-401-2"/>
    <s v="LIGHTWEIGHT BOMBER JACKET"/>
    <s v="Lightweight jacket made of technical fabric. Round neck and long sleeves. Welt pockets at hip. Interior pocket. Rib trim. Front zip closure."/>
    <x v="21"/>
    <s v="USD"/>
    <d v="2024-02-19T08:50:55"/>
    <s v="jackets"/>
    <x v="0"/>
    <m/>
    <m/>
    <s v="DOLLAR"/>
    <s v="jacket"/>
    <n v="14806.109999999982"/>
    <n v="14806.109999999982"/>
    <s v="MAN"/>
    <s v="jackets"/>
    <s v="MAN"/>
    <s v="MAN"/>
    <n v="14806.109999999982"/>
  </r>
  <r>
    <x v="91"/>
    <x v="2"/>
    <x v="0"/>
    <x v="0"/>
    <x v="1"/>
    <x v="86"/>
    <x v="0"/>
    <s v="https://www.zara.com/us/en/basic-foil-knit-sweater-p00506101.html"/>
    <s v="336446858-822-2"/>
    <s v="LIGHTWEIGHT BOMBER JACKET"/>
    <s v="Jacket made of faux shearling fabric. V-neckline and long sleeves with elastic cuffs. Lined interior with structured mesh fabric. Welt pockets at hip. Adjustable hem with side elastics. Front snap button closure."/>
    <x v="11"/>
    <s v="USD"/>
    <d v="2024-02-19T09:10:40"/>
    <s v="t-shirts"/>
    <x v="0"/>
    <m/>
    <m/>
    <s v="DOLLAR"/>
    <s v="t-shirts"/>
    <n v="2157.6900000000005"/>
    <n v="2157.6900000000005"/>
    <s v="MAN"/>
    <s v="jackets"/>
    <s v="MAN"/>
    <s v="MAN"/>
    <n v="2157.6900000000005"/>
  </r>
  <r>
    <x v="92"/>
    <x v="0"/>
    <x v="0"/>
    <x v="0"/>
    <x v="1"/>
    <x v="87"/>
    <x v="0"/>
    <s v="https://www.zara.com/us/en/suede-penny-loafers-p12644320.html"/>
    <s v="311307624-500-39"/>
    <s v="SUEDE PENNY LOAFERS"/>
    <s v="Loafers. Made of leather with a suede finish. Ornamental saddle detail at instep. Rounded shape. Contrasting colored sole."/>
    <x v="11"/>
    <s v="USD"/>
    <d v="2024-02-19T09:00:47"/>
    <s v="shoes"/>
    <x v="0"/>
    <m/>
    <m/>
    <s v="DOLLAR"/>
    <s v="shoe"/>
    <n v="2011.0800000000013"/>
    <n v="2011.0800000000013"/>
    <s v="MAN"/>
    <s v="jackets"/>
    <s v="MAN"/>
    <s v="MAN"/>
    <n v="2011.0800000000013"/>
  </r>
  <r>
    <x v="93"/>
    <x v="2"/>
    <x v="1"/>
    <x v="0"/>
    <x v="1"/>
    <x v="88"/>
    <x v="0"/>
    <s v="https://www.zara.com/us/en/knit-sweater-with-piping-p05536151.html"/>
    <s v="311297787-806-1"/>
    <s v="KNIT SWEATER WITH PIPING"/>
    <s v="Round neck long sleeve sweater. Contrasting piping detail. Rib trim."/>
    <x v="21"/>
    <s v="USD"/>
    <d v="2024-02-19T09:10:43"/>
    <s v="sweaters"/>
    <x v="1"/>
    <m/>
    <m/>
    <s v="DOLLAR"/>
    <s v="sweaters"/>
    <n v="2249.3700000000013"/>
    <n v="2249.3700000000013"/>
    <s v="MAN"/>
    <s v="jackets"/>
    <s v="MAN"/>
    <s v="MAN"/>
    <n v="2249.3700000000013"/>
  </r>
  <r>
    <x v="94"/>
    <x v="2"/>
    <x v="0"/>
    <x v="0"/>
    <x v="1"/>
    <x v="89"/>
    <x v="0"/>
    <s v="https://www.zara.com/us/en/printed-denim-overshirt-p02553808.html"/>
    <s v="289179723-020-2"/>
    <s v="PRINTED DENIM OVERSHIRT"/>
    <s v="Boxy fit overshirt. Lapel collar and short sleeves. Front snap button closure."/>
    <x v="8"/>
    <s v="USD"/>
    <d v="2024-02-19T08:51:31"/>
    <s v="jackets"/>
    <x v="0"/>
    <m/>
    <m/>
    <s v="DOLLAR"/>
    <s v="jacket"/>
    <n v="14806.109999999982"/>
    <n v="14806.109999999982"/>
    <s v="MAN"/>
    <s v="sweaters"/>
    <s v="MAN"/>
    <s v="MAN"/>
    <n v="14806.109999999982"/>
  </r>
  <r>
    <x v="95"/>
    <x v="1"/>
    <x v="0"/>
    <x v="0"/>
    <x v="1"/>
    <x v="90"/>
    <x v="0"/>
    <s v="https://www.zara.com/us/en/plaid-overshirt-p01300100.html"/>
    <s v="322612356-505-2"/>
    <s v="PLAID OVERSHIRT"/>
    <s v="Relaxed fit overshirt made with cotton fabric. Lapel collar and long sleeves with buttoned cuffs. Patch pockets at hip. Washed effect. Front button closure."/>
    <x v="6"/>
    <s v="USD"/>
    <d v="2024-02-19T08:51:33"/>
    <s v="jackets"/>
    <x v="0"/>
    <m/>
    <m/>
    <s v="DOLLAR"/>
    <s v="jacket"/>
    <n v="14806.109999999982"/>
    <n v="14806.109999999982"/>
    <s v="MAN"/>
    <s v="jeans"/>
    <s v="MAN"/>
    <s v="MAN"/>
    <n v="14806.109999999982"/>
  </r>
  <r>
    <x v="96"/>
    <x v="0"/>
    <x v="0"/>
    <x v="0"/>
    <x v="1"/>
    <x v="91"/>
    <x v="0"/>
    <s v="https://www.zara.com/us/en/leather-biker-jacket-p05833412.html"/>
    <s v="311297791-800-2"/>
    <s v="LEATHER BIKER JACKET"/>
    <s v="Jacket with lapel collar and snap button details. Long sleeves with zip cuffs. Front zip pockets and interior pocket. Asymmetric front closure with metal zipper."/>
    <x v="13"/>
    <s v="USD"/>
    <d v="2024-02-19T08:50:13"/>
    <s v="jackets"/>
    <x v="0"/>
    <m/>
    <m/>
    <s v="DOLLAR"/>
    <s v="jacket"/>
    <n v="14806.109999999982"/>
    <n v="14806.109999999982"/>
    <s v="MAN"/>
    <s v="jackets"/>
    <s v="MAN"/>
    <s v="MAN"/>
    <n v="14806.109999999982"/>
  </r>
  <r>
    <x v="97"/>
    <x v="1"/>
    <x v="1"/>
    <x v="0"/>
    <x v="1"/>
    <x v="92"/>
    <x v="0"/>
    <s v="https://www.zara.com/us/en/zipper-multipiece-sneakers-p12319220.html"/>
    <s v="311292244-800-39"/>
    <s v="ZIPPER MULTIPIECE SNEAKERS"/>
    <s v="Running shoes. Upper in a combination of pieces and finishes. Front zip closure. Back pull tab for ease. Chunky soles with irregular design."/>
    <x v="6"/>
    <s v="USD"/>
    <d v="2024-02-19T09:00:29"/>
    <s v="shoes"/>
    <x v="0"/>
    <m/>
    <m/>
    <s v="DOLLAR"/>
    <s v="shoe"/>
    <n v="2011.0800000000013"/>
    <n v="2011.0800000000013"/>
    <s v="MAN"/>
    <s v="jeans"/>
    <s v="MAN"/>
    <s v="MAN"/>
    <n v="2011.0800000000013"/>
  </r>
  <r>
    <x v="98"/>
    <x v="1"/>
    <x v="0"/>
    <x v="0"/>
    <x v="0"/>
    <x v="93"/>
    <x v="0"/>
    <s v="https://www.zara.com/us/en/faux-fur-jewel-sweater-p07901339.html"/>
    <s v="324814227-400-2"/>
    <s v="FAUX FUR JEWEL SWEATER"/>
    <s v="Round neck short sleeve sweater. Soft feel faux fur fabric. Jewel appliqués."/>
    <x v="19"/>
    <s v="USD"/>
    <d v="2024-02-19T09:10:41"/>
    <s v="sweaters"/>
    <x v="1"/>
    <m/>
    <m/>
    <s v="DOLLAR"/>
    <s v="sweaters"/>
    <n v="2249.3700000000013"/>
    <n v="2249.3700000000013"/>
    <s v="WOMAN"/>
    <s v="sweaters"/>
    <s v="WOMAN"/>
    <s v="WOMAN"/>
    <n v="2249.3700000000013"/>
  </r>
  <r>
    <x v="99"/>
    <x v="1"/>
    <x v="0"/>
    <x v="0"/>
    <x v="1"/>
    <x v="94"/>
    <x v="0"/>
    <s v="https://www.zara.com/us/en/abstract-print-knit-t-shirt-p04805401.html"/>
    <s v="320071210-802-2"/>
    <s v="ABSTRACT PRINT KNIT T-SHIRT"/>
    <s v="Cotton knit T-shirt. Round neck and short sleeves."/>
    <x v="10"/>
    <s v="USD"/>
    <d v="2024-02-19T08:56:35"/>
    <s v="t-shirts"/>
    <x v="0"/>
    <m/>
    <m/>
    <s v="DOLLAR"/>
    <s v="t-shirts"/>
    <n v="2157.6900000000005"/>
    <n v="2157.6900000000005"/>
    <s v="MAN"/>
    <s v="jackets"/>
    <s v="MAN"/>
    <s v="MAN"/>
    <n v="2157.6900000000005"/>
  </r>
  <r>
    <x v="100"/>
    <x v="0"/>
    <x v="1"/>
    <x v="0"/>
    <x v="1"/>
    <x v="95"/>
    <x v="0"/>
    <s v="https://www.zara.com/us/en/faux-suede-bomber-jacket-p06318600.html"/>
    <s v="311292672-800-2"/>
    <s v="FAUX SUEDE BOMBER JACKET"/>
    <s v="Jacket made of faux suede fabric. Ribbed elastic high collar and long sleeve. Welt pockets at hip. Rib trim. Front zip closure."/>
    <x v="6"/>
    <s v="USD"/>
    <d v="2024-02-19T08:50:15"/>
    <s v="jackets"/>
    <x v="0"/>
    <m/>
    <m/>
    <s v="DOLLAR"/>
    <s v="jacket"/>
    <n v="14806.109999999982"/>
    <n v="14806.109999999982"/>
    <s v="MAN"/>
    <s v="jeans"/>
    <s v="MAN"/>
    <s v="MAN"/>
    <n v="14806.109999999982"/>
  </r>
  <r>
    <x v="101"/>
    <x v="2"/>
    <x v="1"/>
    <x v="0"/>
    <x v="1"/>
    <x v="96"/>
    <x v="0"/>
    <s v="https://www.zara.com/us/en/baggy-fit-jeans-limited-edition-p03991480.html"/>
    <s v="324908098-800-38"/>
    <s v="BAGGY FIT JEANS LIMITED EDITION"/>
    <s v="Baggy jeans. Five pockets. Washed effect. Front zip and button closure."/>
    <x v="6"/>
    <s v="USD"/>
    <d v="2024-02-19T08:54:38"/>
    <s v="jeans"/>
    <x v="0"/>
    <m/>
    <m/>
    <s v="DOLLAR"/>
    <s v="jeans"/>
    <n v="511.39"/>
    <n v="511.39"/>
    <s v="MAN"/>
    <s v="jeans"/>
    <s v="MAN"/>
    <s v="MAN"/>
    <n v="511.39"/>
  </r>
  <r>
    <x v="102"/>
    <x v="1"/>
    <x v="0"/>
    <x v="0"/>
    <x v="0"/>
    <x v="97"/>
    <x v="0"/>
    <s v="https://www.zara.com/us/en/faux-shearling-lined-suede-boots-p12050320.html"/>
    <s v="311287147-723-39"/>
    <s v="FAUX SHEARLING LINED SUEDE BOOTS"/>
    <s v="Ankle boots. Made of leather with a suede finish. Faux shearling interior and side detail. Rounded shape. Welt around upper. Back pull tab. Chunky lug soles."/>
    <x v="17"/>
    <s v="USD"/>
    <d v="2024-02-19T09:00:43"/>
    <s v="shoes"/>
    <x v="0"/>
    <m/>
    <m/>
    <s v="DOLLAR"/>
    <s v="shoe"/>
    <n v="2011.0800000000013"/>
    <n v="2011.0800000000013"/>
    <s v="MAN"/>
    <s v="jackets"/>
    <s v="MAN"/>
    <s v="MAN"/>
    <n v="2011.0800000000013"/>
  </r>
  <r>
    <x v="103"/>
    <x v="1"/>
    <x v="0"/>
    <x v="0"/>
    <x v="1"/>
    <x v="98"/>
    <x v="0"/>
    <s v="https://www.zara.com/us/en/cropped-bomber-jacket-limited-edition-p08281600.html"/>
    <s v="330274270-800-2"/>
    <s v="CROPPED BOMBER JACKET LIMITED EDITION"/>
    <s v="Jacket with lightly padded interior. Rib collar and long sleeves. Flap pockets at waist. Rib trim. Front asymmetric zip closure."/>
    <x v="2"/>
    <s v="USD"/>
    <d v="2024-02-19T08:50:24"/>
    <s v="jackets"/>
    <x v="0"/>
    <m/>
    <m/>
    <s v="DOLLAR"/>
    <s v="jacket"/>
    <n v="14806.109999999982"/>
    <n v="14806.109999999982"/>
    <s v="MAN"/>
    <s v="jackets"/>
    <s v="MAN"/>
    <s v="MAN"/>
    <n v="14806.109999999982"/>
  </r>
  <r>
    <x v="104"/>
    <x v="0"/>
    <x v="0"/>
    <x v="0"/>
    <x v="1"/>
    <x v="99"/>
    <x v="0"/>
    <s v="https://www.zara.com/us/en/pocket-puffer-jacket-p08281439.html"/>
    <s v="312664937-514-2"/>
    <s v="POCKET PUFFER JACKET"/>
    <s v="Quilted jacket made of technical fabric. High collar and long sleeves. Flap pocket at chest and hidden in-seam pockets at side hip. Interior pocket. Interior elastic hem. Cropped length. Front zip closure."/>
    <x v="2"/>
    <s v="USD"/>
    <d v="2024-02-19T08:50:33"/>
    <s v="jackets"/>
    <x v="0"/>
    <m/>
    <m/>
    <s v="DOLLAR"/>
    <s v="jacket"/>
    <n v="14806.109999999982"/>
    <n v="14806.109999999982"/>
    <s v="MAN"/>
    <s v="jackets"/>
    <s v="MAN"/>
    <s v="MAN"/>
    <n v="14806.109999999982"/>
  </r>
  <r>
    <x v="105"/>
    <x v="2"/>
    <x v="1"/>
    <x v="0"/>
    <x v="0"/>
    <x v="100"/>
    <x v="0"/>
    <s v="https://www.zara.com/us/en/padded-corduroy-overshirt-p01063400.html"/>
    <s v="313008692-514-2"/>
    <s v="PADDED CORDUROY OVERSHIRT"/>
    <s v="Overshirt with quilted interior. Lapel collar and long sleeves with buttoned cuffs. Flap patch pockets at chest and in-seam pockets at side hip. Front snap button closure."/>
    <x v="3"/>
    <s v="USD"/>
    <d v="2024-02-19T08:51:41"/>
    <s v="jackets"/>
    <x v="0"/>
    <m/>
    <m/>
    <s v="DOLLAR"/>
    <s v="jacket"/>
    <n v="14806.109999999982"/>
    <n v="14806.109999999982"/>
    <s v="MAN"/>
    <s v="jackets"/>
    <s v="MAN"/>
    <s v="MAN"/>
    <n v="14806.109999999982"/>
  </r>
  <r>
    <x v="106"/>
    <x v="1"/>
    <x v="0"/>
    <x v="0"/>
    <x v="0"/>
    <x v="101"/>
    <x v="0"/>
    <s v="https://www.zara.com/us/en/embroidered-patch-jacket-p05320345.html"/>
    <s v="320531693-707-2"/>
    <s v="EMBROIDERED PATCH JACKET"/>
    <s v="Roomy jacket made of lightweight fabric. Lapel collar and long sleeves with elastic cuffs. Contrasting patch appliqués with embroidery at front and back. Front pouch pocket. Elastic hem. Front zip closure."/>
    <x v="3"/>
    <s v="USD"/>
    <d v="2024-02-19T08:50:43"/>
    <s v="jackets"/>
    <x v="0"/>
    <m/>
    <m/>
    <s v="DOLLAR"/>
    <s v="jacket"/>
    <n v="14806.109999999982"/>
    <n v="14806.109999999982"/>
    <s v="MAN"/>
    <s v="jackets"/>
    <s v="MAN"/>
    <s v="MAN"/>
    <n v="14806.109999999982"/>
  </r>
  <r>
    <x v="107"/>
    <x v="2"/>
    <x v="1"/>
    <x v="0"/>
    <x v="0"/>
    <x v="102"/>
    <x v="0"/>
    <s v="https://www.zara.com/us/en/textured-jacket-p04302457.html"/>
    <s v="321143726-712-2"/>
    <s v="TEXTURED JACKET"/>
    <s v="Jacket made of textured fabric. Lapel collar and long sleeves with buttoned cuffs. Patch pockets at chest and hidden pockets at hip. Side vents at hem. Front button closure."/>
    <x v="3"/>
    <s v="USD"/>
    <d v="2024-02-19T08:50:31"/>
    <s v="jackets"/>
    <x v="0"/>
    <m/>
    <m/>
    <s v="DOLLAR"/>
    <s v="jacket"/>
    <n v="14806.109999999982"/>
    <n v="14806.109999999982"/>
    <s v="MAN"/>
    <s v="jackets"/>
    <s v="MAN"/>
    <s v="MAN"/>
    <n v="14806.109999999982"/>
  </r>
  <r>
    <x v="108"/>
    <x v="1"/>
    <x v="0"/>
    <x v="0"/>
    <x v="1"/>
    <x v="103"/>
    <x v="0"/>
    <s v="https://www.zara.com/us/en/color-block-puffer-jacket-p08281365.html"/>
    <s v="311287226-472-2"/>
    <s v="COLOR BLOCK PUFFER JACKET"/>
    <s v="Jacket made of technical fabric with padded interior. High collar and long sleeves with elastic cuffs. Front pockets with hidden zip closure. Elastic hem. Front zip closure."/>
    <x v="11"/>
    <s v="USD"/>
    <d v="2024-02-19T08:51:03"/>
    <s v="jackets"/>
    <x v="0"/>
    <m/>
    <m/>
    <s v="DOLLAR"/>
    <s v="jacket"/>
    <n v="14806.109999999982"/>
    <n v="14806.109999999982"/>
    <s v="MAN"/>
    <s v="jackets"/>
    <s v="MAN"/>
    <s v="MAN"/>
    <n v="14806.109999999982"/>
  </r>
  <r>
    <x v="109"/>
    <x v="2"/>
    <x v="1"/>
    <x v="0"/>
    <x v="0"/>
    <x v="104"/>
    <x v="0"/>
    <s v="https://www.zara.com/us/en/padded-bomber-jacket-p03918620.html"/>
    <s v="315947178-800-2"/>
    <s v="PADDED BOMBER JACKET"/>
    <s v="Quilted jacket made of technical fabric. Lapel collar and long sleeves. Welt pockets at hip. Rib trim. Front zip closure."/>
    <x v="11"/>
    <s v="USD"/>
    <d v="2024-02-19T08:50:58"/>
    <s v="jackets"/>
    <x v="0"/>
    <m/>
    <m/>
    <s v="DOLLAR"/>
    <s v="jacket"/>
    <n v="14806.109999999982"/>
    <n v="14806.109999999982"/>
    <s v="MAN"/>
    <s v="jackets"/>
    <s v="MAN"/>
    <s v="MAN"/>
    <n v="14806.109999999982"/>
  </r>
  <r>
    <x v="110"/>
    <x v="0"/>
    <x v="1"/>
    <x v="0"/>
    <x v="0"/>
    <x v="105"/>
    <x v="0"/>
    <s v="https://www.zara.com/us/en/viscose-blend-knit-t-shirt-p00693401.html"/>
    <s v="311297550-251-2"/>
    <s v="VISCOSE BLEND KNIT T-SHIRT"/>
    <s v="Knit shirt in viscose blend fabric. Mock neck and short sleeves. Rib trim."/>
    <x v="12"/>
    <s v="USD"/>
    <d v="2024-02-19T08:56:34"/>
    <s v="t-shirts"/>
    <x v="0"/>
    <m/>
    <m/>
    <s v="DOLLAR"/>
    <s v="t-shirts"/>
    <n v="2157.6900000000005"/>
    <n v="2157.6900000000005"/>
    <s v="MAN"/>
    <s v="shoes"/>
    <s v="MAN"/>
    <s v="MAN"/>
    <n v="2157.6900000000005"/>
  </r>
  <r>
    <x v="111"/>
    <x v="1"/>
    <x v="0"/>
    <x v="0"/>
    <x v="1"/>
    <x v="106"/>
    <x v="0"/>
    <s v="https://www.zara.com/us/en/pocket-denim-jacket-p00840482.html"/>
    <s v="330290360-427-3"/>
    <s v="POCKET DENIM JACKET"/>
    <s v="Slightly cropped denim jacket. Lapel collar and long sleeves with buttoned cuffs. Flap patch pocket at chest and side hip. Washed effect. Front button closure."/>
    <x v="11"/>
    <s v="USD"/>
    <d v="2024-02-19T08:50:59"/>
    <s v="jackets"/>
    <x v="0"/>
    <m/>
    <m/>
    <s v="DOLLAR"/>
    <s v="jacket"/>
    <n v="14806.109999999982"/>
    <n v="14806.109999999982"/>
    <s v="MAN"/>
    <s v="jackets"/>
    <s v="MAN"/>
    <s v="MAN"/>
    <n v="14806.109999999982"/>
  </r>
  <r>
    <x v="112"/>
    <x v="0"/>
    <x v="1"/>
    <x v="0"/>
    <x v="0"/>
    <x v="107"/>
    <x v="0"/>
    <s v="https://www.zara.com/us/en/plaid-overshirt-p08281303.html"/>
    <s v="320026789-714-2"/>
    <s v="PLAID OVERSHIRT"/>
    <s v="Relaxed fit overshirt made of viscose blend fabric. Lapel collar and long sleeves with buttoned cuffs. Chest patch pocket. Front button closure."/>
    <x v="9"/>
    <s v="USD"/>
    <d v="2024-02-19T08:51:34"/>
    <s v="jackets"/>
    <x v="0"/>
    <m/>
    <m/>
    <s v="DOLLAR"/>
    <s v="jacket"/>
    <n v="14806.109999999982"/>
    <n v="14806.109999999982"/>
    <s v="WOMAN"/>
    <s v="sweaters"/>
    <s v="WOMAN"/>
    <s v="WOMAN"/>
    <n v="14806.109999999982"/>
  </r>
  <r>
    <x v="113"/>
    <x v="2"/>
    <x v="1"/>
    <x v="0"/>
    <x v="1"/>
    <x v="108"/>
    <x v="0"/>
    <s v="https://www.zara.com/us/en/cropped-overshirt-p04432403.html"/>
    <s v="319166635-401-2"/>
    <s v="CROPPED OVERSHIRT"/>
    <s v="Cropped overshirt made of contrast double faced fabric. Lapel collar and long sleeves with buttoned cuffs. Chest patch pocket. Adjustable hem with side elastics. Front button closure partially hidden by a flap."/>
    <x v="6"/>
    <s v="USD"/>
    <d v="2024-02-19T08:50:52"/>
    <s v="jackets"/>
    <x v="0"/>
    <m/>
    <m/>
    <s v="DOLLAR"/>
    <s v="jacket"/>
    <n v="14806.109999999982"/>
    <n v="14806.109999999982"/>
    <s v="MAN"/>
    <s v="jeans"/>
    <s v="MAN"/>
    <s v="MAN"/>
    <n v="14806.109999999982"/>
  </r>
  <r>
    <x v="114"/>
    <x v="1"/>
    <x v="1"/>
    <x v="0"/>
    <x v="1"/>
    <x v="109"/>
    <x v="0"/>
    <s v="https://www.zara.com/us/en/multipiece-sneakers-p12215320.html"/>
    <s v="311307489-203-39"/>
    <s v="MULTIPIECE SNEAKERS"/>
    <s v="Sneakers. Upper in a combination of pieces and colors. Lacing with seven pairs of eyelets. Chunky sole with a combination of colors. Retro-inspired design."/>
    <x v="21"/>
    <s v="USD"/>
    <d v="2024-02-19T09:00:33"/>
    <s v="shoes"/>
    <x v="0"/>
    <m/>
    <m/>
    <s v="DOLLAR"/>
    <s v="shoe"/>
    <n v="2011.0800000000013"/>
    <n v="2011.0800000000013"/>
    <s v="MAN"/>
    <s v="jackets"/>
    <s v="MAN"/>
    <s v="MAN"/>
    <n v="2011.0800000000013"/>
  </r>
  <r>
    <x v="115"/>
    <x v="0"/>
    <x v="0"/>
    <x v="0"/>
    <x v="1"/>
    <x v="110"/>
    <x v="0"/>
    <s v="https://www.zara.com/us/en/oversize-fit-t-shirt-p04092405.html"/>
    <s v="330478123-712-2"/>
    <s v="OVERSIZE FIT T-SHIRT"/>
    <s v="Oversized T-shirt. Round neck and short sleeves."/>
    <x v="10"/>
    <s v="USD"/>
    <d v="2024-02-19T08:56:30"/>
    <s v="t-shirts"/>
    <x v="0"/>
    <m/>
    <m/>
    <s v="DOLLAR"/>
    <s v="t-shirts"/>
    <n v="2157.6900000000005"/>
    <n v="2157.6900000000005"/>
    <s v="MAN"/>
    <s v="jackets"/>
    <s v="MAN"/>
    <s v="MAN"/>
    <n v="2157.6900000000005"/>
  </r>
  <r>
    <x v="116"/>
    <x v="2"/>
    <x v="1"/>
    <x v="0"/>
    <x v="0"/>
    <x v="111"/>
    <x v="0"/>
    <s v="https://www.zara.com/us/en/basic-medium-weight-t-shirt-p01887470.html"/>
    <s v="318255748-250-2"/>
    <s v="BASIC MEDIUM WEIGHT T-SHIRT"/>
    <s v="Regular fit T-shirt. Round neck and short sleeves."/>
    <x v="14"/>
    <s v="USD"/>
    <d v="2024-02-19T08:56:31"/>
    <s v="t-shirts"/>
    <x v="0"/>
    <m/>
    <m/>
    <s v="DOLLAR"/>
    <s v="t-shirts"/>
    <n v="2157.6900000000005"/>
    <n v="2157.6900000000005"/>
    <s v="WOMAN"/>
    <s v="sweaters"/>
    <s v="WOMAN"/>
    <s v="WOMAN"/>
    <n v="2157.6900000000005"/>
  </r>
  <r>
    <x v="117"/>
    <x v="1"/>
    <x v="0"/>
    <x v="0"/>
    <x v="1"/>
    <x v="112"/>
    <x v="0"/>
    <s v="https://www.zara.com/us/en/mock-neck-wool-and-silk-blend-knit-top-p09598125.html"/>
    <s v="324597432-800-2"/>
    <s v="MOCK NECK WOOL AND SILK BLEND KNIT TOP"/>
    <s v="Wool and silk blend top. High collar and long sleeves."/>
    <x v="21"/>
    <s v="USD"/>
    <d v="2024-02-19T09:10:37"/>
    <s v="sweaters"/>
    <x v="1"/>
    <m/>
    <m/>
    <s v="DOLLAR"/>
    <s v="sweaters"/>
    <n v="2249.3700000000013"/>
    <n v="2249.3700000000013"/>
    <s v="MAN"/>
    <s v="jackets"/>
    <s v="MAN"/>
    <s v="MAN"/>
    <n v="2249.3700000000013"/>
  </r>
  <r>
    <x v="118"/>
    <x v="2"/>
    <x v="1"/>
    <x v="0"/>
    <x v="0"/>
    <x v="113"/>
    <x v="0"/>
    <s v="https://www.zara.com/us/en/acid-wash-denim-jacket-p06688401.html"/>
    <s v="328279967-409-3"/>
    <s v="ACID WASH DENIM JACKET"/>
    <s v="Jacket made of cotton denim. Lapel collar and long sleeves with buttoned cuffs. Patch pockets at chest and side pockets at hip. Washed effect. Front zip closure."/>
    <x v="11"/>
    <s v="USD"/>
    <d v="2024-02-19T08:50:43"/>
    <s v="jackets"/>
    <x v="0"/>
    <m/>
    <m/>
    <s v="DOLLAR"/>
    <s v="jacket"/>
    <n v="14806.109999999982"/>
    <n v="14806.109999999982"/>
    <s v="MAN"/>
    <s v="jackets"/>
    <s v="MAN"/>
    <s v="MAN"/>
    <n v="14806.109999999982"/>
  </r>
  <r>
    <x v="119"/>
    <x v="0"/>
    <x v="0"/>
    <x v="0"/>
    <x v="0"/>
    <x v="114"/>
    <x v="0"/>
    <s v="https://www.zara.com/us/en/100-wool-suit-jacket-p05955218.html"/>
    <s v="313854165-401-46"/>
    <s v="100% WOOL SUIT JACKET"/>
    <s v="Jacket made of Italian wool. Pointed lapel collar and long sleeves with buttoned cuffs. Welt pocket at chest and flap pockets at hip. Interior pocket. Back vents. Front button closure."/>
    <x v="13"/>
    <s v="USD"/>
    <d v="2024-02-19T08:50:11"/>
    <s v="jackets"/>
    <x v="0"/>
    <m/>
    <m/>
    <s v="DOLLAR"/>
    <s v="jacket"/>
    <n v="14806.109999999982"/>
    <n v="14806.109999999982"/>
    <s v="MAN"/>
    <s v="jackets"/>
    <s v="MAN"/>
    <s v="MAN"/>
    <n v="14806.109999999982"/>
  </r>
  <r>
    <x v="120"/>
    <x v="0"/>
    <x v="1"/>
    <x v="0"/>
    <x v="0"/>
    <x v="115"/>
    <x v="0"/>
    <s v="https://www.zara.com/us/en/raised-text-t-shirt-limited-edition-p00977490.html"/>
    <s v="323216369-922-2"/>
    <s v="RAISED TEXT T-SHIRT LIMITED EDITION"/>
    <s v="Full cut T-shirt with round neck and short sleeves. Front tonal raised text. Washed effect."/>
    <x v="10"/>
    <s v="USD"/>
    <d v="2024-02-19T08:56:33"/>
    <s v="t-shirts"/>
    <x v="0"/>
    <m/>
    <m/>
    <s v="DOLLAR"/>
    <s v="t-shirts"/>
    <n v="2157.6900000000005"/>
    <n v="2157.6900000000005"/>
    <s v="MAN"/>
    <s v="jackets"/>
    <s v="MAN"/>
    <s v="MAN"/>
    <n v="2157.6900000000005"/>
  </r>
  <r>
    <x v="121"/>
    <x v="0"/>
    <x v="0"/>
    <x v="0"/>
    <x v="1"/>
    <x v="116"/>
    <x v="0"/>
    <s v="https://www.zara.com/us/en/tassel-leather-loafers-p12609320.html"/>
    <s v="311292343-700-39"/>
    <s v="TASSEL LEATHER LOAFERS"/>
    <s v="Loafers. Made of leather. Smooth upper with ruching at toe. Decorative fringed tassels at instep. Rounded shape. Welt around upper. Chunky lug soles."/>
    <x v="17"/>
    <s v="USD"/>
    <d v="2024-02-19T09:00:38"/>
    <s v="shoes"/>
    <x v="0"/>
    <m/>
    <m/>
    <s v="DOLLAR"/>
    <s v="shoe"/>
    <n v="2011.0800000000013"/>
    <n v="2011.0800000000013"/>
    <s v="MAN"/>
    <s v="jackets"/>
    <s v="MAN"/>
    <s v="MAN"/>
    <n v="2011.0800000000013"/>
  </r>
  <r>
    <x v="122"/>
    <x v="1"/>
    <x v="1"/>
    <x v="0"/>
    <x v="1"/>
    <x v="117"/>
    <x v="0"/>
    <s v="https://www.zara.com/us/en/heart-print-t-shirt-p06224419.html"/>
    <s v="322677489-800-2"/>
    <s v="HEART PRINT T-SHIRT"/>
    <s v="Boxy fit T-shirt with round neck and short sleeves. Contrasting prints at shoulder and back."/>
    <x v="10"/>
    <s v="USD"/>
    <d v="2024-02-19T08:56:28"/>
    <s v="t-shirts"/>
    <x v="0"/>
    <m/>
    <m/>
    <s v="DOLLAR"/>
    <s v="t-shirts"/>
    <n v="2157.6900000000005"/>
    <n v="2157.6900000000005"/>
    <s v="MAN"/>
    <s v="jackets"/>
    <s v="MAN"/>
    <s v="MAN"/>
    <n v="2157.6900000000005"/>
  </r>
  <r>
    <x v="123"/>
    <x v="0"/>
    <x v="1"/>
    <x v="0"/>
    <x v="1"/>
    <x v="118"/>
    <x v="0"/>
    <s v="https://www.zara.com/us/en/suede-jacket-p02521102.html"/>
    <s v="323134415-700-3"/>
    <s v="SUEDE JACKET"/>
    <s v="Jacket made of suede. Cropped length. Lapel collar and long sleeves. Front hidden in-seam pockets. Front zip closure."/>
    <x v="23"/>
    <s v="USD"/>
    <d v="2024-02-19T08:50:29"/>
    <s v="jackets"/>
    <x v="0"/>
    <m/>
    <m/>
    <s v="DOLLAR"/>
    <s v="jacket"/>
    <n v="14806.109999999982"/>
    <n v="14806.109999999982"/>
    <s v="MAN"/>
    <s v="jackets"/>
    <s v="MAN"/>
    <s v="MAN"/>
    <n v="14806.109999999982"/>
  </r>
  <r>
    <x v="124"/>
    <x v="1"/>
    <x v="1"/>
    <x v="0"/>
    <x v="0"/>
    <x v="119"/>
    <x v="0"/>
    <s v="https://www.zara.com/us/en/textured-pocket-overshirt-p01934436.html"/>
    <s v="312571093-710-2"/>
    <s v="TEXTURED POCKET OVERSHIRT"/>
    <s v="Overshirt made of diagonal textured cotton fabric. Lapel collar and long sleeves with buttoned cuffs. Patch pockets at hip. Front button closure."/>
    <x v="6"/>
    <s v="USD"/>
    <d v="2024-02-19T08:51:37"/>
    <s v="jackets"/>
    <x v="0"/>
    <m/>
    <m/>
    <s v="DOLLAR"/>
    <s v="jacket"/>
    <n v="14806.109999999982"/>
    <n v="14806.109999999982"/>
    <s v="MAN"/>
    <s v="jeans"/>
    <s v="MAN"/>
    <s v="MAN"/>
    <n v="14806.109999999982"/>
  </r>
  <r>
    <x v="125"/>
    <x v="1"/>
    <x v="1"/>
    <x v="0"/>
    <x v="0"/>
    <x v="120"/>
    <x v="0"/>
    <s v="https://www.zara.com/us/en/technical-overshirt-p05320500.html"/>
    <s v="321993245-500-2"/>
    <s v="TECHNICAL OVERSHIRT"/>
    <s v="Regular fit overshirt with lightly padded interior. Lapel collar and long sleeves with buttoned cuffs. Flap pockets at hip. Front button closure."/>
    <x v="1"/>
    <s v="USD"/>
    <d v="2024-02-19T08:51:43"/>
    <s v="jackets"/>
    <x v="0"/>
    <m/>
    <m/>
    <s v="DOLLAR"/>
    <s v="jacket"/>
    <n v="14806.109999999982"/>
    <n v="14806.109999999982"/>
    <s v="MAN"/>
    <s v="t-shirts"/>
    <s v="MAN"/>
    <s v="MAN"/>
    <n v="14806.109999999982"/>
  </r>
  <r>
    <x v="126"/>
    <x v="1"/>
    <x v="0"/>
    <x v="0"/>
    <x v="1"/>
    <x v="121"/>
    <x v="0"/>
    <s v="https://www.zara.com/us/en/-p04310461.html"/>
    <s v="336378923-700-2"/>
    <s v=""/>
    <s v=""/>
    <x v="2"/>
    <s v="USD"/>
    <d v="2024-02-19T08:50:54"/>
    <s v="jackets"/>
    <x v="0"/>
    <m/>
    <m/>
    <s v="DOLLAR"/>
    <s v="jacket"/>
    <n v="14806.109999999982"/>
    <n v="14806.109999999982"/>
    <s v="MAN"/>
    <s v="jackets"/>
    <s v="MAN"/>
    <s v="MAN"/>
    <n v="14806.109999999982"/>
  </r>
  <r>
    <x v="127"/>
    <x v="2"/>
    <x v="1"/>
    <x v="0"/>
    <x v="0"/>
    <x v="122"/>
    <x v="0"/>
    <s v="https://www.zara.com/us/en/padded-denim-jacket-p01538413.html"/>
    <s v="320264577-800-2"/>
    <s v="PADDED DENIM JACKET"/>
    <s v="Cropped jacket with lightly quilted interior. Lapel collar and long sleeves. Flap patch pockets at hip. Washed effect. Rib hems. Front zip closure."/>
    <x v="11"/>
    <s v="USD"/>
    <d v="2024-02-19T08:50:18"/>
    <s v="jackets"/>
    <x v="0"/>
    <m/>
    <m/>
    <s v="DOLLAR"/>
    <s v="jacket"/>
    <n v="14806.109999999982"/>
    <n v="14806.109999999982"/>
    <s v="MAN"/>
    <s v="jackets"/>
    <s v="MAN"/>
    <s v="MAN"/>
    <n v="14806.109999999982"/>
  </r>
  <r>
    <x v="128"/>
    <x v="0"/>
    <x v="1"/>
    <x v="0"/>
    <x v="0"/>
    <x v="123"/>
    <x v="0"/>
    <s v="https://www.zara.com/us/en/basic-heavyweight-t-shirt-p01887450.html"/>
    <s v="316715458-250-2"/>
    <s v="BASIC HEAVYWEIGHT T-SHIRT"/>
    <s v="Roomy T-shirt made of dense cotton. Round neck and short sleeves."/>
    <x v="24"/>
    <s v="USD"/>
    <d v="2024-02-19T08:56:27"/>
    <s v="t-shirts"/>
    <x v="0"/>
    <m/>
    <m/>
    <s v="DOLLAR"/>
    <s v="t-shirts"/>
    <n v="2157.6900000000005"/>
    <n v="2157.6900000000005"/>
    <s v="MAN"/>
    <s v="t-shirts"/>
    <s v="MAN"/>
    <s v="MAN"/>
    <n v="2157.6900000000005"/>
  </r>
  <r>
    <x v="129"/>
    <x v="0"/>
    <x v="1"/>
    <x v="0"/>
    <x v="0"/>
    <x v="124"/>
    <x v="0"/>
    <s v="https://www.zara.com/us/en/faux-suede-bomber-jacket-p08574500.html"/>
    <s v="311282759-806-2"/>
    <s v="FAUX SUEDE BOMBER JACKET"/>
    <s v="Jacket made of faux suede fabric. Rib elastic collar and long sleeves. Welt pockets at hip. Rib trim. Front zip closure."/>
    <x v="6"/>
    <s v="USD"/>
    <d v="2024-02-19T08:50:29"/>
    <s v="jackets"/>
    <x v="0"/>
    <m/>
    <m/>
    <s v="DOLLAR"/>
    <s v="jacket"/>
    <n v="14806.109999999982"/>
    <n v="14806.109999999982"/>
    <s v="MAN"/>
    <s v="jeans"/>
    <s v="MAN"/>
    <s v="MAN"/>
    <n v="14806.109999999982"/>
  </r>
  <r>
    <x v="130"/>
    <x v="0"/>
    <x v="0"/>
    <x v="0"/>
    <x v="1"/>
    <x v="124"/>
    <x v="0"/>
    <s v="https://www.zara.com/us/en/reversible-plaid-overshirt-p09621301.html"/>
    <s v="311282298-099-2"/>
    <s v="REVERSIBLE PLAID OVERSHIRT"/>
    <s v="Relaxed fit reversible overshirt. Italian collar and long sleeves with buttoned cuffs. Chest patch pocket. Front button closure."/>
    <x v="3"/>
    <s v="USD"/>
    <d v="2024-02-19T08:51:33"/>
    <s v="jackets"/>
    <x v="0"/>
    <m/>
    <m/>
    <s v="DOLLAR"/>
    <s v="jacket"/>
    <n v="14806.109999999982"/>
    <n v="14806.109999999982"/>
    <s v="MAN"/>
    <s v="jackets"/>
    <s v="MAN"/>
    <s v="MAN"/>
    <n v="14806.109999999982"/>
  </r>
  <r>
    <x v="131"/>
    <x v="1"/>
    <x v="1"/>
    <x v="0"/>
    <x v="1"/>
    <x v="125"/>
    <x v="0"/>
    <s v="https://www.zara.com/us/en/faux-suede-jacket-p08281652.html"/>
    <s v="311302863-800-2"/>
    <s v="FAUX SUEDE JACKET"/>
    <s v="Lapel collar jacket with long sleeves with buttoned cuffs. Flap pockets at chest and welt pockets at hip. Front button closure."/>
    <x v="11"/>
    <s v="USD"/>
    <d v="2024-02-19T08:50:28"/>
    <s v="jackets"/>
    <x v="0"/>
    <m/>
    <m/>
    <s v="DOLLAR"/>
    <s v="jacket"/>
    <n v="14806.109999999982"/>
    <n v="14806.109999999982"/>
    <s v="MAN"/>
    <s v="jackets"/>
    <s v="MAN"/>
    <s v="MAN"/>
    <n v="14806.109999999982"/>
  </r>
  <r>
    <x v="132"/>
    <x v="0"/>
    <x v="0"/>
    <x v="0"/>
    <x v="1"/>
    <x v="126"/>
    <x v="0"/>
    <s v="https://www.zara.com/us/en/jewel-knit-sweater-p05755005.html"/>
    <s v="312571093-710-2"/>
    <s v="DENIM BOMBER JACKET"/>
    <s v="Relaxed fit overshirt made of wool blend fabric. Lapel collar and long sleeves with buttoned cuffs. Welt pockets at hip. Front zip closure."/>
    <x v="4"/>
    <s v="USD"/>
    <d v="2024-02-19T09:10:36"/>
    <s v="t-shirts"/>
    <x v="0"/>
    <m/>
    <m/>
    <s v="DOLLAR"/>
    <s v="t-shirts"/>
    <n v="2157.6900000000005"/>
    <n v="2157.6900000000005"/>
    <s v="MAN"/>
    <s v="jackets"/>
    <s v="MAN"/>
    <s v="MAN"/>
    <n v="2157.6900000000005"/>
  </r>
  <r>
    <x v="133"/>
    <x v="0"/>
    <x v="1"/>
    <x v="0"/>
    <x v="1"/>
    <x v="127"/>
    <x v="0"/>
    <s v="https://www.zara.com/us/en/pocket-overshirt-p00706621.html"/>
    <s v="311282631-712-2"/>
    <s v="POCKET OVERSHIRT"/>
    <s v="Relaxed fit overshirt. Lapel collar and long sleeves with adjustable button cuffs. Welt pockets at hip. Front zip hidden by a snap button flap."/>
    <x v="11"/>
    <s v="USD"/>
    <d v="2024-02-19T08:51:34"/>
    <s v="jackets"/>
    <x v="0"/>
    <m/>
    <m/>
    <s v="DOLLAR"/>
    <s v="jacket"/>
    <n v="14806.109999999982"/>
    <n v="14806.109999999982"/>
    <s v="MAN"/>
    <s v="jackets"/>
    <s v="MAN"/>
    <s v="MAN"/>
    <n v="14806.109999999982"/>
  </r>
  <r>
    <x v="134"/>
    <x v="1"/>
    <x v="0"/>
    <x v="0"/>
    <x v="0"/>
    <x v="127"/>
    <x v="0"/>
    <s v="https://www.zara.com/us/en/braided-color-block-sweater-p03284412.html"/>
    <s v="317894313-707-3"/>
    <s v="BRAIDED COLOR BLOCK SWEATER"/>
    <s v="Round neck long sleeve full cut sweater. Rib trim."/>
    <x v="6"/>
    <s v="USD"/>
    <d v="2024-02-19T08:54:46"/>
    <s v="sweaters"/>
    <x v="0"/>
    <m/>
    <m/>
    <s v="DOLLAR"/>
    <s v="sweaters"/>
    <n v="2249.3700000000013"/>
    <n v="2249.3700000000013"/>
    <s v="MAN"/>
    <s v="jeans"/>
    <s v="MAN"/>
    <s v="MAN"/>
    <n v="2249.3700000000013"/>
  </r>
  <r>
    <x v="135"/>
    <x v="2"/>
    <x v="0"/>
    <x v="0"/>
    <x v="1"/>
    <x v="128"/>
    <x v="0"/>
    <s v="https://www.zara.com/us/en/pocket-overshirt-p05070605.html"/>
    <s v="311282469-505-2"/>
    <s v="POCKET OVERSHIRT"/>
    <s v="Cropped overshirt. Lapel collar and long sleeves with buttoned cuffs. Front patch pockets. Irregular finished seams. Front button closure."/>
    <x v="11"/>
    <s v="USD"/>
    <d v="2024-02-19T08:51:00"/>
    <s v="jackets"/>
    <x v="0"/>
    <m/>
    <m/>
    <s v="DOLLAR"/>
    <s v="jacket"/>
    <n v="14806.109999999982"/>
    <n v="14806.109999999982"/>
    <s v="MAN"/>
    <s v="jackets"/>
    <s v="MAN"/>
    <s v="MAN"/>
    <n v="14806.109999999982"/>
  </r>
  <r>
    <x v="136"/>
    <x v="0"/>
    <x v="1"/>
    <x v="0"/>
    <x v="1"/>
    <x v="129"/>
    <x v="0"/>
    <s v="https://www.zara.com/us/en/hooded-technical-jacket-p01538301.html"/>
    <s v="267186163-643-2"/>
    <s v="HOODED TECHNICAL JACKET"/>
    <s v="Jacket made of technical fabric with brushed interior. High collar with adjustable hood. Long sleeves with cuffs and adhesive straps. Zip pockets at chest and hip. Front zip closure."/>
    <x v="0"/>
    <s v="USD"/>
    <d v="2024-02-19T08:51:05"/>
    <s v="jackets"/>
    <x v="0"/>
    <m/>
    <m/>
    <s v="DOLLAR"/>
    <s v="jacket"/>
    <n v="14806.109999999982"/>
    <n v="14806.109999999982"/>
    <s v="MAN"/>
    <s v="jackets"/>
    <s v="MAN"/>
    <s v="MAN"/>
    <n v="14806.109999999982"/>
  </r>
  <r>
    <x v="137"/>
    <x v="1"/>
    <x v="0"/>
    <x v="0"/>
    <x v="0"/>
    <x v="130"/>
    <x v="0"/>
    <s v="https://www.zara.com/us/en/contrast-topstitching-crop-knit-sweater-p09598003.html"/>
    <s v="281883711-071-2"/>
    <s v="SUIT JACKET"/>
    <s v="Jacket with lightly padded interior. Corduroy lapel collar. Long sleeves. Patch pockets at hip. Front button closure."/>
    <x v="6"/>
    <s v="USD"/>
    <d v="2024-02-19T09:10:41"/>
    <s v="t-shirts"/>
    <x v="0"/>
    <m/>
    <m/>
    <s v="DOLLAR"/>
    <s v="t-shirts"/>
    <n v="2157.6900000000005"/>
    <n v="2157.6900000000005"/>
    <s v="MAN"/>
    <s v="jeans"/>
    <s v="MAN"/>
    <s v="MAN"/>
    <n v="2157.6900000000005"/>
  </r>
  <r>
    <x v="138"/>
    <x v="0"/>
    <x v="0"/>
    <x v="0"/>
    <x v="0"/>
    <x v="131"/>
    <x v="0"/>
    <s v="https://www.zara.com/us/en/foil-knit-crop-sweater-p06771001.html"/>
    <s v="331789902-808-1"/>
    <s v="FOIL KNIT CROP SWEATER"/>
    <s v="Ribbed sweater with round neck and long sleeves. Ripped hem."/>
    <x v="7"/>
    <s v="USD"/>
    <d v="2024-02-19T09:10:49"/>
    <s v="sweaters"/>
    <x v="1"/>
    <m/>
    <m/>
    <s v="DOLLAR"/>
    <s v="sweaters"/>
    <n v="2249.3700000000013"/>
    <n v="2249.3700000000013"/>
    <s v="WOMAN"/>
    <s v="sweaters"/>
    <s v="WOMAN"/>
    <s v="WOMAN"/>
    <n v="2249.3700000000013"/>
  </r>
  <r>
    <x v="139"/>
    <x v="0"/>
    <x v="1"/>
    <x v="0"/>
    <x v="1"/>
    <x v="132"/>
    <x v="0"/>
    <s v="https://www.zara.com/us/en/alpaca-blend-open-knit-sweater-p05755132.html"/>
    <s v="313890650-712-2"/>
    <s v="ALPACA BLEND OPEN KNIT SWEATER"/>
    <s v="Sweater made with 63% alpaca. Round neck and long sleeves."/>
    <x v="3"/>
    <s v="USD"/>
    <d v="2024-02-19T09:10:38"/>
    <s v="sweaters"/>
    <x v="1"/>
    <m/>
    <m/>
    <s v="DOLLAR"/>
    <s v="sweaters"/>
    <n v="2249.3700000000013"/>
    <n v="2249.3700000000013"/>
    <s v="MAN"/>
    <s v="jackets"/>
    <s v="MAN"/>
    <s v="MAN"/>
    <n v="2249.3700000000013"/>
  </r>
  <r>
    <x v="140"/>
    <x v="0"/>
    <x v="0"/>
    <x v="0"/>
    <x v="0"/>
    <x v="133"/>
    <x v="0"/>
    <s v="https://www.zara.com/us/en/boucle-textured-vest-p01437303.html"/>
    <s v="319502128-515-2"/>
    <s v="BOUCLE TEXTURED VEST"/>
    <s v="Vest made of viscose and wool blend fabric. V-neckline. Patch pockets at hip. Front zip closure."/>
    <x v="6"/>
    <s v="USD"/>
    <d v="2024-02-19T08:51:01"/>
    <s v="jackets"/>
    <x v="0"/>
    <m/>
    <m/>
    <s v="DOLLAR"/>
    <s v="jacket"/>
    <n v="14806.109999999982"/>
    <n v="14806.109999999982"/>
    <s v="MAN"/>
    <s v="jeans"/>
    <s v="MAN"/>
    <s v="MAN"/>
    <n v="14806.109999999982"/>
  </r>
  <r>
    <x v="141"/>
    <x v="1"/>
    <x v="1"/>
    <x v="0"/>
    <x v="0"/>
    <x v="134"/>
    <x v="0"/>
    <s v="https://www.zara.com/us/en/lightweight-puffer-jacket-p04302520.html"/>
    <s v="267133943-711-2"/>
    <s v="LIGHTWEIGHT PUFFER JACKET"/>
    <s v="Padded jacket made of technical fabric. High collar and long sleeves. Welt pockets at hip. Elasticized trim. Front zip closure."/>
    <x v="0"/>
    <s v="USD"/>
    <d v="2024-02-19T08:50:40"/>
    <s v="jackets"/>
    <x v="0"/>
    <m/>
    <m/>
    <s v="DOLLAR"/>
    <s v="jacket"/>
    <n v="14806.109999999982"/>
    <n v="14806.109999999982"/>
    <s v="MAN"/>
    <s v="jackets"/>
    <s v="MAN"/>
    <s v="MAN"/>
    <n v="14806.109999999982"/>
  </r>
  <r>
    <x v="142"/>
    <x v="1"/>
    <x v="0"/>
    <x v="0"/>
    <x v="0"/>
    <x v="135"/>
    <x v="0"/>
    <s v="https://www.zara.com/us/en/jacquard-denim-jacket-p07627402.html"/>
    <s v="313845662-400-3"/>
    <s v="JACQUARD DENIM JACKET"/>
    <s v="Lapel collar jacket with long sleeves with buttoned cuffs. Patch pockets with flaps at chest and side pockets at hip. Front hidden button closure."/>
    <x v="1"/>
    <s v="USD"/>
    <d v="2024-02-19T08:50:18"/>
    <s v="jackets"/>
    <x v="0"/>
    <m/>
    <m/>
    <s v="DOLLAR"/>
    <s v="jacket"/>
    <n v="14806.109999999982"/>
    <n v="14806.109999999982"/>
    <s v="MAN"/>
    <s v="t-shirts"/>
    <s v="MAN"/>
    <s v="MAN"/>
    <n v="14806.109999999982"/>
  </r>
  <r>
    <x v="143"/>
    <x v="0"/>
    <x v="0"/>
    <x v="0"/>
    <x v="1"/>
    <x v="136"/>
    <x v="0"/>
    <s v="https://www.zara.com/us/en/denim-shirt-p06085371.html"/>
    <s v="275600408-400-2"/>
    <s v="DENIM SHIRT"/>
    <s v="Relaxed fit shirt made of denim fabric. Lapel collar and short sleeves. Chest patch pocket. Washed effect. Front button closure."/>
    <x v="8"/>
    <s v="USD"/>
    <d v="2024-02-19T08:54:41"/>
    <s v="jeans"/>
    <x v="0"/>
    <m/>
    <m/>
    <s v="DOLLAR"/>
    <s v="jeans"/>
    <n v="511.39"/>
    <n v="511.39"/>
    <s v="MAN"/>
    <s v="sweaters"/>
    <s v="MAN"/>
    <s v="MAN"/>
    <n v="511.39"/>
  </r>
  <r>
    <x v="144"/>
    <x v="1"/>
    <x v="1"/>
    <x v="0"/>
    <x v="0"/>
    <x v="137"/>
    <x v="0"/>
    <s v="https://www.zara.com/us/en/suede-strap-sandals-p12707320.html"/>
    <s v="311302865-804-39"/>
    <s v="SUEDE STRAP SANDALS"/>
    <s v="Sandals. Made of leather with a suede finish. Two crossed wide straps at instep. Thick lightweight soles."/>
    <x v="21"/>
    <s v="USD"/>
    <d v="2024-02-19T09:00:33"/>
    <s v="shoes"/>
    <x v="0"/>
    <m/>
    <m/>
    <s v="DOLLAR"/>
    <s v="shoe"/>
    <n v="2011.0800000000013"/>
    <n v="2011.0800000000013"/>
    <s v="MAN"/>
    <s v="jackets"/>
    <s v="MAN"/>
    <s v="MAN"/>
    <n v="2011.0800000000013"/>
  </r>
  <r>
    <x v="145"/>
    <x v="1"/>
    <x v="1"/>
    <x v="0"/>
    <x v="0"/>
    <x v="138"/>
    <x v="0"/>
    <s v="https://www.zara.com/us/en/colorblock-knit-crop-sweater-p05536008.html"/>
    <s v="320052978-401-2"/>
    <s v="COLORBLOCK KNIT CROP SWEATER"/>
    <s v="Short sweater with round neck and long sleeves."/>
    <x v="12"/>
    <s v="USD"/>
    <d v="2024-02-19T09:10:51"/>
    <s v="sweaters"/>
    <x v="1"/>
    <m/>
    <m/>
    <s v="DOLLAR"/>
    <s v="sweaters"/>
    <n v="2249.3700000000013"/>
    <n v="2249.3700000000013"/>
    <s v="MAN"/>
    <s v="shoes"/>
    <s v="MAN"/>
    <s v="MAN"/>
    <n v="2249.3700000000013"/>
  </r>
  <r>
    <x v="146"/>
    <x v="0"/>
    <x v="1"/>
    <x v="0"/>
    <x v="0"/>
    <x v="139"/>
    <x v="0"/>
    <s v="https://www.zara.com/us/en/pocket-denim-overshirt-p01472403.html"/>
    <s v="323216360-406-2"/>
    <s v="POCKET DENIM OVERSHIRT"/>
    <s v="Boxy fit overshirt. Lapel collar and long sleeves with buttoned cuffs. Chest patch pockets. Washed effect. Front button closure."/>
    <x v="11"/>
    <s v="USD"/>
    <d v="2024-02-19T08:51:35"/>
    <s v="jackets"/>
    <x v="0"/>
    <m/>
    <m/>
    <s v="DOLLAR"/>
    <s v="jacket"/>
    <n v="14806.109999999982"/>
    <n v="14806.109999999982"/>
    <s v="MAN"/>
    <s v="jackets"/>
    <s v="MAN"/>
    <s v="MAN"/>
    <n v="14806.109999999982"/>
  </r>
  <r>
    <x v="147"/>
    <x v="0"/>
    <x v="0"/>
    <x v="0"/>
    <x v="1"/>
    <x v="140"/>
    <x v="0"/>
    <s v="https://www.zara.com/us/en/pocket-jacket-p06318507.html"/>
    <s v="322410604-401-2"/>
    <s v="POCKET JACKET"/>
    <s v="Jacket made of dense technical fabric. Lapel collar and long sleeves with buttoned cuffs. Multi-functional front pockets. Front zip hidden by a snap button flap."/>
    <x v="2"/>
    <s v="USD"/>
    <d v="2024-02-19T08:50:41"/>
    <s v="jackets"/>
    <x v="0"/>
    <m/>
    <m/>
    <s v="DOLLAR"/>
    <s v="jacket"/>
    <n v="14806.109999999982"/>
    <n v="14806.109999999982"/>
    <s v="MAN"/>
    <s v="jackets"/>
    <s v="MAN"/>
    <s v="MAN"/>
    <n v="14806.109999999982"/>
  </r>
  <r>
    <x v="148"/>
    <x v="2"/>
    <x v="0"/>
    <x v="0"/>
    <x v="1"/>
    <x v="141"/>
    <x v="0"/>
    <s v="https://www.zara.com/us/en/faux-leather-bomber-jacket-p03918420.html"/>
    <s v="311309526-800-2"/>
    <s v="FAUX LEATHER BOMBER JACKET"/>
    <s v="Jacket made of faux leather fabric. High collar and long sleeves. Welt pockets at hip and interior pocket. Rib trim. Front zip closure."/>
    <x v="6"/>
    <s v="USD"/>
    <d v="2024-02-19T08:50:20"/>
    <s v="jackets"/>
    <x v="0"/>
    <m/>
    <m/>
    <s v="DOLLAR"/>
    <s v="jacket"/>
    <n v="14806.109999999982"/>
    <n v="14806.109999999982"/>
    <s v="MAN"/>
    <s v="jeans"/>
    <s v="MAN"/>
    <s v="MAN"/>
    <n v="14806.109999999982"/>
  </r>
  <r>
    <x v="149"/>
    <x v="2"/>
    <x v="1"/>
    <x v="0"/>
    <x v="1"/>
    <x v="142"/>
    <x v="0"/>
    <s v="https://www.zara.com/us/en/textured-denim-jacket-limited-edition-p01538430.html"/>
    <s v="322972491-800-2"/>
    <s v="TEXTURED DENIM JACKET LIMITED EDITION"/>
    <s v="Lapel collar jacket with long sleeves with buttoned cuffs. Flap pockets at chest and welt pockets at hip. All over washed and uneven textured effect. Front button closure."/>
    <x v="11"/>
    <s v="USD"/>
    <d v="2024-02-19T08:50:44"/>
    <s v="jackets"/>
    <x v="0"/>
    <m/>
    <m/>
    <s v="DOLLAR"/>
    <s v="jacket"/>
    <n v="14806.109999999982"/>
    <n v="14806.109999999982"/>
    <s v="MAN"/>
    <s v="jackets"/>
    <s v="MAN"/>
    <s v="MAN"/>
    <n v="14806.109999999982"/>
  </r>
  <r>
    <x v="150"/>
    <x v="2"/>
    <x v="1"/>
    <x v="0"/>
    <x v="1"/>
    <x v="143"/>
    <x v="0"/>
    <s v="https://www.zara.com/us/en/washed-effect-bomber-jacket-p08281307.html"/>
    <s v="323675323-700-2"/>
    <s v="WASHED EFFECT BOMBER JACKET"/>
    <s v="Jacket made of technical fabric. Lapel collar and long sleeves with pocket detail. Welt pockets at hip and interior pocket. Washed effect. Elasticized trim. Front zip hidden by a snap button flap."/>
    <x v="1"/>
    <s v="USD"/>
    <d v="2024-02-19T08:51:08"/>
    <s v="jackets"/>
    <x v="0"/>
    <m/>
    <m/>
    <s v="DOLLAR"/>
    <s v="jacket"/>
    <n v="14806.109999999982"/>
    <n v="14806.109999999982"/>
    <s v="MAN"/>
    <s v="t-shirts"/>
    <s v="MAN"/>
    <s v="MAN"/>
    <n v="14806.109999999982"/>
  </r>
  <r>
    <x v="151"/>
    <x v="1"/>
    <x v="1"/>
    <x v="0"/>
    <x v="0"/>
    <x v="144"/>
    <x v="0"/>
    <s v="https://www.zara.com/us/en/knit-pearl-sweater-p04331165.html"/>
    <s v="318131967-800-2"/>
    <s v="KNIT PEARL SWEATER"/>
    <s v="Round neck long sleeve sweater. Tonal pearl appliqués and open back with tie."/>
    <x v="12"/>
    <s v="USD"/>
    <d v="2024-02-19T09:10:52"/>
    <s v="sweaters"/>
    <x v="1"/>
    <m/>
    <m/>
    <s v="DOLLAR"/>
    <s v="sweaters"/>
    <n v="2249.3700000000013"/>
    <n v="2249.3700000000013"/>
    <s v="MAN"/>
    <s v="shoes"/>
    <s v="MAN"/>
    <s v="MAN"/>
    <n v="2249.3700000000013"/>
  </r>
  <r>
    <x v="152"/>
    <x v="2"/>
    <x v="1"/>
    <x v="0"/>
    <x v="1"/>
    <x v="145"/>
    <x v="0"/>
    <s v="https://www.zara.com/us/en/knit-sweater-with-rips-p00021110.html"/>
    <s v="320671529-802-2"/>
    <s v="JACQUARD DENIM JACKET"/>
    <s v="Jacket made of technical fabric with padded interior. Lapel collar and long sleeves with elastic cuffs. Welt pockets at hip and interior pocket. Adjustable drawstring hem. Front snap button closure."/>
    <x v="1"/>
    <s v="USD"/>
    <d v="2024-02-19T09:10:38"/>
    <s v="t-shirts"/>
    <x v="0"/>
    <m/>
    <m/>
    <s v="DOLLAR"/>
    <s v="t-shirts"/>
    <n v="2157.6900000000005"/>
    <n v="2157.6900000000005"/>
    <s v="MAN"/>
    <s v="t-shirts"/>
    <s v="MAN"/>
    <s v="MAN"/>
    <n v="2157.6900000000005"/>
  </r>
  <r>
    <x v="153"/>
    <x v="1"/>
    <x v="1"/>
    <x v="0"/>
    <x v="0"/>
    <x v="146"/>
    <x v="0"/>
    <s v="https://www.zara.com/us/en/wool-blend-knit-sweater-p02893159.html"/>
    <s v="344575855-982-2"/>
    <s v="WOOL BLEND KNIT SWEATER"/>
    <s v="Sweater made with 31% wool. Round neck and long sleeves. Rib trim."/>
    <x v="21"/>
    <s v="USD"/>
    <d v="2024-02-19T09:10:39"/>
    <s v="sweaters"/>
    <x v="1"/>
    <m/>
    <m/>
    <s v="DOLLAR"/>
    <s v="sweaters"/>
    <n v="2249.3700000000013"/>
    <n v="2249.3700000000013"/>
    <s v="MAN"/>
    <s v="jackets"/>
    <s v="MAN"/>
    <s v="MAN"/>
    <n v="2249.3700000000013"/>
  </r>
  <r>
    <x v="154"/>
    <x v="2"/>
    <x v="1"/>
    <x v="0"/>
    <x v="1"/>
    <x v="147"/>
    <x v="0"/>
    <s v="https://www.zara.com/us/en/bomber-jacket-p05039440.html"/>
    <s v="323216370-422-97"/>
    <s v="BOMBER JACKET"/>
    <s v="Boxy bomber jacket. Rib elastic collar and long sleeves. Welt pockets at hip. Elasticized trim. Front zip closure."/>
    <x v="11"/>
    <s v="USD"/>
    <d v="2024-02-19T08:50:38"/>
    <s v="jackets"/>
    <x v="0"/>
    <m/>
    <m/>
    <s v="DOLLAR"/>
    <s v="jacket"/>
    <n v="14806.109999999982"/>
    <n v="14806.109999999982"/>
    <s v="MAN"/>
    <s v="jackets"/>
    <s v="MAN"/>
    <s v="MAN"/>
    <n v="14806.109999999982"/>
  </r>
  <r>
    <x v="155"/>
    <x v="0"/>
    <x v="0"/>
    <x v="0"/>
    <x v="0"/>
    <x v="148"/>
    <x v="0"/>
    <s v="https://www.zara.com/us/en/stretch-suit-jacket-p01564300.html"/>
    <s v="328303236-420-44"/>
    <s v="STRETCH SUIT JACKET"/>
    <s v="Slim fit jacket made of viscose blend fabric. Notched lapel collar. Long sleeves with buttoned cuffs. Welt pocket at chest and flap pockets at hip. Interior pocket. Back vents. Front button closure."/>
    <x v="2"/>
    <s v="USD"/>
    <d v="2024-02-19T08:50:08"/>
    <s v="jackets"/>
    <x v="0"/>
    <n v="252"/>
    <s v="count "/>
    <s v="DOLLAR"/>
    <s v="jacket"/>
    <n v="14806.109999999982"/>
    <n v="14806.109999999982"/>
    <s v="MAN"/>
    <s v="jackets"/>
    <s v="MAN"/>
    <s v="MAN"/>
    <n v="14806.109999999982"/>
  </r>
  <r>
    <x v="156"/>
    <x v="1"/>
    <x v="1"/>
    <x v="0"/>
    <x v="1"/>
    <x v="149"/>
    <x v="0"/>
    <s v="https://www.zara.com/us/en/baggy-belted-jeans-p04365401.html"/>
    <s v="326540983-802-36"/>
    <s v="BAGGY BELTED JEANS"/>
    <s v="Baggy jeans. Self belt at waist. Front pockets and back patch pockets. Washed effect. Front button closure."/>
    <x v="9"/>
    <s v="USD"/>
    <d v="2024-02-19T08:54:38"/>
    <s v="jeans"/>
    <x v="0"/>
    <m/>
    <m/>
    <s v="DOLLAR"/>
    <s v="jeans"/>
    <n v="511.39"/>
    <n v="511.39"/>
    <s v="WOMAN"/>
    <s v="sweaters"/>
    <s v="WOMAN"/>
    <s v="WOMAN"/>
    <n v="511.39"/>
  </r>
  <r>
    <x v="157"/>
    <x v="1"/>
    <x v="0"/>
    <x v="0"/>
    <x v="0"/>
    <x v="150"/>
    <x v="0"/>
    <s v="https://www.zara.com/us/en/baggy-fit-jeans-p08062482.html"/>
    <s v="315836999-406-34"/>
    <s v="BAGGY FIT JEANS"/>
    <s v="Baggy fit jeans. Five pockets. Washed effect. Front zip and button closure."/>
    <x v="6"/>
    <s v="USD"/>
    <d v="2024-02-19T08:54:39"/>
    <s v="jeans"/>
    <x v="0"/>
    <m/>
    <m/>
    <s v="DOLLAR"/>
    <s v="jeans"/>
    <n v="511.39"/>
    <n v="511.39"/>
    <s v="MAN"/>
    <s v="jeans"/>
    <s v="MAN"/>
    <s v="MAN"/>
    <n v="511.39"/>
  </r>
  <r>
    <x v="158"/>
    <x v="1"/>
    <x v="0"/>
    <x v="0"/>
    <x v="1"/>
    <x v="151"/>
    <x v="0"/>
    <s v="https://www.zara.com/us/en/text-t-shirt-p00962458.html"/>
    <s v="330077856-251-2"/>
    <s v="TEXT T-SHIRT"/>
    <s v="Boxy fit T-shirt. Round neck and short sleeves. Velvet effect print with contrast text."/>
    <x v="10"/>
    <s v="USD"/>
    <d v="2024-02-19T08:56:28"/>
    <s v="t-shirts"/>
    <x v="0"/>
    <m/>
    <m/>
    <s v="DOLLAR"/>
    <s v="t-shirts"/>
    <n v="2157.6900000000005"/>
    <n v="2157.6900000000005"/>
    <s v="MAN"/>
    <s v="jackets"/>
    <s v="MAN"/>
    <s v="MAN"/>
    <n v="2157.6900000000005"/>
  </r>
  <r>
    <x v="159"/>
    <x v="0"/>
    <x v="1"/>
    <x v="0"/>
    <x v="0"/>
    <x v="152"/>
    <x v="0"/>
    <s v="https://www.zara.com/us/en/knit-sweater-with-buttons-p08851131.html"/>
    <s v="313890656-800-2"/>
    <s v="KNIT SWEATER WITH BUTTONS"/>
    <s v="Basic sweater with round neck and long sleeves. Side button details at shoulders."/>
    <x v="10"/>
    <s v="USD"/>
    <d v="2024-02-19T09:10:42"/>
    <s v="sweaters"/>
    <x v="1"/>
    <m/>
    <m/>
    <s v="DOLLAR"/>
    <s v="sweaters"/>
    <n v="2249.3700000000013"/>
    <n v="2249.3700000000013"/>
    <s v="MAN"/>
    <s v="jackets"/>
    <s v="MAN"/>
    <s v="MAN"/>
    <n v="2249.3700000000013"/>
  </r>
  <r>
    <x v="160"/>
    <x v="0"/>
    <x v="1"/>
    <x v="0"/>
    <x v="1"/>
    <x v="153"/>
    <x v="0"/>
    <s v="https://www.zara.com/us/en/bomber-jacket-p05344402.html"/>
    <s v="321496813-710-2"/>
    <s v="BOMBER JACKET"/>
    <s v="Jacket with padded interior. Rib elastic collar and long sleeves. Flap pockets at hip and interior pocket. Rib trim. Front zip closure."/>
    <x v="1"/>
    <s v="USD"/>
    <d v="2024-02-19T08:51:06"/>
    <s v="jackets"/>
    <x v="0"/>
    <m/>
    <m/>
    <s v="DOLLAR"/>
    <s v="jacket"/>
    <n v="14806.109999999982"/>
    <n v="14806.109999999982"/>
    <s v="MAN"/>
    <s v="t-shirts"/>
    <s v="MAN"/>
    <s v="MAN"/>
    <n v="14806.109999999982"/>
  </r>
  <r>
    <x v="161"/>
    <x v="1"/>
    <x v="0"/>
    <x v="0"/>
    <x v="0"/>
    <x v="153"/>
    <x v="0"/>
    <s v="https://www.zara.com/us/en/multipiece-sneakers-p12318220.html"/>
    <s v="311292281-203-39"/>
    <s v="MULTIPIECE SNEAKERS"/>
    <s v="Running shoes. Upper in a combination of pieces and finishes. Lacing with six pairs of eyelets. Chunky soles with irregular design. Lug soles. Trek style."/>
    <x v="6"/>
    <s v="USD"/>
    <d v="2024-02-19T09:00:48"/>
    <s v="shoes"/>
    <x v="0"/>
    <m/>
    <m/>
    <s v="DOLLAR"/>
    <s v="shoe"/>
    <n v="2011.0800000000013"/>
    <n v="2011.0800000000013"/>
    <s v="MAN"/>
    <s v="jeans"/>
    <s v="MAN"/>
    <s v="MAN"/>
    <n v="2011.0800000000013"/>
  </r>
  <r>
    <x v="162"/>
    <x v="2"/>
    <x v="0"/>
    <x v="0"/>
    <x v="1"/>
    <x v="154"/>
    <x v="0"/>
    <s v="https://www.zara.com/us/en/suit-jacket-p04303266.html"/>
    <s v="328250627-251-46"/>
    <s v="SUIT JACKET"/>
    <s v="Straight fit jacket made of dense stretch fabric. Notched lapel collar and long sleeves with buttoned cuffs. Welt pocket at chest and flap pockets at hip. Interior pocket. Back vents. Front button closure."/>
    <x v="13"/>
    <s v="USD"/>
    <d v="2024-02-19T08:50:20"/>
    <s v="jackets"/>
    <x v="0"/>
    <m/>
    <m/>
    <s v="DOLLAR"/>
    <s v="jacket"/>
    <n v="14806.109999999982"/>
    <n v="14806.109999999982"/>
    <s v="MAN"/>
    <s v="jackets"/>
    <s v="MAN"/>
    <s v="MAN"/>
    <n v="14806.109999999982"/>
  </r>
  <r>
    <x v="163"/>
    <x v="0"/>
    <x v="1"/>
    <x v="0"/>
    <x v="0"/>
    <x v="154"/>
    <x v="0"/>
    <s v="https://www.zara.com/us/en/textured-sweater-p02893403.html"/>
    <s v="311307250-710-3"/>
    <s v="TEXTURED SWEATER"/>
    <s v="Sweater made of 30% wool thread. Round neck and long sleeves. Rib trim."/>
    <x v="6"/>
    <s v="USD"/>
    <d v="2024-02-19T08:54:44"/>
    <s v="sweaters"/>
    <x v="0"/>
    <m/>
    <m/>
    <s v="DOLLAR"/>
    <s v="sweaters"/>
    <n v="2249.3700000000013"/>
    <n v="2249.3700000000013"/>
    <s v="MAN"/>
    <s v="jeans"/>
    <s v="MAN"/>
    <s v="MAN"/>
    <n v="2249.3700000000013"/>
  </r>
  <r>
    <x v="164"/>
    <x v="0"/>
    <x v="0"/>
    <x v="0"/>
    <x v="0"/>
    <x v="155"/>
    <x v="0"/>
    <s v="https://www.zara.com/us/en/wool-blend-jacket-p09621448.html"/>
    <s v="321501682-800-2"/>
    <s v="WOOL BLEND JACKET"/>
    <s v="Jacket made of wool blend fabric. Lapel collar and long sleeves. Welt pockets at hip and interior pocket. Rib trim. Front zip closure."/>
    <x v="1"/>
    <s v="USD"/>
    <d v="2024-02-19T08:50:45"/>
    <s v="jackets"/>
    <x v="0"/>
    <m/>
    <m/>
    <s v="DOLLAR"/>
    <s v="jacket"/>
    <n v="14806.109999999982"/>
    <n v="14806.109999999982"/>
    <s v="MAN"/>
    <s v="t-shirts"/>
    <s v="MAN"/>
    <s v="MAN"/>
    <n v="14806.109999999982"/>
  </r>
  <r>
    <x v="165"/>
    <x v="0"/>
    <x v="1"/>
    <x v="0"/>
    <x v="0"/>
    <x v="156"/>
    <x v="0"/>
    <s v="https://www.zara.com/us/en/contrasting-patches-hooded-jacket-p03833400.html"/>
    <s v="311297489-800-2"/>
    <s v="CONTRASTING PATCHES HOODED JACKET"/>
    <s v="Varsity jacket with stretchy collar and contrasting hood. Long sleeves. Welt pockets at hip and interior pocket. Embroidered appliqué and contrast front and back patches. Rib trim. Front snap button closure."/>
    <x v="1"/>
    <s v="USD"/>
    <d v="2024-02-19T08:50:52"/>
    <s v="jackets"/>
    <x v="0"/>
    <m/>
    <m/>
    <s v="DOLLAR"/>
    <s v="jacket"/>
    <n v="14806.109999999982"/>
    <n v="14806.109999999982"/>
    <s v="MAN"/>
    <s v="t-shirts"/>
    <s v="MAN"/>
    <s v="MAN"/>
    <n v="14806.109999999982"/>
  </r>
  <r>
    <x v="166"/>
    <x v="1"/>
    <x v="1"/>
    <x v="0"/>
    <x v="0"/>
    <x v="156"/>
    <x v="0"/>
    <s v="https://www.zara.com/us/en/zippered-wool-blend-overshirt-p05854401.html"/>
    <s v="312978838-611-2"/>
    <s v="ZIPPERED WOOL BLEND OVERSHIRT"/>
    <s v="Relaxed fit overshirt made of wool blend fabric. Lapel collar and long sleeves with buttoned cuffs. Welt pockets at hip. Front zip closure."/>
    <x v="1"/>
    <s v="USD"/>
    <d v="2024-02-19T08:51:39"/>
    <s v="jackets"/>
    <x v="0"/>
    <m/>
    <m/>
    <s v="DOLLAR"/>
    <s v="jacket"/>
    <n v="14806.109999999982"/>
    <n v="14806.109999999982"/>
    <s v="MAN"/>
    <s v="t-shirts"/>
    <s v="MAN"/>
    <s v="MAN"/>
    <n v="14806.109999999982"/>
  </r>
  <r>
    <x v="167"/>
    <x v="0"/>
    <x v="0"/>
    <x v="0"/>
    <x v="1"/>
    <x v="157"/>
    <x v="0"/>
    <s v="https://www.zara.com/us/en/suede-sneakers-p12216320.html"/>
    <s v="311307495-131-39"/>
    <s v="SUEDE SNEAKERS"/>
    <s v="Sneakers. Made of leather with a suede finish. Contrast lacing with seven pairs of eyelets. Welt around upper. Chunky sole."/>
    <x v="6"/>
    <s v="USD"/>
    <d v="2024-02-19T09:00:52"/>
    <s v="shoes"/>
    <x v="0"/>
    <m/>
    <m/>
    <s v="DOLLAR"/>
    <s v="shoe"/>
    <n v="2011.0800000000013"/>
    <n v="2011.0800000000013"/>
    <s v="MAN"/>
    <s v="jeans"/>
    <s v="MAN"/>
    <s v="MAN"/>
    <n v="2011.0800000000013"/>
  </r>
  <r>
    <x v="168"/>
    <x v="0"/>
    <x v="1"/>
    <x v="0"/>
    <x v="1"/>
    <x v="158"/>
    <x v="0"/>
    <s v="https://www.zara.com/us/en/suede-retro-sneakers-p12309320.html"/>
    <s v="311292644-400-39"/>
    <s v="SUEDE RETRO SNEAKERS"/>
    <s v="Sneakers. Made of leather. Combination of finishes and materials at upper. Lacing with seven pairs of eyelets. Chunky sole in a combination of colors. Retro-inspired design."/>
    <x v="9"/>
    <s v="USD"/>
    <d v="2024-02-19T09:00:40"/>
    <s v="shoes"/>
    <x v="0"/>
    <m/>
    <m/>
    <s v="DOLLAR"/>
    <s v="shoe"/>
    <n v="2011.0800000000013"/>
    <n v="2011.0800000000013"/>
    <s v="WOMAN"/>
    <s v="sweaters"/>
    <s v="WOMAN"/>
    <s v="WOMAN"/>
    <n v="2011.0800000000013"/>
  </r>
  <r>
    <x v="169"/>
    <x v="2"/>
    <x v="1"/>
    <x v="0"/>
    <x v="0"/>
    <x v="159"/>
    <x v="0"/>
    <s v="https://www.zara.com/us/en/topstitch-sneakers-p12240320.html"/>
    <s v="311287075-120-39"/>
    <s v="TOPSTITCH SNEAKERS"/>
    <s v="Sneakers. Pieces and topstitching at upper. Lacing with six pairs of eyelets. Contrasting slightly chunky soles."/>
    <x v="12"/>
    <s v="USD"/>
    <d v="2024-02-19T09:00:34"/>
    <s v="shoes"/>
    <x v="0"/>
    <m/>
    <m/>
    <s v="DOLLAR"/>
    <s v="shoe"/>
    <n v="2011.0800000000013"/>
    <n v="2011.0800000000013"/>
    <s v="MAN"/>
    <s v="shoes"/>
    <s v="MAN"/>
    <s v="MAN"/>
    <n v="2011.0800000000013"/>
  </r>
  <r>
    <x v="170"/>
    <x v="1"/>
    <x v="1"/>
    <x v="0"/>
    <x v="1"/>
    <x v="160"/>
    <x v="0"/>
    <s v="https://www.zara.com/us/en/technical-jacket-with-pockets-p03286501.html"/>
    <s v="321143723-401-2"/>
    <s v="TECHNICAL JACKET WITH POCKETS"/>
    <s v="Jacket made of technical fabric with quilted interior. Lapel collar and long sleeves. Flap patch pockets at hip. Rib trim. Front button closure."/>
    <x v="1"/>
    <s v="USD"/>
    <d v="2024-02-19T08:50:33"/>
    <s v="jackets"/>
    <x v="0"/>
    <m/>
    <m/>
    <s v="DOLLAR"/>
    <s v="jacket"/>
    <n v="14806.109999999982"/>
    <n v="14806.109999999982"/>
    <s v="MAN"/>
    <s v="t-shirts"/>
    <s v="MAN"/>
    <s v="MAN"/>
    <n v="14806.109999999982"/>
  </r>
  <r>
    <x v="171"/>
    <x v="1"/>
    <x v="1"/>
    <x v="0"/>
    <x v="0"/>
    <x v="161"/>
    <x v="0"/>
    <s v="https://www.zara.com/us/en/overshirt-p00706623.html"/>
    <s v="313027279-800-2"/>
    <s v="OVERSHIRT"/>
    <s v="Relaxed fit overshirt made of stretch fabric. Lapel collar and long sleeves with buttoned cuffs. Chest patch pocket. Front button closure."/>
    <x v="9"/>
    <s v="USD"/>
    <d v="2024-02-19T08:51:38"/>
    <s v="jackets"/>
    <x v="0"/>
    <m/>
    <m/>
    <s v="DOLLAR"/>
    <s v="jacket"/>
    <n v="14806.109999999982"/>
    <n v="14806.109999999982"/>
    <s v="WOMAN"/>
    <s v="sweaters"/>
    <s v="WOMAN"/>
    <s v="WOMAN"/>
    <n v="14806.109999999982"/>
  </r>
  <r>
    <x v="172"/>
    <x v="2"/>
    <x v="0"/>
    <x v="0"/>
    <x v="0"/>
    <x v="161"/>
    <x v="0"/>
    <s v="https://www.zara.com/us/en/flared-fit-cargo-jeans-p06688411.html"/>
    <s v="311287318-400-38"/>
    <s v="FLARED FIT CARGO JEANS"/>
    <s v="Flared jeans. Patch pockets with flaps at hip. Patch pocket appliqués at legs. Washed effect. Adjustable hem with zippers. Front zipper and crossover button closure."/>
    <x v="1"/>
    <s v="USD"/>
    <d v="2024-02-19T08:54:40"/>
    <s v="jeans"/>
    <x v="0"/>
    <m/>
    <m/>
    <s v="DOLLAR"/>
    <s v="jeans"/>
    <n v="511.39"/>
    <n v="511.39"/>
    <s v="MAN"/>
    <s v="t-shirts"/>
    <s v="MAN"/>
    <s v="MAN"/>
    <n v="511.39"/>
  </r>
  <r>
    <x v="173"/>
    <x v="2"/>
    <x v="0"/>
    <x v="0"/>
    <x v="0"/>
    <x v="161"/>
    <x v="0"/>
    <s v="https://www.zara.com/us/en/houndstooth-suit-jacket-p04285498.html"/>
    <s v="311292244-800-39"/>
    <s v="CROPPED BOMBER JACKET LIMITED EDITION"/>
    <s v="Varsity jacket with padded interior. Rib elastic collar and long sleeves in contrast faux leather. Double welt pockets at hip and interior pocket. Contrasting patch appliqués at front and back. Rib trim. Front snap button closure."/>
    <x v="25"/>
    <s v="USD"/>
    <d v="2024-02-19T09:10:46"/>
    <s v="jackets"/>
    <x v="0"/>
    <m/>
    <m/>
    <s v="DOLLAR"/>
    <s v="jacket"/>
    <n v="14806.109999999982"/>
    <n v="14806.109999999982"/>
    <s v="MAN"/>
    <s v="jackets"/>
    <s v="MAN"/>
    <s v="MAN"/>
    <n v="14806.109999999982"/>
  </r>
  <r>
    <x v="174"/>
    <x v="1"/>
    <x v="0"/>
    <x v="0"/>
    <x v="1"/>
    <x v="162"/>
    <x v="0"/>
    <s v="https://www.zara.com/us/en/hooded-denim-jacket-p01538428.html"/>
    <s v="322547863-811-2"/>
    <s v="HOODED DENIM JACKET"/>
    <s v="Boxy fit jacket. High collar with adjustable hood and long sleeves with buttoned cuffs. Patch pockets with flaps at chest. Front straps with multi-functional ring. Washed effect. Front hidden zip and snap button closure."/>
    <x v="2"/>
    <s v="USD"/>
    <d v="2024-02-19T08:51:17"/>
    <s v="jackets"/>
    <x v="0"/>
    <m/>
    <m/>
    <s v="DOLLAR"/>
    <s v="jacket"/>
    <n v="14806.109999999982"/>
    <n v="14806.109999999982"/>
    <s v="MAN"/>
    <s v="jackets"/>
    <s v="MAN"/>
    <s v="MAN"/>
    <n v="14806.109999999982"/>
  </r>
  <r>
    <x v="175"/>
    <x v="1"/>
    <x v="0"/>
    <x v="0"/>
    <x v="1"/>
    <x v="163"/>
    <x v="0"/>
    <s v="https://www.zara.com/us/en/cable-knit-metallic-sweater-p04369103.html"/>
    <s v="314152967-485-2"/>
    <s v="CABLE KNIT METALLIC SWEATER"/>
    <s v="Round neck long sleeve sweater. Metallic fabric detail and frayed trim."/>
    <x v="21"/>
    <s v="USD"/>
    <d v="2024-02-19T09:10:35"/>
    <s v="sweaters"/>
    <x v="1"/>
    <m/>
    <m/>
    <s v="DOLLAR"/>
    <s v="sweaters"/>
    <n v="2249.3700000000013"/>
    <n v="2249.3700000000013"/>
    <s v="MAN"/>
    <s v="jackets"/>
    <s v="MAN"/>
    <s v="MAN"/>
    <n v="2249.3700000000013"/>
  </r>
  <r>
    <x v="176"/>
    <x v="1"/>
    <x v="1"/>
    <x v="0"/>
    <x v="0"/>
    <x v="164"/>
    <x v="0"/>
    <s v="https://www.zara.com/us/en/pocket-overshirt-p05070314.html"/>
    <s v="323646471-802-2"/>
    <s v="POCKET OVERSHIRT"/>
    <s v="Overshirt with lapel collar and long sleeves with buttoned cuffs. Chest patch pocket. Front button closure."/>
    <x v="9"/>
    <s v="USD"/>
    <d v="2024-02-19T08:51:39"/>
    <s v="jackets"/>
    <x v="0"/>
    <m/>
    <m/>
    <s v="DOLLAR"/>
    <s v="jacket"/>
    <n v="14806.109999999982"/>
    <n v="14806.109999999982"/>
    <s v="WOMAN"/>
    <s v="sweaters"/>
    <s v="WOMAN"/>
    <s v="WOMAN"/>
    <n v="14806.109999999982"/>
  </r>
  <r>
    <x v="177"/>
    <x v="1"/>
    <x v="1"/>
    <x v="0"/>
    <x v="1"/>
    <x v="165"/>
    <x v="0"/>
    <s v="https://www.zara.com/us/en/baggy-fit-jeans-p06688486.html"/>
    <s v="315738965-802-34"/>
    <s v="BAGGY FIT JEANS"/>
    <s v="Baggy fit jeans. Five pockets. Washed effect. Front zip and button closure."/>
    <x v="6"/>
    <s v="USD"/>
    <d v="2024-02-19T08:54:39"/>
    <s v="jeans"/>
    <x v="0"/>
    <m/>
    <m/>
    <s v="DOLLAR"/>
    <s v="jeans"/>
    <n v="511.39"/>
    <n v="511.39"/>
    <s v="MAN"/>
    <s v="jeans"/>
    <s v="MAN"/>
    <s v="MAN"/>
    <n v="511.39"/>
  </r>
  <r>
    <x v="178"/>
    <x v="0"/>
    <x v="1"/>
    <x v="0"/>
    <x v="0"/>
    <x v="166"/>
    <x v="0"/>
    <s v="https://www.zara.com/us/en/zippered-jacket-p04087418.html"/>
    <s v="319205114-807-2"/>
    <s v="ZIPPERED JACKET"/>
    <s v="Lapel collar jacket with long sleeves. Front pouch pockets. Front zip closure."/>
    <x v="9"/>
    <s v="USD"/>
    <d v="2024-02-19T08:50:47"/>
    <s v="jackets"/>
    <x v="0"/>
    <m/>
    <m/>
    <s v="DOLLAR"/>
    <s v="jacket"/>
    <n v="14806.109999999982"/>
    <n v="14806.109999999982"/>
    <s v="WOMAN"/>
    <s v="sweaters"/>
    <s v="WOMAN"/>
    <s v="WOMAN"/>
    <n v="14806.109999999982"/>
  </r>
  <r>
    <x v="179"/>
    <x v="0"/>
    <x v="0"/>
    <x v="0"/>
    <x v="1"/>
    <x v="167"/>
    <x v="0"/>
    <s v="https://www.zara.com/us/en/waxed-effect-plaid-jacket-p04272302.html"/>
    <s v="320600266-745-2"/>
    <s v="WAXED EFFECT PLAID JACKET"/>
    <s v="Cropped jacket made of cotton with waxed finish. Lapel collar and long adjustable cuffed sleeves. Welt pockets at hip and interior pocket. Adjustable front drawcord hem. Front zip closure."/>
    <x v="13"/>
    <s v="USD"/>
    <d v="2024-02-19T08:51:18"/>
    <s v="jackets"/>
    <x v="0"/>
    <m/>
    <m/>
    <s v="DOLLAR"/>
    <s v="jacket"/>
    <n v="14806.109999999982"/>
    <n v="14806.109999999982"/>
    <s v="MAN"/>
    <s v="jackets"/>
    <s v="MAN"/>
    <s v="MAN"/>
    <n v="14806.109999999982"/>
  </r>
  <r>
    <x v="180"/>
    <x v="0"/>
    <x v="0"/>
    <x v="0"/>
    <x v="0"/>
    <x v="168"/>
    <x v="0"/>
    <s v="https://www.zara.com/us/en/suede-laceless-sneakers-p12221320.html"/>
    <s v="311307610-400-39"/>
    <s v="SUEDE LACELESS SNEAKERS"/>
    <s v="Slip on sneakers. Made of leather with a suede finish. Upper in a combination of pieces. Chunky sole."/>
    <x v="6"/>
    <s v="USD"/>
    <d v="2024-02-19T09:00:30"/>
    <s v="shoes"/>
    <x v="0"/>
    <m/>
    <m/>
    <s v="DOLLAR"/>
    <s v="shoe"/>
    <n v="2011.0800000000013"/>
    <n v="2011.0800000000013"/>
    <s v="MAN"/>
    <s v="jeans"/>
    <s v="MAN"/>
    <s v="MAN"/>
    <n v="2011.0800000000013"/>
  </r>
  <r>
    <x v="181"/>
    <x v="1"/>
    <x v="0"/>
    <x v="0"/>
    <x v="1"/>
    <x v="169"/>
    <x v="0"/>
    <s v="https://www.zara.com/us/en/retro-running-sneakers-p12350320.html"/>
    <s v="311302598-500-39"/>
    <s v="RETRO RUNNING SNEAKERS"/>
    <s v="Running shoes. Upper in a combination of pieces and materials. Lacing with seven pairs of eyelets. Chunky lug soles. Retro-inspired design."/>
    <x v="9"/>
    <s v="USD"/>
    <d v="2024-02-19T09:00:31"/>
    <s v="shoes"/>
    <x v="0"/>
    <m/>
    <m/>
    <s v="DOLLAR"/>
    <s v="shoe"/>
    <n v="2011.0800000000013"/>
    <n v="2011.0800000000013"/>
    <s v="WOMAN"/>
    <s v="sweaters"/>
    <s v="WOMAN"/>
    <s v="WOMAN"/>
    <n v="2011.0800000000013"/>
  </r>
  <r>
    <x v="182"/>
    <x v="0"/>
    <x v="0"/>
    <x v="0"/>
    <x v="1"/>
    <x v="170"/>
    <x v="0"/>
    <s v="https://www.zara.com/us/en/leather-jacket-p05479400.html"/>
    <s v="315529534-705-3"/>
    <s v="LEATHER JACKET"/>
    <s v="Relaxed fit jacket in leather. Spread collar and long sleeves with slit cuffs with button closure. Patch pockets at hip. Back vents. Front button closure."/>
    <x v="22"/>
    <s v="USD"/>
    <d v="2024-02-19T08:50:19"/>
    <s v="jackets"/>
    <x v="0"/>
    <m/>
    <m/>
    <s v="DOLLAR"/>
    <s v="jacket"/>
    <n v="14806.109999999982"/>
    <n v="14806.109999999982"/>
    <s v="MAN"/>
    <s v="jackets"/>
    <s v="MAN"/>
    <s v="MAN"/>
    <n v="14806.109999999982"/>
  </r>
  <r>
    <x v="183"/>
    <x v="1"/>
    <x v="1"/>
    <x v="0"/>
    <x v="0"/>
    <x v="171"/>
    <x v="0"/>
    <s v="https://www.zara.com/us/en/contrast-interior-sweater-p04696400.html"/>
    <s v="315075917-803-2"/>
    <s v="CONTRAST INTERIOR SWEATER"/>
    <s v="Cotton blend sweater. Round neck and long sleeves. Contrast interior. Rib trim."/>
    <x v="9"/>
    <s v="USD"/>
    <d v="2024-02-19T08:54:47"/>
    <s v="sweaters"/>
    <x v="0"/>
    <m/>
    <m/>
    <s v="DOLLAR"/>
    <s v="sweaters"/>
    <n v="2249.3700000000013"/>
    <n v="2249.3700000000013"/>
    <s v="WOMAN"/>
    <s v="sweaters"/>
    <s v="WOMAN"/>
    <s v="WOMAN"/>
    <n v="2249.3700000000013"/>
  </r>
  <r>
    <x v="184"/>
    <x v="2"/>
    <x v="0"/>
    <x v="0"/>
    <x v="1"/>
    <x v="172"/>
    <x v="0"/>
    <s v="https://www.zara.com/us/en/structured-twill-overshirt-p06861430.html"/>
    <s v="327747299-800-2"/>
    <s v="STRUCTURED TWILL OVERSHIRT"/>
    <s v="Regular fit overshirt made of 22% wool fabric. Lapel collar and long sleeves with buttoned cuffs. Patch pocket at chest and side pockets at hip. Side vents at hem. Front button closure."/>
    <x v="11"/>
    <s v="USD"/>
    <d v="2024-02-19T08:51:32"/>
    <s v="jackets"/>
    <x v="0"/>
    <m/>
    <m/>
    <s v="DOLLAR"/>
    <s v="jacket"/>
    <n v="14806.109999999982"/>
    <n v="14806.109999999982"/>
    <s v="MAN"/>
    <s v="jackets"/>
    <s v="MAN"/>
    <s v="MAN"/>
    <n v="14806.109999999982"/>
  </r>
  <r>
    <x v="185"/>
    <x v="0"/>
    <x v="0"/>
    <x v="0"/>
    <x v="0"/>
    <x v="173"/>
    <x v="0"/>
    <s v="https://www.zara.com/us/en/oversized-cropped-jacket-limited-edition-p04304672.html"/>
    <s v="329186122-800-2"/>
    <s v="OVERSIZED CROPPED JACKET LIMITED EDITION"/>
    <s v="Oversized cropped jacket. Notched lapel collar and long sleeves with buttoned cuffs. Flap pockets at waist ad interior pocket. Front button closure."/>
    <x v="18"/>
    <s v="USD"/>
    <d v="2024-02-19T08:50:13"/>
    <s v="jackets"/>
    <x v="0"/>
    <m/>
    <m/>
    <s v="DOLLAR"/>
    <s v="jacket"/>
    <n v="14806.109999999982"/>
    <n v="14806.109999999982"/>
    <s v="MAN"/>
    <s v="jackets"/>
    <s v="MAN"/>
    <s v="MAN"/>
    <n v="14806.109999999982"/>
  </r>
  <r>
    <x v="186"/>
    <x v="0"/>
    <x v="1"/>
    <x v="0"/>
    <x v="0"/>
    <x v="174"/>
    <x v="0"/>
    <s v="https://www.zara.com/us/en/knit-v-neck-sweater-p06771003.html"/>
    <s v="312978838-611-2"/>
    <s v="LEATHER JACKET"/>
    <s v="Boxy fit jacket. Lapel collar and long sleeves with buttoned cuffs. Patch pockets at hip. Washed effect.Asymmetric hem with side vents. Front button closure."/>
    <x v="17"/>
    <s v="USD"/>
    <d v="2024-02-19T09:10:39"/>
    <s v="t-shirts"/>
    <x v="0"/>
    <m/>
    <m/>
    <s v="DOLLAR"/>
    <s v="t-shirts"/>
    <n v="2157.6900000000005"/>
    <n v="2157.6900000000005"/>
    <s v="MAN"/>
    <s v="jackets"/>
    <s v="MAN"/>
    <s v="MAN"/>
    <n v="2157.6900000000005"/>
  </r>
  <r>
    <x v="187"/>
    <x v="0"/>
    <x v="0"/>
    <x v="0"/>
    <x v="0"/>
    <x v="175"/>
    <x v="0"/>
    <s v="https://www.zara.com/us/en/faux-shearling-plaid-jacket-p00993305.html"/>
    <s v="311297724-700-97"/>
    <s v="FAUX SHEARLING PLAID JACKET"/>
    <s v="Jacket made of faux shearling fabric. V-neckline and long sleeves with elastic cuffs. Lined interior with structured mesh fabric. Welt pockets at hip. Adjustable hem with side elastics. Front snap button closure."/>
    <x v="11"/>
    <s v="USD"/>
    <d v="2024-02-19T08:51:00"/>
    <s v="jackets"/>
    <x v="0"/>
    <m/>
    <m/>
    <s v="DOLLAR"/>
    <s v="jacket"/>
    <n v="14806.109999999982"/>
    <n v="14806.109999999982"/>
    <s v="MAN"/>
    <s v="jackets"/>
    <s v="MAN"/>
    <s v="MAN"/>
    <n v="14806.109999999982"/>
  </r>
  <r>
    <x v="188"/>
    <x v="1"/>
    <x v="0"/>
    <x v="0"/>
    <x v="1"/>
    <x v="176"/>
    <x v="0"/>
    <s v="https://www.zara.com/us/en/textured-weave-overshirt-p01608101.html"/>
    <s v="317107014-707-2"/>
    <s v="TEXTURED WEAVE OVERSHIRT"/>
    <s v="Relaxed fit overshirt. Lapel collar and long sleeves with buttoned cuffs. Side hidden in-seam pockets. Front button closure."/>
    <x v="11"/>
    <s v="USD"/>
    <d v="2024-02-19T08:50:39"/>
    <s v="jackets"/>
    <x v="0"/>
    <m/>
    <m/>
    <s v="DOLLAR"/>
    <s v="jacket"/>
    <n v="14806.109999999982"/>
    <n v="14806.109999999982"/>
    <s v="MAN"/>
    <s v="jackets"/>
    <s v="MAN"/>
    <s v="MAN"/>
    <n v="14806.109999999982"/>
  </r>
  <r>
    <x v="189"/>
    <x v="0"/>
    <x v="0"/>
    <x v="0"/>
    <x v="1"/>
    <x v="177"/>
    <x v="0"/>
    <s v="https://www.zara.com/us/en/woven-leather-slides-p12708320.html"/>
    <s v="319205037-800-39"/>
    <s v="WOVEN LEATHER SLIDES"/>
    <s v="Sandals. Made of leather. Three woven wide straps at instep. Chunky sole."/>
    <x v="21"/>
    <s v="USD"/>
    <d v="2024-02-19T09:00:50"/>
    <s v="shoes"/>
    <x v="0"/>
    <m/>
    <m/>
    <s v="DOLLAR"/>
    <s v="shoe"/>
    <n v="2011.0800000000013"/>
    <n v="2011.0800000000013"/>
    <s v="MAN"/>
    <s v="jackets"/>
    <s v="MAN"/>
    <s v="MAN"/>
    <n v="2011.0800000000013"/>
  </r>
  <r>
    <x v="190"/>
    <x v="0"/>
    <x v="0"/>
    <x v="0"/>
    <x v="0"/>
    <x v="178"/>
    <x v="0"/>
    <s v="https://www.zara.com/us/en/oversized-knit-sweater-p09598288.html"/>
    <s v="313890680-450-2"/>
    <s v="OVERSIZED KNIT SWEATER"/>
    <s v="Sweater made with 20% wool and 17% alpaca. Crew neck and long sleeves. Tonal rib trim."/>
    <x v="21"/>
    <s v="USD"/>
    <d v="2024-02-19T09:10:39"/>
    <s v="sweaters"/>
    <x v="1"/>
    <m/>
    <m/>
    <s v="DOLLAR"/>
    <s v="sweaters"/>
    <n v="2249.3700000000013"/>
    <n v="2249.3700000000013"/>
    <s v="MAN"/>
    <s v="jackets"/>
    <s v="MAN"/>
    <s v="MAN"/>
    <n v="2249.3700000000013"/>
  </r>
  <r>
    <x v="191"/>
    <x v="1"/>
    <x v="1"/>
    <x v="0"/>
    <x v="1"/>
    <x v="179"/>
    <x v="0"/>
    <s v="https://www.zara.com/us/en/suede-running-sneakers-p12320320.html"/>
    <s v="316608794-802-39"/>
    <s v="SUEDE RUNNING SNEAKERS"/>
    <s v="Running shoes. Made of suede leather. Upper in a combination of materials and colors. Lacing with six pairs of eyelets. Chunky soles with irregular design."/>
    <x v="6"/>
    <s v="USD"/>
    <d v="2024-02-19T09:00:49"/>
    <s v="shoes"/>
    <x v="0"/>
    <m/>
    <m/>
    <s v="DOLLAR"/>
    <s v="shoe"/>
    <n v="2011.0800000000013"/>
    <n v="2011.0800000000013"/>
    <s v="MAN"/>
    <s v="jeans"/>
    <s v="MAN"/>
    <s v="MAN"/>
    <n v="2011.0800000000013"/>
  </r>
  <r>
    <x v="192"/>
    <x v="0"/>
    <x v="1"/>
    <x v="0"/>
    <x v="1"/>
    <x v="180"/>
    <x v="0"/>
    <s v="https://www.zara.com/us/en/structured-text-t-shirt-p00761434.html"/>
    <s v="319334069-712-2"/>
    <s v="STRUCTURED TEXT T-SHIRT"/>
    <s v="Full cut T-shirt made of mesh textured fabric. Contrast rib V-neckline and short sleeves. Front contrast printed text."/>
    <x v="12"/>
    <s v="USD"/>
    <d v="2024-02-19T08:56:31"/>
    <s v="t-shirts"/>
    <x v="0"/>
    <m/>
    <m/>
    <s v="DOLLAR"/>
    <s v="t-shirts"/>
    <n v="2157.6900000000005"/>
    <n v="2157.6900000000005"/>
    <s v="MAN"/>
    <s v="shoes"/>
    <s v="MAN"/>
    <s v="MAN"/>
    <n v="2157.6900000000005"/>
  </r>
  <r>
    <x v="193"/>
    <x v="0"/>
    <x v="0"/>
    <x v="0"/>
    <x v="0"/>
    <x v="181"/>
    <x v="0"/>
    <s v="https://www.zara.com/us/en/basic-slim-fit-t-shirt-p05584361.html"/>
    <s v="315241755-800-2"/>
    <s v="BASIC SLIM FIT T-SHIRT"/>
    <s v="Slim fit shirt. Round neck and short sleeves."/>
    <x v="25"/>
    <s v="USD"/>
    <d v="2024-02-19T08:56:26"/>
    <s v="t-shirts"/>
    <x v="0"/>
    <m/>
    <m/>
    <s v="DOLLAR"/>
    <s v="t-shirts"/>
    <n v="2157.6900000000005"/>
    <n v="2157.6900000000005"/>
    <s v="MAN"/>
    <s v="jackets"/>
    <s v="MAN"/>
    <s v="MAN"/>
    <n v="2157.6900000000005"/>
  </r>
  <r>
    <x v="194"/>
    <x v="0"/>
    <x v="1"/>
    <x v="0"/>
    <x v="1"/>
    <x v="182"/>
    <x v="0"/>
    <s v="https://www.zara.com/us/en/cropped-textured-jacket-p01538410.html"/>
    <s v="320220949-507-2"/>
    <s v="CROPPED TEXTURED JACKET"/>
    <s v="Jacket made of dense cotton fabric cut on the bias. Lapel collar and long sleeves with buttoned cuffs. Welt pockets at hip and interior pocket. Cropped length. Front zip closure."/>
    <x v="11"/>
    <s v="USD"/>
    <d v="2024-02-19T08:50:32"/>
    <s v="jackets"/>
    <x v="0"/>
    <m/>
    <m/>
    <s v="DOLLAR"/>
    <s v="jacket"/>
    <n v="14806.109999999982"/>
    <n v="14806.109999999982"/>
    <s v="MAN"/>
    <s v="jackets"/>
    <s v="MAN"/>
    <s v="MAN"/>
    <n v="14806.109999999982"/>
  </r>
  <r>
    <x v="195"/>
    <x v="1"/>
    <x v="1"/>
    <x v="0"/>
    <x v="0"/>
    <x v="183"/>
    <x v="0"/>
    <s v="https://www.zara.com/us/en/bomber-jacket-p06318502.html"/>
    <s v="315758723-401-2"/>
    <s v="BOMBER JACKET"/>
    <s v="Varsity jacket. High collar and long sleeves. Welt pockets at hip and interior pocket. Rib trim. Front snap button closure."/>
    <x v="1"/>
    <s v="USD"/>
    <d v="2024-02-19T08:50:27"/>
    <s v="jackets"/>
    <x v="0"/>
    <m/>
    <m/>
    <s v="DOLLAR"/>
    <s v="jacket"/>
    <n v="14806.109999999982"/>
    <n v="14806.109999999982"/>
    <s v="MAN"/>
    <s v="t-shirts"/>
    <s v="MAN"/>
    <s v="MAN"/>
    <n v="14806.109999999982"/>
  </r>
  <r>
    <x v="196"/>
    <x v="1"/>
    <x v="0"/>
    <x v="0"/>
    <x v="0"/>
    <x v="183"/>
    <x v="0"/>
    <s v="https://www.zara.com/us/en/knit-sweater-with-buttons-p08851131.html"/>
    <s v="316727555-700-2"/>
    <s v="FAUX SUEDE BOMBER JACKET"/>
    <s v="Overshirt with lapel collar and long sleeves with buttoned cuffs. Chest patch pocket. Front button closure."/>
    <x v="0"/>
    <s v="USD"/>
    <d v="2024-02-19T09:10:36"/>
    <s v="t-shirts"/>
    <x v="0"/>
    <m/>
    <m/>
    <s v="DOLLAR"/>
    <s v="t-shirts"/>
    <n v="2157.6900000000005"/>
    <n v="2157.6900000000005"/>
    <s v="MAN"/>
    <s v="jackets"/>
    <s v="MAN"/>
    <s v="MAN"/>
    <n v="2157.6900000000005"/>
  </r>
  <r>
    <x v="197"/>
    <x v="0"/>
    <x v="1"/>
    <x v="0"/>
    <x v="0"/>
    <x v="184"/>
    <x v="0"/>
    <s v="https://www.zara.com/us/en/soft-jewel-sweater-p02298153.html"/>
    <s v="320026789-714-2"/>
    <s v="CROPPED LEATHER JACKET"/>
    <s v="Relaxed fit overshirt made of 25% wool fabric. Lapel collar and long sleeves with buttoned cuffs. Patch pocket at chest and side pockets at hip. Front button closure."/>
    <x v="13"/>
    <s v="USD"/>
    <d v="2024-02-19T09:10:34"/>
    <s v="sweaters"/>
    <x v="0"/>
    <m/>
    <m/>
    <s v="DOLLAR"/>
    <s v="sweaters"/>
    <n v="2249.3700000000013"/>
    <n v="2249.3700000000013"/>
    <s v="MAN"/>
    <s v="jackets"/>
    <s v="MAN"/>
    <s v="MAN"/>
    <n v="2249.3700000000013"/>
  </r>
  <r>
    <x v="198"/>
    <x v="0"/>
    <x v="1"/>
    <x v="0"/>
    <x v="0"/>
    <x v="185"/>
    <x v="0"/>
    <s v="https://www.zara.com/us/en/plaid-overshirt-p00794432.html"/>
    <s v="316727555-700-2"/>
    <s v="PLAID OVERSHIRT"/>
    <s v="Regular fit overshirt. Lapel collar and long sleeves with buttoned cuffs. Front zip closure."/>
    <x v="6"/>
    <s v="USD"/>
    <d v="2024-02-19T08:51:36"/>
    <s v="jackets"/>
    <x v="0"/>
    <m/>
    <m/>
    <s v="DOLLAR"/>
    <s v="jacket"/>
    <n v="14806.109999999982"/>
    <n v="14806.109999999982"/>
    <s v="MAN"/>
    <s v="jeans"/>
    <s v="MAN"/>
    <s v="MAN"/>
    <n v="14806.109999999982"/>
  </r>
  <r>
    <x v="199"/>
    <x v="0"/>
    <x v="1"/>
    <x v="0"/>
    <x v="0"/>
    <x v="186"/>
    <x v="0"/>
    <s v="https://www.zara.com/us/en/hooded-knit-cardigan-p02621407.html"/>
    <s v="322929313-802-97"/>
    <s v="HOODED KNIT CARDIGAN"/>
    <s v="Cotton knit jacket. Hooded collar and long sleeves. Rib trim. Front pouch pockets. Rib trim. Front zip closure."/>
    <x v="6"/>
    <s v="USD"/>
    <d v="2024-02-19T08:51:05"/>
    <s v="jackets"/>
    <x v="0"/>
    <m/>
    <m/>
    <s v="DOLLAR"/>
    <s v="jacket"/>
    <n v="14806.109999999982"/>
    <n v="14806.109999999982"/>
    <s v="MAN"/>
    <s v="jeans"/>
    <s v="MAN"/>
    <s v="MAN"/>
    <n v="14806.109999999982"/>
  </r>
  <r>
    <x v="200"/>
    <x v="1"/>
    <x v="0"/>
    <x v="0"/>
    <x v="0"/>
    <x v="187"/>
    <x v="0"/>
    <s v="https://www.zara.com/us/en/striped-knit-sweater-p06427115.html"/>
    <s v="342171615-104-2"/>
    <s v="STRIPED KNIT SWEATER"/>
    <s v="Sweater with high collar and long sleeves. Front zip closure."/>
    <x v="21"/>
    <s v="USD"/>
    <d v="2024-02-19T09:10:34"/>
    <s v="sweaters"/>
    <x v="1"/>
    <m/>
    <m/>
    <s v="DOLLAR"/>
    <s v="sweaters"/>
    <n v="2249.3700000000013"/>
    <n v="2249.3700000000013"/>
    <s v="MAN"/>
    <s v="jackets"/>
    <s v="MAN"/>
    <s v="MAN"/>
    <n v="2249.3700000000013"/>
  </r>
  <r>
    <x v="201"/>
    <x v="2"/>
    <x v="1"/>
    <x v="0"/>
    <x v="1"/>
    <x v="188"/>
    <x v="0"/>
    <s v="https://www.zara.com/us/en/mixed-collar-waxed-jacket-p06861405.html"/>
    <s v="321151893-609-2"/>
    <s v="MIXED COLLAR WAXED JACKET"/>
    <s v="Jacket made of waxed finish fabric with lightly padded interior. Contrast fabric lapel collar. Long sleeves. Patch pockets at hip. Interior pocket. Slightly cropped length. Front hidden zip and button closure."/>
    <x v="4"/>
    <s v="USD"/>
    <d v="2024-02-19T08:50:56"/>
    <s v="jackets"/>
    <x v="0"/>
    <m/>
    <m/>
    <s v="DOLLAR"/>
    <s v="jacket"/>
    <n v="14806.109999999982"/>
    <n v="14806.109999999982"/>
    <s v="MAN"/>
    <s v="jackets"/>
    <s v="MAN"/>
    <s v="MAN"/>
    <n v="14806.109999999982"/>
  </r>
  <r>
    <x v="202"/>
    <x v="0"/>
    <x v="1"/>
    <x v="0"/>
    <x v="0"/>
    <x v="188"/>
    <x v="0"/>
    <s v="https://www.zara.com/us/en/wool-and-cashmere-blend-rib-sweater-p02893054.html"/>
    <s v="316900618-809-2"/>
    <s v="WOOL AND CASHMERE BLEND RIB SWEATER"/>
    <s v="Sweater made with 80% wool and 20% cashmere. Round neck and long sleeves."/>
    <x v="6"/>
    <s v="USD"/>
    <d v="2024-02-19T09:10:36"/>
    <s v="sweaters"/>
    <x v="1"/>
    <m/>
    <m/>
    <s v="DOLLAR"/>
    <s v="sweaters"/>
    <n v="2249.3700000000013"/>
    <n v="2249.3700000000013"/>
    <s v="MAN"/>
    <s v="jeans"/>
    <s v="MAN"/>
    <s v="MAN"/>
    <n v="2249.3700000000013"/>
  </r>
  <r>
    <x v="203"/>
    <x v="2"/>
    <x v="1"/>
    <x v="0"/>
    <x v="0"/>
    <x v="189"/>
    <x v="0"/>
    <s v="https://www.zara.com/us/en/wool-blend-jacket-p05854654.html"/>
    <s v="336821611-706-2"/>
    <s v="WOOL BLEND JACKET"/>
    <s v="Lapel collar jacket with long sleeves with buttoned cuffs. Chest patch pockets and welt pockets at hip. Front button closure."/>
    <x v="4"/>
    <s v="USD"/>
    <d v="2024-02-19T08:50:55"/>
    <s v="jackets"/>
    <x v="0"/>
    <m/>
    <m/>
    <s v="DOLLAR"/>
    <s v="jacket"/>
    <n v="14806.109999999982"/>
    <n v="14806.109999999982"/>
    <s v="MAN"/>
    <s v="jackets"/>
    <s v="MAN"/>
    <s v="MAN"/>
    <n v="14806.109999999982"/>
  </r>
  <r>
    <x v="204"/>
    <x v="0"/>
    <x v="0"/>
    <x v="0"/>
    <x v="0"/>
    <x v="190"/>
    <x v="0"/>
    <s v="https://www.zara.com/us/en/plaid-overshirt-p04054659.html"/>
    <s v="319162032-064-2"/>
    <s v="PLAID OVERSHIRT"/>
    <s v="Relaxed fit overshirt. Lapel collar and long sleeves with buttoned cuffs. Chest patch pockets. Front button closure."/>
    <x v="11"/>
    <s v="USD"/>
    <d v="2024-02-19T08:51:30"/>
    <s v="jackets"/>
    <x v="0"/>
    <m/>
    <m/>
    <s v="DOLLAR"/>
    <s v="jacket"/>
    <n v="14806.109999999982"/>
    <n v="14806.109999999982"/>
    <s v="MAN"/>
    <s v="jackets"/>
    <s v="MAN"/>
    <s v="MAN"/>
    <n v="14806.109999999982"/>
  </r>
  <r>
    <x v="205"/>
    <x v="2"/>
    <x v="1"/>
    <x v="0"/>
    <x v="0"/>
    <x v="191"/>
    <x v="0"/>
    <s v="https://www.zara.com/us/en/hooded-quilted-jacket-p00029501.html"/>
    <s v="311309598-711-2"/>
    <s v="HOODED QUILTED JACKET"/>
    <s v="Puffer jacket with high collar and adjustable hood. Long sleeves with interior rib cuffs. Welt pockets at hip and interior pocket. Adjustable hem with side elastics. Front zip hidden by a snap button flap."/>
    <x v="2"/>
    <s v="USD"/>
    <d v="2024-02-19T08:50:40"/>
    <s v="jackets"/>
    <x v="0"/>
    <m/>
    <m/>
    <s v="DOLLAR"/>
    <s v="jacket"/>
    <n v="14806.109999999982"/>
    <n v="14806.109999999982"/>
    <s v="MAN"/>
    <s v="jackets"/>
    <s v="MAN"/>
    <s v="MAN"/>
    <n v="14806.109999999982"/>
  </r>
  <r>
    <x v="206"/>
    <x v="1"/>
    <x v="0"/>
    <x v="0"/>
    <x v="0"/>
    <x v="192"/>
    <x v="0"/>
    <s v="https://www.zara.com/us/en/hooded-technical-jacket-p08281355.html"/>
    <s v="311287132-251-2"/>
    <s v="HOODED TECHNICAL JACKET"/>
    <s v="Jacket made of technical fabric. High collar with adjustable drawstring hood. Long sleeves with rib cuffs. Chest welt pocket and hip patch pockets. Interior pocket. Adjustable hem with elastics at sides. Front zip hidden by a snap button flap."/>
    <x v="1"/>
    <s v="USD"/>
    <d v="2024-02-19T08:51:07"/>
    <s v="jackets"/>
    <x v="0"/>
    <m/>
    <m/>
    <s v="DOLLAR"/>
    <s v="jacket"/>
    <n v="14806.109999999982"/>
    <n v="14806.109999999982"/>
    <s v="MAN"/>
    <s v="t-shirts"/>
    <s v="MAN"/>
    <s v="MAN"/>
    <n v="14806.109999999982"/>
  </r>
  <r>
    <x v="207"/>
    <x v="2"/>
    <x v="0"/>
    <x v="0"/>
    <x v="1"/>
    <x v="193"/>
    <x v="0"/>
    <s v="https://www.zara.com/us/en/basic-100-wool-sweater-p02893106.html"/>
    <s v="321993245-500-2"/>
    <s v="FAUX LEATHER OVERSIZED JACKET LIMITED EDITION"/>
    <s v="Jacket made of technical fabric with padded interior. Tonal elastic rib high collar. Long sleeves. Welt pockets at hip and interior pocket. Interior elastic finish. Front zip closure."/>
    <x v="13"/>
    <s v="USD"/>
    <d v="2024-02-19T09:10:44"/>
    <s v="jackets"/>
    <x v="0"/>
    <m/>
    <m/>
    <s v="DOLLAR"/>
    <s v="jacket"/>
    <n v="14806.109999999982"/>
    <n v="14806.109999999982"/>
    <s v="MAN"/>
    <s v="jackets"/>
    <s v="MAN"/>
    <s v="MAN"/>
    <n v="14806.109999999982"/>
  </r>
  <r>
    <x v="208"/>
    <x v="1"/>
    <x v="1"/>
    <x v="0"/>
    <x v="1"/>
    <x v="194"/>
    <x v="0"/>
    <s v="https://www.zara.com/us/en/utility-pocket-jacket-p05520451.html"/>
    <s v="311292073-709-2"/>
    <s v="UTILITY POCKET JACKET"/>
    <s v="Cropped jacket. Lapel collar and long sleeves. Front utility pockets with zip closure. Washed effect. Elastic hem. Adjustable hem with side elastics. Front zip closure."/>
    <x v="1"/>
    <s v="USD"/>
    <d v="2024-02-19T08:50:53"/>
    <s v="jackets"/>
    <x v="0"/>
    <m/>
    <m/>
    <s v="DOLLAR"/>
    <s v="jacket"/>
    <n v="14806.109999999982"/>
    <n v="14806.109999999982"/>
    <s v="MAN"/>
    <s v="t-shirts"/>
    <s v="MAN"/>
    <s v="MAN"/>
    <n v="14806.109999999982"/>
  </r>
  <r>
    <x v="209"/>
    <x v="1"/>
    <x v="1"/>
    <x v="0"/>
    <x v="0"/>
    <x v="195"/>
    <x v="0"/>
    <s v="https://www.zara.com/us/en/faux-fur-jewel-sweater-p07901339.html"/>
    <s v="323216360-406-2"/>
    <s v="FAUX LEATHER BOXY FIT JACKET"/>
    <s v="Relaxed fit overshirt made of stretch fabric. Lapel collar and long sleeves with buttoned cuffs. Chest patch pocket. Front button closure."/>
    <x v="13"/>
    <s v="USD"/>
    <d v="2024-02-19T09:10:35"/>
    <s v="t-shirts"/>
    <x v="0"/>
    <m/>
    <m/>
    <s v="DOLLAR"/>
    <s v="t-shirts"/>
    <n v="2157.6900000000005"/>
    <n v="2157.6900000000005"/>
    <s v="MAN"/>
    <s v="jackets"/>
    <s v="MAN"/>
    <s v="MAN"/>
    <n v="2157.6900000000005"/>
  </r>
  <r>
    <x v="210"/>
    <x v="1"/>
    <x v="0"/>
    <x v="0"/>
    <x v="0"/>
    <x v="196"/>
    <x v="0"/>
    <s v="https://www.zara.com/us/en/contrasting-collar-jacket-p01538369.html"/>
    <s v="312372582-526-2"/>
    <s v="CONTRASTING COLLAR JACKET"/>
    <s v="Jacket with lightly padded interior. Contrasting lapel collar. Long sleeves with buttoned cuffs. Washed effect. Double welt pockets at chest and hip. Front zip closure."/>
    <x v="3"/>
    <s v="USD"/>
    <d v="2024-02-19T08:50:31"/>
    <s v="jackets"/>
    <x v="0"/>
    <m/>
    <m/>
    <s v="DOLLAR"/>
    <s v="jacket"/>
    <n v="14806.109999999982"/>
    <n v="14806.109999999982"/>
    <s v="MAN"/>
    <s v="jackets"/>
    <s v="MAN"/>
    <s v="MAN"/>
    <n v="14806.109999999982"/>
  </r>
  <r>
    <x v="211"/>
    <x v="0"/>
    <x v="0"/>
    <x v="0"/>
    <x v="1"/>
    <x v="197"/>
    <x v="0"/>
    <s v="https://www.zara.com/us/en/abstract-print-t-shirt-p06224403.html"/>
    <s v="311307261-712-2"/>
    <s v="ABSTRACT PRINT T-SHIRT"/>
    <s v="Full cut T-shirt with crew neck and short sleeves. Contrasting front and back prints. Washed effect."/>
    <x v="10"/>
    <s v="USD"/>
    <d v="2024-02-19T08:56:32"/>
    <s v="t-shirts"/>
    <x v="0"/>
    <m/>
    <m/>
    <s v="DOLLAR"/>
    <s v="t-shirts"/>
    <n v="2157.6900000000005"/>
    <n v="2157.6900000000005"/>
    <s v="MAN"/>
    <s v="jackets"/>
    <s v="MAN"/>
    <s v="MAN"/>
    <n v="2157.6900000000005"/>
  </r>
  <r>
    <x v="212"/>
    <x v="0"/>
    <x v="1"/>
    <x v="0"/>
    <x v="0"/>
    <x v="198"/>
    <x v="0"/>
    <s v="https://www.zara.com/us/en/alpaca-and-wool-blend-tie-dye-knit-sweater-p02142220.html"/>
    <s v="313890645-330-2"/>
    <s v="ALPACA AND WOOL BLEND TIE DYE KNIT SWEATER"/>
    <s v="Sweater made with 31% wool and 28% alpaca. Round neck and long sleeves."/>
    <x v="21"/>
    <s v="USD"/>
    <d v="2024-02-19T09:10:36"/>
    <s v="sweaters"/>
    <x v="1"/>
    <m/>
    <m/>
    <s v="DOLLAR"/>
    <s v="sweaters"/>
    <n v="2249.3700000000013"/>
    <n v="2249.3700000000013"/>
    <s v="MAN"/>
    <s v="jackets"/>
    <s v="MAN"/>
    <s v="MAN"/>
    <n v="2249.3700000000013"/>
  </r>
  <r>
    <x v="213"/>
    <x v="0"/>
    <x v="0"/>
    <x v="0"/>
    <x v="0"/>
    <x v="198"/>
    <x v="0"/>
    <s v="https://www.zara.com/us/en/alpaca-blend-open-knit-sweater-p05755132.html"/>
    <s v="322612356-505-2"/>
    <s v="HERRINGBONE TEXTURED JACKET"/>
    <s v="RETRO SNEAKERS"/>
    <x v="11"/>
    <s v="USD"/>
    <d v="2024-02-19T09:10:32"/>
    <s v="shoes"/>
    <x v="0"/>
    <m/>
    <m/>
    <s v="DOLLAR"/>
    <s v="shoe"/>
    <n v="2011.0800000000013"/>
    <n v="2011.0800000000013"/>
    <s v="MAN"/>
    <s v="jackets"/>
    <s v="MAN"/>
    <s v="MAN"/>
    <n v="2011.0800000000013"/>
  </r>
  <r>
    <x v="214"/>
    <x v="2"/>
    <x v="0"/>
    <x v="0"/>
    <x v="0"/>
    <x v="199"/>
    <x v="0"/>
    <s v="https://www.zara.com/us/en/adherent-stripes-sneakers-p12269320.html"/>
    <s v="311282212-800-39"/>
    <s v="ADHERENT STRIPES SNEAKERS"/>
    <s v="Sneakers. Monochromatic. Upper in a combination of pieces. Closure with three adhesive straps. Slightly chunky sole."/>
    <x v="12"/>
    <s v="USD"/>
    <d v="2024-02-19T09:00:47"/>
    <s v="shoes"/>
    <x v="0"/>
    <m/>
    <m/>
    <s v="DOLLAR"/>
    <s v="shoe"/>
    <n v="2011.0800000000013"/>
    <n v="2011.0800000000013"/>
    <s v="MAN"/>
    <s v="shoes"/>
    <s v="MAN"/>
    <s v="MAN"/>
    <n v="2011.0800000000013"/>
  </r>
  <r>
    <x v="215"/>
    <x v="1"/>
    <x v="1"/>
    <x v="0"/>
    <x v="1"/>
    <x v="200"/>
    <x v="0"/>
    <s v="https://www.zara.com/us/en/patch-bomber-jacket-p03918330.html"/>
    <s v="311287528-811-2"/>
    <s v="PATCH BOMBER JACKET"/>
    <s v="Varsity jacket made of faux suede fabric. Double welt pockets at hip and interior pocket. Front and back contrasting patch appliqués and embroidery. Rib trim. Front snap button closure."/>
    <x v="11"/>
    <s v="USD"/>
    <d v="2024-02-19T08:50:21"/>
    <s v="jackets"/>
    <x v="0"/>
    <m/>
    <m/>
    <s v="DOLLAR"/>
    <s v="jacket"/>
    <n v="14806.109999999982"/>
    <n v="14806.109999999982"/>
    <s v="MAN"/>
    <s v="jackets"/>
    <s v="MAN"/>
    <s v="MAN"/>
    <n v="14806.109999999982"/>
  </r>
  <r>
    <x v="216"/>
    <x v="2"/>
    <x v="0"/>
    <x v="0"/>
    <x v="0"/>
    <x v="201"/>
    <x v="0"/>
    <s v="https://www.zara.com/us/en/faux-leather-puffer-jacket-p08281420.html"/>
    <s v="278112470-800-2"/>
    <s v="FAUX LEATHER PUFFER JACKET"/>
    <s v="Faux leather puffer jacket. High collar and long sleeves with ribbed interior cuffs. Welt pockets at hip. Interior pocket. Adjustable hem with side elastics. Front zip closure."/>
    <x v="26"/>
    <s v="USD"/>
    <d v="2024-02-19T08:50:10"/>
    <s v="jackets"/>
    <x v="0"/>
    <m/>
    <m/>
    <s v="DOLLAR"/>
    <s v="jacket"/>
    <n v="14806.109999999982"/>
    <n v="14806.109999999982"/>
    <s v="MAN"/>
    <s v="jackets"/>
    <s v="MAN"/>
    <s v="MAN"/>
    <n v="14806.109999999982"/>
  </r>
  <r>
    <x v="217"/>
    <x v="0"/>
    <x v="1"/>
    <x v="0"/>
    <x v="1"/>
    <x v="202"/>
    <x v="0"/>
    <s v="https://www.zara.com/us/en/fleece-overshirt-p01248320.html"/>
    <s v="311292623-712-97"/>
    <s v="FLEECE OVERSHIRT"/>
    <s v="Regular fit overshirt. Lapel collar and long sleeves with buttoned cuffs. Chest patch pockets. Front button closure."/>
    <x v="6"/>
    <s v="USD"/>
    <d v="2024-02-19T08:51:29"/>
    <s v="jackets"/>
    <x v="0"/>
    <m/>
    <m/>
    <s v="DOLLAR"/>
    <s v="jacket"/>
    <n v="14806.109999999982"/>
    <n v="14806.109999999982"/>
    <s v="MAN"/>
    <s v="jeans"/>
    <s v="MAN"/>
    <s v="MAN"/>
    <n v="14806.109999999982"/>
  </r>
  <r>
    <x v="218"/>
    <x v="2"/>
    <x v="1"/>
    <x v="0"/>
    <x v="1"/>
    <x v="203"/>
    <x v="0"/>
    <s v="https://www.zara.com/us/en/chunky-sole-high-top-sneakers-p12104320.html"/>
    <s v="311302515-800-39"/>
    <s v="CHUNKY SOLE HIGH TOP SNEAKERS"/>
    <s v="High top sneakers. Lacing with nine pairs of eyelets. Contrasting foxing around the upper. Chunky rubberized soles."/>
    <x v="6"/>
    <s v="USD"/>
    <d v="2024-02-19T09:00:48"/>
    <s v="shoes"/>
    <x v="0"/>
    <m/>
    <m/>
    <s v="DOLLAR"/>
    <s v="shoe"/>
    <n v="2011.0800000000013"/>
    <n v="2011.0800000000013"/>
    <s v="MAN"/>
    <s v="jeans"/>
    <s v="MAN"/>
    <s v="MAN"/>
    <n v="2011.0800000000013"/>
  </r>
  <r>
    <x v="219"/>
    <x v="1"/>
    <x v="0"/>
    <x v="0"/>
    <x v="1"/>
    <x v="204"/>
    <x v="0"/>
    <s v="https://www.zara.com/us/en/printed-cropped-fit-shirt-limited-edition-p06224490.html"/>
    <s v="328232452-898-2"/>
    <s v="PRINTED CROPPED FIT SHIRT LIMITED EDITION"/>
    <s v="Cropped shirt. Round neckline. Contrasting front print. Washed effect. Irregular trim."/>
    <x v="10"/>
    <s v="USD"/>
    <d v="2024-02-19T08:56:29"/>
    <s v="t-shirts"/>
    <x v="0"/>
    <m/>
    <m/>
    <s v="DOLLAR"/>
    <s v="t-shirts"/>
    <n v="2157.6900000000005"/>
    <n v="2157.6900000000005"/>
    <s v="MAN"/>
    <s v="jackets"/>
    <s v="MAN"/>
    <s v="MAN"/>
    <n v="2157.6900000000005"/>
  </r>
  <r>
    <x v="220"/>
    <x v="1"/>
    <x v="1"/>
    <x v="0"/>
    <x v="1"/>
    <x v="205"/>
    <x v="0"/>
    <s v="https://www.zara.com/us/en/ribbed-knit-t-shirt-p04805409.html"/>
    <s v="320111404-428-2"/>
    <s v="RIBBED KNIT T-SHIRT"/>
    <s v="Cropped fit knit shirt. Round neck and long sleeves. Washed effect."/>
    <x v="12"/>
    <s v="USD"/>
    <d v="2024-02-19T08:56:33"/>
    <s v="t-shirts"/>
    <x v="0"/>
    <m/>
    <m/>
    <s v="DOLLAR"/>
    <s v="t-shirts"/>
    <n v="2157.6900000000005"/>
    <n v="2157.6900000000005"/>
    <s v="MAN"/>
    <s v="shoes"/>
    <s v="MAN"/>
    <s v="MAN"/>
    <n v="2157.6900000000005"/>
  </r>
  <r>
    <x v="221"/>
    <x v="2"/>
    <x v="1"/>
    <x v="0"/>
    <x v="1"/>
    <x v="206"/>
    <x v="0"/>
    <s v="https://www.zara.com/us/en/metal-bead-knit-sweater-p03920018.html"/>
    <s v="323218942-800-2"/>
    <s v="METAL BEAD KNIT SWEATER"/>
    <s v="Round neck long sleeve sweater. Side slit at hem with metal bead appliqués."/>
    <x v="21"/>
    <s v="USD"/>
    <d v="2024-02-19T09:10:42"/>
    <s v="sweaters"/>
    <x v="1"/>
    <m/>
    <m/>
    <s v="DOLLAR"/>
    <s v="sweaters"/>
    <n v="2249.3700000000013"/>
    <n v="2249.3700000000013"/>
    <s v="MAN"/>
    <s v="jackets"/>
    <s v="MAN"/>
    <s v="MAN"/>
    <n v="2249.3700000000013"/>
  </r>
  <r>
    <x v="222"/>
    <x v="1"/>
    <x v="0"/>
    <x v="0"/>
    <x v="0"/>
    <x v="207"/>
    <x v="0"/>
    <s v="https://www.zara.com/us/en/suede-high-tops-p12120320.html"/>
    <s v="311297328-800-39"/>
    <s v="SUEDE HIGH-TOPS"/>
    <s v="High top sneakers. Upper in a combination of pieces and materials. Lacing with seven pairs of eyelets. Chunky tonal sole."/>
    <x v="9"/>
    <s v="USD"/>
    <d v="2024-02-19T09:00:32"/>
    <s v="shoes"/>
    <x v="0"/>
    <m/>
    <m/>
    <s v="DOLLAR"/>
    <s v="shoe"/>
    <n v="2011.0800000000013"/>
    <n v="2011.0800000000013"/>
    <s v="WOMAN"/>
    <s v="sweaters"/>
    <s v="WOMAN"/>
    <s v="WOMAN"/>
    <n v="2011.0800000000013"/>
  </r>
  <r>
    <x v="223"/>
    <x v="0"/>
    <x v="0"/>
    <x v="0"/>
    <x v="1"/>
    <x v="208"/>
    <x v="0"/>
    <s v="https://www.zara.com/us/en/striped-jacquard-t-shirt-p05372400.html"/>
    <s v="322909502-819-2"/>
    <s v="STRIPED JACQUARD T-SHIRT"/>
    <s v="Relaxed fit T-shirt with round neck and short sleeves."/>
    <x v="10"/>
    <s v="USD"/>
    <d v="2024-02-19T08:56:35"/>
    <s v="t-shirts"/>
    <x v="0"/>
    <m/>
    <m/>
    <s v="DOLLAR"/>
    <s v="t-shirts"/>
    <n v="2157.6900000000005"/>
    <n v="2157.6900000000005"/>
    <s v="MAN"/>
    <s v="jackets"/>
    <s v="MAN"/>
    <s v="MAN"/>
    <n v="2157.6900000000005"/>
  </r>
  <r>
    <x v="224"/>
    <x v="0"/>
    <x v="1"/>
    <x v="0"/>
    <x v="0"/>
    <x v="209"/>
    <x v="0"/>
    <s v="https://www.zara.com/us/en/striped-textured-overshirt-p04179056.html"/>
    <s v="324027512-064-2"/>
    <s v="STRIPED TEXTURED OVERSHIRT"/>
    <s v="Relaxed fit overshirt. Lapel collar and long sleeves with buttoned cuffs. Patch pockets at hip. Front button closure."/>
    <x v="6"/>
    <s v="USD"/>
    <d v="2024-02-19T08:51:29"/>
    <s v="jackets"/>
    <x v="0"/>
    <m/>
    <m/>
    <s v="DOLLAR"/>
    <s v="jacket"/>
    <n v="14806.109999999982"/>
    <n v="14806.109999999982"/>
    <s v="MAN"/>
    <s v="jeans"/>
    <s v="MAN"/>
    <s v="MAN"/>
    <n v="14806.109999999982"/>
  </r>
  <r>
    <x v="225"/>
    <x v="1"/>
    <x v="1"/>
    <x v="0"/>
    <x v="1"/>
    <x v="210"/>
    <x v="0"/>
    <s v="https://www.zara.com/us/en/knit-v-neck-sweater-p06771003.html"/>
    <s v="319465261-800-2"/>
    <s v="KNIT V-NECK SWEATER"/>
    <s v="V-neck sweater with long sleeves. Rib trim."/>
    <x v="12"/>
    <s v="USD"/>
    <d v="2024-02-19T09:10:46"/>
    <s v="sweaters"/>
    <x v="1"/>
    <m/>
    <m/>
    <s v="DOLLAR"/>
    <s v="sweaters"/>
    <n v="2249.3700000000013"/>
    <n v="2249.3700000000013"/>
    <s v="MAN"/>
    <s v="shoes"/>
    <s v="MAN"/>
    <s v="MAN"/>
    <n v="2249.3700000000013"/>
  </r>
  <r>
    <x v="226"/>
    <x v="0"/>
    <x v="1"/>
    <x v="0"/>
    <x v="1"/>
    <x v="211"/>
    <x v="0"/>
    <s v="https://www.zara.com/us/en/strap-sandals-p12765320.html"/>
    <s v="315851805-800-39"/>
    <s v="STRAP SANDALS"/>
    <s v="Sandals with two straps. The thin straps hug the instep. Slightly chunky sole."/>
    <x v="12"/>
    <s v="USD"/>
    <d v="2024-02-19T09:00:39"/>
    <s v="shoes"/>
    <x v="0"/>
    <m/>
    <m/>
    <s v="DOLLAR"/>
    <s v="shoe"/>
    <n v="2011.0800000000013"/>
    <n v="2011.0800000000013"/>
    <s v="MAN"/>
    <s v="shoes"/>
    <s v="MAN"/>
    <s v="MAN"/>
    <n v="2011.0800000000013"/>
  </r>
  <r>
    <x v="227"/>
    <x v="2"/>
    <x v="0"/>
    <x v="0"/>
    <x v="1"/>
    <x v="212"/>
    <x v="0"/>
    <s v="https://www.zara.com/us/en/technical-padded-jacket-p06518501.html"/>
    <s v="311307584-518-2"/>
    <s v="TECHNICAL PADDED JACKET"/>
    <s v="Jacket made of technical fabric with padded interior. High collar with foldable interior hood. Long sleeves with interior rib cuffs. Front pockets with hidden zip closure and interior pocket detail. Adjustable hem with side elastics. Front zip hidden by a snap button flap."/>
    <x v="4"/>
    <s v="USD"/>
    <d v="2024-02-19T08:50:56"/>
    <s v="jackets"/>
    <x v="0"/>
    <m/>
    <m/>
    <s v="DOLLAR"/>
    <s v="jacket"/>
    <n v="14806.109999999982"/>
    <n v="14806.109999999982"/>
    <s v="MAN"/>
    <s v="jackets"/>
    <s v="MAN"/>
    <s v="MAN"/>
    <n v="14806.109999999982"/>
  </r>
  <r>
    <x v="228"/>
    <x v="0"/>
    <x v="0"/>
    <x v="0"/>
    <x v="0"/>
    <x v="213"/>
    <x v="0"/>
    <s v="https://www.zara.com/us/en/cotton---linen-blend-jacket-p00706103.html"/>
    <s v="328616906-712-2"/>
    <s v="COTTON - LINEN BLEND JACKET"/>
    <s v="Jacket made of cotton and linen blend fabric. Lapel collar and long sleeves with buttoned cuffs. Patch pocket at chest and side pockets at hip. Elastic hem. Front zip closure."/>
    <x v="1"/>
    <s v="USD"/>
    <d v="2024-02-19T08:50:46"/>
    <s v="jackets"/>
    <x v="0"/>
    <m/>
    <m/>
    <s v="DOLLAR"/>
    <s v="jacket"/>
    <n v="14806.109999999982"/>
    <n v="14806.109999999982"/>
    <s v="MAN"/>
    <s v="t-shirts"/>
    <s v="MAN"/>
    <s v="MAN"/>
    <n v="14806.109999999982"/>
  </r>
  <r>
    <x v="229"/>
    <x v="2"/>
    <x v="0"/>
    <x v="0"/>
    <x v="1"/>
    <x v="214"/>
    <x v="0"/>
    <s v="https://www.zara.com/us/en/overshirt-with-contrasting-topstitching-p06917325.html"/>
    <s v="314937772-710-2"/>
    <s v="OVERSHIRT WITH CONTRASTING TOPSTITCHING"/>
    <s v="Relaxed fit overshirt made with cotton fabric. Lapel collar and long sleeves with buttoned cuffs. Chest patch pocket. Contrasting topstitching all over the garment. Front button closure."/>
    <x v="9"/>
    <s v="USD"/>
    <d v="2024-02-19T08:51:42"/>
    <s v="jackets"/>
    <x v="0"/>
    <m/>
    <m/>
    <s v="DOLLAR"/>
    <s v="jacket"/>
    <n v="14806.109999999982"/>
    <n v="14806.109999999982"/>
    <s v="WOMAN"/>
    <s v="sweaters"/>
    <s v="WOMAN"/>
    <s v="WOMAN"/>
    <n v="14806.109999999982"/>
  </r>
  <r>
    <x v="230"/>
    <x v="1"/>
    <x v="1"/>
    <x v="0"/>
    <x v="1"/>
    <x v="215"/>
    <x v="0"/>
    <s v="https://www.zara.com/us/en/houndstooth-suit-jacket-p04285498.html"/>
    <s v="329706743-401-46"/>
    <s v="HOUNDSTOOTH SUIT JACKET"/>
    <s v="Straight fit blazer. Notched lapel collar and long sleeves with buttoned cuffs. Welt pocket at chest and flap pockets at hip. Interior pocket. Back vents. Front button closure."/>
    <x v="4"/>
    <s v="USD"/>
    <d v="2024-02-19T08:51:06"/>
    <s v="jackets"/>
    <x v="0"/>
    <m/>
    <m/>
    <s v="DOLLAR"/>
    <s v="jacket"/>
    <n v="14806.109999999982"/>
    <n v="14806.109999999982"/>
    <s v="MAN"/>
    <s v="jackets"/>
    <s v="MAN"/>
    <s v="MAN"/>
    <n v="14806.109999999982"/>
  </r>
  <r>
    <x v="231"/>
    <x v="2"/>
    <x v="0"/>
    <x v="0"/>
    <x v="0"/>
    <x v="216"/>
    <x v="0"/>
    <s v="https://www.zara.com/us/en/cropped-leather-jacket-p02521104.html"/>
    <s v="323134418-800-3"/>
    <s v="CROPPED LEATHER JACKET"/>
    <s v="Leather jacket. Cropped length. Lapel collar and long sleeves. Front hidden in-seam pockets. Front zip closure."/>
    <x v="27"/>
    <s v="USD"/>
    <d v="2024-02-19T08:50:14"/>
    <s v="jackets"/>
    <x v="0"/>
    <m/>
    <m/>
    <s v="DOLLAR"/>
    <s v="jacket"/>
    <n v="14806.109999999982"/>
    <n v="14806.109999999982"/>
    <s v="MAN"/>
    <s v="jackets"/>
    <s v="MAN"/>
    <s v="MAN"/>
    <n v="14806.109999999982"/>
  </r>
  <r>
    <x v="232"/>
    <x v="0"/>
    <x v="0"/>
    <x v="0"/>
    <x v="0"/>
    <x v="216"/>
    <x v="0"/>
    <s v="https://www.zara.com/us/en/semi-sheer-knit-shirt-limited-edition-p04805424.html"/>
    <s v="328232445-800-2"/>
    <s v="SEMI-SHEER KNIT SHIRT LIMITED EDITION"/>
    <s v="Slim fit shirt made of wrinkle effect fabric. Round neck and long sleeves."/>
    <x v="12"/>
    <s v="USD"/>
    <d v="2024-02-19T08:56:34"/>
    <s v="t-shirts"/>
    <x v="0"/>
    <m/>
    <m/>
    <s v="DOLLAR"/>
    <s v="t-shirts"/>
    <n v="2157.6900000000005"/>
    <n v="2157.6900000000005"/>
    <s v="MAN"/>
    <s v="shoes"/>
    <s v="MAN"/>
    <s v="MAN"/>
    <n v="2157.6900000000005"/>
  </r>
  <r>
    <x v="233"/>
    <x v="1"/>
    <x v="0"/>
    <x v="0"/>
    <x v="1"/>
    <x v="217"/>
    <x v="0"/>
    <s v="https://www.zara.com/us/en/fleece-bomber-jacket-p08281405.html"/>
    <s v="311292541-802-2"/>
    <s v="FLEECE BOMBER JACKET"/>
    <s v="Jacket made of faux shearling fabric. Rib elastic collar and long sleeves. Welt pockets at hip and interior pocket. Rib trim. Front zip closure."/>
    <x v="1"/>
    <s v="USD"/>
    <d v="2024-02-19T08:50:46"/>
    <s v="jackets"/>
    <x v="0"/>
    <m/>
    <m/>
    <s v="DOLLAR"/>
    <s v="jacket"/>
    <n v="14806.109999999982"/>
    <n v="14806.109999999982"/>
    <s v="MAN"/>
    <s v="t-shirts"/>
    <s v="MAN"/>
    <s v="MAN"/>
    <n v="14806.109999999982"/>
  </r>
  <r>
    <x v="234"/>
    <x v="2"/>
    <x v="0"/>
    <x v="0"/>
    <x v="1"/>
    <x v="218"/>
    <x v="0"/>
    <s v="https://www.zara.com/us/en/faux-suede-patch-jacket-p08281357.html"/>
    <s v="312320664-251-2"/>
    <s v="FAUX SUEDE PATCH JACKET"/>
    <s v="Varsity jacket made of faux suede fabric. Lapel collar and long sleeves. Double welt pockets at hip and interior pocket. Front contrasting patch appliqués and embroidery. Rib trim. Front snap button closure."/>
    <x v="11"/>
    <s v="USD"/>
    <d v="2024-02-19T08:50:36"/>
    <s v="jackets"/>
    <x v="0"/>
    <m/>
    <m/>
    <s v="DOLLAR"/>
    <s v="jacket"/>
    <n v="14806.109999999982"/>
    <n v="14806.109999999982"/>
    <s v="MAN"/>
    <s v="jackets"/>
    <s v="MAN"/>
    <s v="MAN"/>
    <n v="14806.109999999982"/>
  </r>
  <r>
    <x v="235"/>
    <x v="0"/>
    <x v="0"/>
    <x v="0"/>
    <x v="1"/>
    <x v="218"/>
    <x v="0"/>
    <s v="https://www.zara.com/us/en/gathered-waist-knit-sweater-p05536012.html"/>
    <s v="323646471-802-2"/>
    <s v="PADDED DENIM JACKET"/>
    <s v="Slightly cropped denim jacket. Lapel collar and long sleeves with buttoned cuffs. Flap patch pocket at chest and side hip. Washed effect. Front button closure."/>
    <x v="1"/>
    <s v="USD"/>
    <d v="2024-02-19T09:10:39"/>
    <s v="t-shirts"/>
    <x v="0"/>
    <m/>
    <m/>
    <s v="DOLLAR"/>
    <s v="t-shirts"/>
    <n v="2157.6900000000005"/>
    <n v="2157.6900000000005"/>
    <s v="MAN"/>
    <s v="t-shirts"/>
    <s v="MAN"/>
    <s v="MAN"/>
    <n v="2157.6900000000005"/>
  </r>
  <r>
    <x v="236"/>
    <x v="1"/>
    <x v="1"/>
    <x v="0"/>
    <x v="0"/>
    <x v="219"/>
    <x v="0"/>
    <s v="https://www.zara.com/us/en/oversized-bomber-jacket-p08281311.html"/>
    <s v="324149982-982-2"/>
    <s v="OVERSIZED BOMBER JACKET"/>
    <s v="Oversized jacket made of technical fabric. High collar and long sleeves with pocket detail. Welt pockets at hip and interior pocket. Rib trim. Adjustable asymmetric hem with side zippers. Front zip closure."/>
    <x v="11"/>
    <s v="USD"/>
    <d v="2024-02-19T08:50:42"/>
    <s v="jackets"/>
    <x v="0"/>
    <m/>
    <m/>
    <s v="DOLLAR"/>
    <s v="jacket"/>
    <n v="14806.109999999982"/>
    <n v="14806.109999999982"/>
    <s v="MAN"/>
    <s v="jackets"/>
    <s v="MAN"/>
    <s v="MAN"/>
    <n v="14806.109999999982"/>
  </r>
  <r>
    <x v="237"/>
    <x v="1"/>
    <x v="1"/>
    <x v="0"/>
    <x v="1"/>
    <x v="220"/>
    <x v="0"/>
    <s v="https://www.zara.com/us/en/ribbed-knit-t-shirt-p03332431.html"/>
    <s v="317230892-251-3"/>
    <s v="RIBBED KNIT T-SHIRT"/>
    <s v="Cotton knit tank top. Round neck with front button closure. Rib trim."/>
    <x v="21"/>
    <s v="USD"/>
    <d v="2024-02-19T08:56:30"/>
    <s v="t-shirts"/>
    <x v="0"/>
    <m/>
    <m/>
    <s v="DOLLAR"/>
    <s v="t-shirts"/>
    <n v="2157.6900000000005"/>
    <n v="2157.6900000000005"/>
    <s v="MAN"/>
    <s v="jackets"/>
    <s v="MAN"/>
    <s v="MAN"/>
    <n v="2157.6900000000005"/>
  </r>
  <r>
    <x v="238"/>
    <x v="0"/>
    <x v="1"/>
    <x v="0"/>
    <x v="0"/>
    <x v="221"/>
    <x v="0"/>
    <s v="https://www.zara.com/us/en/basic-knit-sweater-p01509115.html"/>
    <s v="281593208-015-2"/>
    <s v="PATCH BOMBER JACKET"/>
    <s v="Vest made of viscose and wool blend fabric. V-neckline. Patch pockets at hip. Front zip closure."/>
    <x v="4"/>
    <s v="USD"/>
    <d v="2024-02-19T09:10:42"/>
    <s v="t-shirts"/>
    <x v="0"/>
    <m/>
    <m/>
    <s v="DOLLAR"/>
    <s v="t-shirts"/>
    <n v="2157.6900000000005"/>
    <n v="2157.6900000000005"/>
    <s v="MAN"/>
    <s v="jackets"/>
    <s v="MAN"/>
    <s v="MAN"/>
    <n v="2157.6900000000005"/>
  </r>
  <r>
    <x v="239"/>
    <x v="1"/>
    <x v="1"/>
    <x v="0"/>
    <x v="1"/>
    <x v="222"/>
    <x v="0"/>
    <s v="https://www.zara.com/us/en/suit-jacket-in-100-linen-p04307443.html"/>
    <s v="322972473-052-46"/>
    <s v="SUIT JACKET IN 100% LINEN"/>
    <s v="Straight fit blazer made of linen. Notched lapel collar and long sleeves with buttoned cuffs. Flap pockets at hip. Interior pocket. Back vents. Front button closure."/>
    <x v="18"/>
    <s v="USD"/>
    <d v="2024-02-19T08:50:17"/>
    <s v="jackets"/>
    <x v="0"/>
    <m/>
    <m/>
    <s v="DOLLAR"/>
    <s v="jacket"/>
    <n v="14806.109999999982"/>
    <n v="14806.109999999982"/>
    <s v="MAN"/>
    <s v="jackets"/>
    <s v="MAN"/>
    <s v="MAN"/>
    <n v="14806.109999999982"/>
  </r>
  <r>
    <x v="240"/>
    <x v="0"/>
    <x v="1"/>
    <x v="0"/>
    <x v="1"/>
    <x v="223"/>
    <x v="0"/>
    <s v="https://www.zara.com/us/en/faux-suede-jacket-p03548689.html"/>
    <s v="311292194-731-2"/>
    <s v="FAUX SUEDE JACKET"/>
    <s v="Lapel collar jacket with long sleeves with buttoned cuffs. Flap pockets at chest and welt pockets at hip. Front button closure."/>
    <x v="11"/>
    <s v="USD"/>
    <d v="2024-02-19T08:50:34"/>
    <s v="jackets"/>
    <x v="0"/>
    <m/>
    <m/>
    <s v="DOLLAR"/>
    <s v="jacket"/>
    <n v="14806.109999999982"/>
    <n v="14806.109999999982"/>
    <s v="MAN"/>
    <s v="jackets"/>
    <s v="MAN"/>
    <s v="MAN"/>
    <n v="14806.109999999982"/>
  </r>
  <r>
    <x v="241"/>
    <x v="0"/>
    <x v="1"/>
    <x v="0"/>
    <x v="0"/>
    <x v="224"/>
    <x v="0"/>
    <s v="https://www.zara.com/us/en/100-feather-fill-puffer-jacket-p04302305.html"/>
    <s v="312372602-800-2"/>
    <s v="100% FEATHER FILL PUFFER JACKET"/>
    <s v="Puffer jacket made of shiny finish technical fabric. Fill is a blend of 80% down and 20% feathers. High collar with adjustable hood and long sleeves with elastic cuffs. Welt pockets at hip and interior pocket. Adjustable hem with side elastics. Front zip closure."/>
    <x v="13"/>
    <s v="USD"/>
    <d v="2024-02-19T08:50:11"/>
    <s v="jackets"/>
    <x v="0"/>
    <m/>
    <m/>
    <s v="DOLLAR"/>
    <s v="jacket"/>
    <n v="14806.109999999982"/>
    <n v="14806.109999999982"/>
    <s v="MAN"/>
    <s v="jackets"/>
    <s v="MAN"/>
    <s v="MAN"/>
    <n v="14806.109999999982"/>
  </r>
  <r>
    <x v="242"/>
    <x v="0"/>
    <x v="1"/>
    <x v="0"/>
    <x v="1"/>
    <x v="225"/>
    <x v="0"/>
    <s v="https://www.zara.com/us/en/tuxedo-jacket-p08896675.html"/>
    <s v="324052738-800-46"/>
    <s v="TUXEDO JACKET"/>
    <s v="Straight fit blazer. Pointed lapel collar and long sleeves with buttoned cuffs. Welt pockets at hip and interior pocket. Central back vent at hem. Front button closure."/>
    <x v="13"/>
    <s v="USD"/>
    <d v="2024-02-19T08:50:07"/>
    <s v="jackets"/>
    <x v="0"/>
    <n v="2989"/>
    <s v="max"/>
    <s v="DOLLAR"/>
    <s v="jacket"/>
    <n v="14806.109999999982"/>
    <n v="14806.109999999982"/>
    <s v="MAN"/>
    <s v="jackets"/>
    <s v="MAN"/>
    <s v="MAN"/>
    <n v="14806.109999999982"/>
  </r>
  <r>
    <x v="243"/>
    <x v="1"/>
    <x v="0"/>
    <x v="0"/>
    <x v="1"/>
    <x v="226"/>
    <x v="0"/>
    <s v="https://www.zara.com/us/en/textured-pocket-jacket-p03918500.html"/>
    <s v="312363708-800-2"/>
    <s v="TEXTURED POCKET JACKET"/>
    <s v="Jacket with lightly padded interior. Lapel collar and long sleeves with buttoned cuffs. Flap pockets at chest and welt pockets at hip. Front button closure."/>
    <x v="11"/>
    <s v="USD"/>
    <d v="2024-02-19T08:50:36"/>
    <s v="jackets"/>
    <x v="0"/>
    <m/>
    <m/>
    <s v="DOLLAR"/>
    <s v="jacket"/>
    <n v="14806.109999999982"/>
    <n v="14806.109999999982"/>
    <s v="MAN"/>
    <s v="jackets"/>
    <s v="MAN"/>
    <s v="MAN"/>
    <n v="14806.109999999982"/>
  </r>
  <r>
    <x v="244"/>
    <x v="2"/>
    <x v="1"/>
    <x v="0"/>
    <x v="0"/>
    <x v="226"/>
    <x v="0"/>
    <s v="https://www.zara.com/us/en/hooded-technical-jacket-p00155502.html"/>
    <s v="312596416-800-2"/>
    <s v="HOODED TECHNICAL JACKET"/>
    <s v="Cropped jacket made of technical fabric. Hooded high collar and long sleeves with adjustable snap button cuffs. Front patch pockets with flaps at hips. Adjustable hem with side elastics. Front zip hidden by a snap button flap."/>
    <x v="1"/>
    <s v="USD"/>
    <d v="2024-02-19T08:51:07"/>
    <s v="jackets"/>
    <x v="0"/>
    <m/>
    <m/>
    <s v="DOLLAR"/>
    <s v="jacket"/>
    <n v="14806.109999999982"/>
    <n v="14806.109999999982"/>
    <s v="MAN"/>
    <s v="t-shirts"/>
    <s v="MAN"/>
    <s v="MAN"/>
    <n v="14806.109999999982"/>
  </r>
  <r>
    <x v="245"/>
    <x v="2"/>
    <x v="0"/>
    <x v="0"/>
    <x v="0"/>
    <x v="227"/>
    <x v="0"/>
    <s v="https://www.zara.com/us/en/mixed-collar-jacket-p03046507.html"/>
    <s v="323212374-510-2"/>
    <s v="MIXED COLLAR JACKET"/>
    <s v="Jacket made of technical fabric with lightly padded interior. Rib high collar. Long sleeves with elastic cuffs. Patch pockets at hip. Front zip closure."/>
    <x v="1"/>
    <s v="USD"/>
    <d v="2024-02-19T08:51:17"/>
    <s v="jackets"/>
    <x v="0"/>
    <m/>
    <m/>
    <s v="DOLLAR"/>
    <s v="jacket"/>
    <n v="14806.109999999982"/>
    <n v="14806.109999999982"/>
    <s v="MAN"/>
    <s v="t-shirts"/>
    <s v="MAN"/>
    <s v="MAN"/>
    <n v="14806.109999999982"/>
  </r>
  <r>
    <x v="246"/>
    <x v="1"/>
    <x v="1"/>
    <x v="0"/>
    <x v="0"/>
    <x v="228"/>
    <x v="0"/>
    <s v="https://www.zara.com/us/en/pleated-wide-fit-jeans-p05862417.html"/>
    <s v="312393140-406-2"/>
    <s v="PLEATED WIDE FIT JEANS"/>
    <s v="Wide fit jeans. Adjustable interior elastic waistband with front pleats. Front pockets and back patch pockets. Washed effect. Front zip and button closure."/>
    <x v="21"/>
    <s v="USD"/>
    <d v="2024-02-19T08:54:41"/>
    <s v="jeans"/>
    <x v="0"/>
    <m/>
    <m/>
    <s v="DOLLAR"/>
    <s v="jeans"/>
    <n v="511.39"/>
    <n v="511.39"/>
    <s v="MAN"/>
    <s v="jackets"/>
    <s v="MAN"/>
    <s v="MAN"/>
    <n v="511.39"/>
  </r>
  <r>
    <x v="247"/>
    <x v="1"/>
    <x v="1"/>
    <x v="0"/>
    <x v="1"/>
    <x v="229"/>
    <x v="0"/>
    <s v="https://www.zara.com/us/en/knit-sweater-with-rips-p00021110.html"/>
    <s v="313890688-330-1"/>
    <s v="KNIT SWEATER WITH RIPS"/>
    <s v="Round neck long sleeve sweater. Openwork detail with rips."/>
    <x v="21"/>
    <s v="USD"/>
    <d v="2024-02-19T09:10:44"/>
    <s v="sweaters"/>
    <x v="1"/>
    <m/>
    <m/>
    <s v="DOLLAR"/>
    <s v="sweaters"/>
    <n v="2249.3700000000013"/>
    <n v="2249.3700000000013"/>
    <s v="MAN"/>
    <s v="jackets"/>
    <s v="MAN"/>
    <s v="MAN"/>
    <n v="2249.3700000000013"/>
  </r>
  <r>
    <x v="248"/>
    <x v="2"/>
    <x v="0"/>
    <x v="0"/>
    <x v="1"/>
    <x v="230"/>
    <x v="0"/>
    <s v="https://www.zara.com/us/en/knit-open-back-pearly-sweater-p04331152.html"/>
    <s v="328207551-500-2"/>
    <s v="KNIT OPEN BACK PEARLY SWEATER"/>
    <s v="High collar sweater with long sleeves. Open back detail and pearl appliqués. Back button closure."/>
    <x v="21"/>
    <s v="USD"/>
    <d v="2024-02-19T09:10:52"/>
    <s v="sweaters"/>
    <x v="1"/>
    <m/>
    <m/>
    <s v="DOLLAR"/>
    <s v="sweaters"/>
    <n v="2249.3700000000013"/>
    <n v="2249.3700000000013"/>
    <s v="MAN"/>
    <s v="jackets"/>
    <s v="MAN"/>
    <s v="MAN"/>
    <n v="2249.3700000000013"/>
  </r>
  <r>
    <x v="249"/>
    <x v="0"/>
    <x v="0"/>
    <x v="0"/>
    <x v="0"/>
    <x v="231"/>
    <x v="0"/>
    <s v="https://www.zara.com/us/en/v-neck-knit-sweater-p03519001.html"/>
    <s v="319473750-809-1"/>
    <s v="V-NECK KNIT SWEATER"/>
    <s v="V-neck sweater with long sleeves. Side vents at hem."/>
    <x v="7"/>
    <s v="USD"/>
    <d v="2024-02-19T09:10:49"/>
    <s v="sweaters"/>
    <x v="1"/>
    <m/>
    <m/>
    <s v="DOLLAR"/>
    <s v="sweaters"/>
    <n v="2249.3700000000013"/>
    <n v="2249.3700000000013"/>
    <s v="WOMAN"/>
    <s v="sweaters"/>
    <s v="WOMAN"/>
    <s v="WOMAN"/>
    <n v="2249.3700000000013"/>
  </r>
  <r>
    <x v="250"/>
    <x v="2"/>
    <x v="1"/>
    <x v="0"/>
    <x v="0"/>
    <x v="232"/>
    <x v="0"/>
    <s v="https://www.zara.com/us/en/high-collar-knit-sweater-p01509118.html"/>
    <s v="287414911-803-2"/>
    <s v="HIGH COLLAR KNIT SWEATER"/>
    <s v="Sweater with high collar and long sleeves. Front pocket. Side vents at hem. Rib trim."/>
    <x v="15"/>
    <s v="USD"/>
    <d v="2024-02-19T09:10:33"/>
    <s v="sweaters"/>
    <x v="1"/>
    <m/>
    <m/>
    <s v="DOLLAR"/>
    <s v="sweaters"/>
    <n v="2249.3700000000013"/>
    <n v="2249.3700000000013"/>
    <s v="WOMAN"/>
    <s v="sweaters"/>
    <s v="WOMAN"/>
    <s v="WOMAN"/>
    <n v="2249.3700000000013"/>
  </r>
  <r>
    <x v="251"/>
    <x v="2"/>
    <x v="1"/>
    <x v="0"/>
    <x v="0"/>
    <x v="233"/>
    <x v="0"/>
    <s v="https://www.zara.com/us/en/abstract-jacquard-sweater-p03284407.html"/>
    <s v="317889153-700-3"/>
    <s v="ABSTRACT JACQUARD SWEATER"/>
    <s v="Full cut cotton knit sweater. Round neck and long sleeves. Rib trim."/>
    <x v="9"/>
    <s v="USD"/>
    <d v="2024-02-19T08:54:47"/>
    <s v="sweaters"/>
    <x v="0"/>
    <m/>
    <m/>
    <s v="DOLLAR"/>
    <s v="sweaters"/>
    <n v="2249.3700000000013"/>
    <n v="2249.3700000000013"/>
    <s v="WOMAN"/>
    <s v="sweaters"/>
    <s v="WOMAN"/>
    <s v="WOMAN"/>
    <n v="2249.370000000001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E8F5274-097B-41FE-AB9E-B15DA63BFEAF}" name="PivotTable4"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25:C28" firstHeaderRow="0" firstDataRow="1" firstDataCol="1"/>
  <pivotFields count="27">
    <pivotField showAll="0"/>
    <pivotField showAll="0"/>
    <pivotField axis="axisRow" showAll="0">
      <items count="3">
        <item x="1"/>
        <item x="0"/>
        <item t="default"/>
      </items>
    </pivotField>
    <pivotField showAll="0"/>
    <pivotField showAll="0"/>
    <pivotField dataField="1" showAll="0"/>
    <pivotField showAll="0">
      <items count="2">
        <item x="0"/>
        <item t="default"/>
      </items>
    </pivotField>
    <pivotField showAll="0"/>
    <pivotField showAll="0"/>
    <pivotField showAll="0"/>
    <pivotField showAll="0"/>
    <pivotField dataField="1" showAll="0"/>
    <pivotField showAll="0"/>
    <pivotField numFmtId="22"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3">
    <i>
      <x/>
    </i>
    <i>
      <x v="1"/>
    </i>
    <i t="grand">
      <x/>
    </i>
  </rowItems>
  <colFields count="1">
    <field x="-2"/>
  </colFields>
  <colItems count="2">
    <i>
      <x/>
    </i>
    <i i="1">
      <x v="1"/>
    </i>
  </colItems>
  <dataFields count="2">
    <dataField name="Sum of price" fld="11" baseField="0" baseItem="0"/>
    <dataField name="Sum of Sales Volume" fld="5" baseField="0" baseItem="0"/>
  </dataFields>
  <chartFormats count="2">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C42E722-AE2C-4E4F-91CD-7FD8EA4B5882}" name="PivotTable3"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sales based on section">
  <location ref="A19:B22" firstHeaderRow="1" firstDataRow="1" firstDataCol="1"/>
  <pivotFields count="27">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numFmtId="22" showAll="0"/>
    <pivotField showAll="0"/>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s>
  <rowFields count="1">
    <field x="15"/>
  </rowFields>
  <rowItems count="3">
    <i>
      <x/>
    </i>
    <i>
      <x v="1"/>
    </i>
    <i t="grand">
      <x/>
    </i>
  </rowItems>
  <colItems count="1">
    <i/>
  </colItems>
  <dataFields count="1">
    <dataField name="Sum of Sales Volume" fld="5" baseField="0" baseItem="0"/>
  </dataFields>
  <chartFormats count="3">
    <chartFormat chart="5" format="4" series="1">
      <pivotArea type="data" outline="0" fieldPosition="0">
        <references count="1">
          <reference field="4294967294" count="1" selected="0">
            <x v="0"/>
          </reference>
        </references>
      </pivotArea>
    </chartFormat>
    <chartFormat chart="5" format="5">
      <pivotArea type="data" outline="0" fieldPosition="0">
        <references count="2">
          <reference field="4294967294" count="1" selected="0">
            <x v="0"/>
          </reference>
          <reference field="15" count="1" selected="0">
            <x v="0"/>
          </reference>
        </references>
      </pivotArea>
    </chartFormat>
    <chartFormat chart="5" format="6">
      <pivotArea type="data" outline="0" fieldPosition="0">
        <references count="2">
          <reference field="4294967294" count="1" selected="0">
            <x v="0"/>
          </reference>
          <reference field="1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DDD1C8F-B975-46E3-922A-21CD5C37DFE8}" name="PivotTable2"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rowHeaderCaption="sales based on promotion">
  <location ref="A11:B15" firstHeaderRow="1" firstDataRow="1" firstDataCol="1"/>
  <pivotFields count="27">
    <pivotField showAll="0"/>
    <pivotField showAll="0"/>
    <pivotField axis="axisRow" showAll="0">
      <items count="3">
        <item x="1"/>
        <item x="0"/>
        <item t="default"/>
      </items>
    </pivotField>
    <pivotField showAll="0"/>
    <pivotField showAll="0">
      <items count="3">
        <item x="1"/>
        <item x="0"/>
        <item t="default"/>
      </items>
    </pivotField>
    <pivotField dataField="1" showAll="0"/>
    <pivotField axis="axisRow" showAll="0">
      <items count="2">
        <item x="0"/>
        <item t="default"/>
      </items>
    </pivotField>
    <pivotField showAll="0"/>
    <pivotField showAll="0"/>
    <pivotField showAll="0"/>
    <pivotField showAll="0"/>
    <pivotField showAll="0"/>
    <pivotField showAll="0"/>
    <pivotField numFmtId="22"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s>
  <rowFields count="2">
    <field x="6"/>
    <field x="2"/>
  </rowFields>
  <rowItems count="4">
    <i>
      <x/>
    </i>
    <i r="1">
      <x/>
    </i>
    <i r="1">
      <x v="1"/>
    </i>
    <i t="grand">
      <x/>
    </i>
  </rowItems>
  <colItems count="1">
    <i/>
  </colItems>
  <dataFields count="1">
    <dataField name="Sum of Sales Volume" fld="5" baseField="6" baseItem="0"/>
  </dataFields>
  <chartFormats count="1">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FE77560-09D1-43A8-8212-93AFA94E23E8}" name="PivotTable1"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rowHeaderCaption="product categroy and sales based on season ">
  <location ref="A3:B7" firstHeaderRow="1" firstDataRow="1" firstDataCol="1"/>
  <pivotFields count="27">
    <pivotField showAll="0">
      <items count="253">
        <item x="87"/>
        <item x="174"/>
        <item x="63"/>
        <item x="55"/>
        <item x="48"/>
        <item x="170"/>
        <item x="92"/>
        <item x="32"/>
        <item x="86"/>
        <item x="155"/>
        <item x="37"/>
        <item x="2"/>
        <item x="97"/>
        <item x="123"/>
        <item x="139"/>
        <item x="35"/>
        <item x="41"/>
        <item x="243"/>
        <item x="228"/>
        <item x="3"/>
        <item x="165"/>
        <item x="29"/>
        <item x="212"/>
        <item x="144"/>
        <item x="145"/>
        <item x="238"/>
        <item x="197"/>
        <item x="146"/>
        <item x="154"/>
        <item x="67"/>
        <item x="69"/>
        <item x="19"/>
        <item x="209"/>
        <item x="237"/>
        <item x="249"/>
        <item x="153"/>
        <item x="225"/>
        <item x="1"/>
        <item x="152"/>
        <item x="103"/>
        <item x="224"/>
        <item x="72"/>
        <item x="76"/>
        <item x="106"/>
        <item x="127"/>
        <item x="180"/>
        <item x="82"/>
        <item x="111"/>
        <item x="190"/>
        <item x="28"/>
        <item x="62"/>
        <item x="93"/>
        <item x="194"/>
        <item x="102"/>
        <item x="51"/>
        <item x="169"/>
        <item x="108"/>
        <item x="128"/>
        <item x="66"/>
        <item x="64"/>
        <item x="122"/>
        <item x="100"/>
        <item x="99"/>
        <item x="95"/>
        <item x="53"/>
        <item x="94"/>
        <item x="74"/>
        <item x="49"/>
        <item x="34"/>
        <item x="107"/>
        <item x="14"/>
        <item x="104"/>
        <item x="171"/>
        <item x="7"/>
        <item x="96"/>
        <item x="109"/>
        <item x="89"/>
        <item x="75"/>
        <item x="175"/>
        <item x="201"/>
        <item x="20"/>
        <item x="164"/>
        <item x="110"/>
        <item x="9"/>
        <item x="250"/>
        <item x="50"/>
        <item x="241"/>
        <item x="18"/>
        <item x="6"/>
        <item x="54"/>
        <item x="23"/>
        <item x="202"/>
        <item x="38"/>
        <item x="185"/>
        <item x="248"/>
        <item x="210"/>
        <item x="120"/>
        <item x="12"/>
        <item x="177"/>
        <item x="119"/>
        <item x="142"/>
        <item x="193"/>
        <item x="44"/>
        <item x="229"/>
        <item x="200"/>
        <item x="132"/>
        <item x="85"/>
        <item x="208"/>
        <item x="167"/>
        <item x="160"/>
        <item x="70"/>
        <item x="191"/>
        <item x="156"/>
        <item x="223"/>
        <item x="187"/>
        <item x="47"/>
        <item x="52"/>
        <item x="83"/>
        <item x="26"/>
        <item x="233"/>
        <item x="186"/>
        <item x="178"/>
        <item x="105"/>
        <item x="60"/>
        <item x="231"/>
        <item x="198"/>
        <item x="88"/>
        <item x="79"/>
        <item x="46"/>
        <item x="16"/>
        <item x="124"/>
        <item x="204"/>
        <item x="151"/>
        <item x="65"/>
        <item x="56"/>
        <item x="30"/>
        <item x="217"/>
        <item x="173"/>
        <item x="219"/>
        <item x="232"/>
        <item x="71"/>
        <item x="221"/>
        <item x="117"/>
        <item x="172"/>
        <item x="58"/>
        <item x="220"/>
        <item x="43"/>
        <item x="207"/>
        <item x="116"/>
        <item x="214"/>
        <item x="182"/>
        <item x="33"/>
        <item x="227"/>
        <item x="149"/>
        <item x="57"/>
        <item x="36"/>
        <item x="150"/>
        <item x="192"/>
        <item x="183"/>
        <item x="27"/>
        <item x="11"/>
        <item x="199"/>
        <item x="10"/>
        <item x="222"/>
        <item x="234"/>
        <item x="168"/>
        <item x="206"/>
        <item x="230"/>
        <item x="161"/>
        <item x="91"/>
        <item x="133"/>
        <item x="240"/>
        <item x="226"/>
        <item x="112"/>
        <item x="8"/>
        <item x="143"/>
        <item x="235"/>
        <item x="39"/>
        <item x="5"/>
        <item x="163"/>
        <item x="147"/>
        <item x="176"/>
        <item x="126"/>
        <item x="114"/>
        <item x="73"/>
        <item x="129"/>
        <item x="251"/>
        <item x="90"/>
        <item x="101"/>
        <item x="166"/>
        <item x="15"/>
        <item x="140"/>
        <item x="137"/>
        <item x="195"/>
        <item x="40"/>
        <item x="81"/>
        <item x="205"/>
        <item x="213"/>
        <item x="42"/>
        <item x="115"/>
        <item x="61"/>
        <item x="22"/>
        <item x="113"/>
        <item x="98"/>
        <item x="159"/>
        <item x="135"/>
        <item x="24"/>
        <item x="162"/>
        <item x="59"/>
        <item x="138"/>
        <item x="25"/>
        <item x="0"/>
        <item x="21"/>
        <item x="211"/>
        <item x="31"/>
        <item x="196"/>
        <item x="125"/>
        <item x="247"/>
        <item x="246"/>
        <item x="181"/>
        <item x="141"/>
        <item x="244"/>
        <item x="45"/>
        <item x="236"/>
        <item x="242"/>
        <item x="13"/>
        <item x="216"/>
        <item x="188"/>
        <item x="158"/>
        <item x="118"/>
        <item x="215"/>
        <item x="4"/>
        <item x="134"/>
        <item x="189"/>
        <item x="121"/>
        <item x="131"/>
        <item x="239"/>
        <item x="130"/>
        <item x="218"/>
        <item x="17"/>
        <item x="68"/>
        <item x="179"/>
        <item x="78"/>
        <item x="77"/>
        <item x="148"/>
        <item x="157"/>
        <item x="245"/>
        <item x="84"/>
        <item x="80"/>
        <item x="136"/>
        <item x="203"/>
        <item x="184"/>
        <item t="default"/>
      </items>
    </pivotField>
    <pivotField showAll="0">
      <items count="4">
        <item x="0"/>
        <item x="1"/>
        <item x="2"/>
        <item t="default"/>
      </items>
    </pivotField>
    <pivotField showAll="0">
      <items count="3">
        <item x="1"/>
        <item x="0"/>
        <item t="default"/>
      </items>
    </pivotField>
    <pivotField axis="axisRow" showAll="0">
      <items count="2">
        <item x="0"/>
        <item t="default"/>
      </items>
    </pivotField>
    <pivotField axis="axisRow" showAll="0">
      <items count="3">
        <item x="1"/>
        <item x="0"/>
        <item t="default"/>
      </items>
    </pivotField>
    <pivotField dataField="1" showAll="0">
      <items count="235">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showAll="0">
      <items count="2">
        <item x="0"/>
        <item t="default"/>
      </items>
    </pivotField>
    <pivotField showAll="0"/>
    <pivotField showAll="0"/>
    <pivotField showAll="0"/>
    <pivotField showAll="0"/>
    <pivotField showAll="0">
      <items count="29">
        <item x="15"/>
        <item x="16"/>
        <item x="8"/>
        <item x="25"/>
        <item x="0"/>
        <item x="14"/>
        <item x="24"/>
        <item x="5"/>
        <item x="19"/>
        <item x="10"/>
        <item x="12"/>
        <item x="7"/>
        <item x="21"/>
        <item x="9"/>
        <item x="6"/>
        <item x="26"/>
        <item x="3"/>
        <item x="11"/>
        <item x="17"/>
        <item x="1"/>
        <item x="2"/>
        <item x="4"/>
        <item x="18"/>
        <item x="13"/>
        <item x="20"/>
        <item x="22"/>
        <item x="23"/>
        <item x="27"/>
        <item t="default"/>
      </items>
    </pivotField>
    <pivotField showAll="0"/>
    <pivotField numFmtId="22"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s>
  <rowFields count="2">
    <field x="3"/>
    <field x="4"/>
  </rowFields>
  <rowItems count="4">
    <i>
      <x/>
    </i>
    <i r="1">
      <x/>
    </i>
    <i r="1">
      <x v="1"/>
    </i>
    <i t="grand">
      <x/>
    </i>
  </rowItems>
  <colItems count="1">
    <i/>
  </colItems>
  <dataFields count="1">
    <dataField name="Sum of Sales Volume" fld="5" baseField="0" baseItem="0"/>
  </dataFields>
  <chartFormats count="1">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D1AD35B3-FF75-4CF5-AB19-6A7C1F7FF103}" autoFormatId="16" applyNumberFormats="0" applyBorderFormats="0" applyFontFormats="0" applyPatternFormats="0" applyAlignmentFormats="0" applyWidthHeightFormats="0">
  <queryTableRefresh nextId="29" unboundColumnsRight="11">
    <queryTableFields count="27">
      <queryTableField id="1" name="Product ID" tableColumnId="1"/>
      <queryTableField id="2" name="Product Position" tableColumnId="2"/>
      <queryTableField id="3" name="Promotion" tableColumnId="3"/>
      <queryTableField id="4" name="Product Category" tableColumnId="4"/>
      <queryTableField id="5" name="Seasonal" tableColumnId="5"/>
      <queryTableField id="6" name="Sales Volume" tableColumnId="6"/>
      <queryTableField id="7" name="brand" tableColumnId="7"/>
      <queryTableField id="8" name="url" tableColumnId="8"/>
      <queryTableField id="9" name="sku" tableColumnId="9"/>
      <queryTableField id="10" name="name" tableColumnId="10"/>
      <queryTableField id="11" name="description" tableColumnId="11"/>
      <queryTableField id="12" name="price" tableColumnId="12"/>
      <queryTableField id="13" name="currency" tableColumnId="13"/>
      <queryTableField id="14" name="scraped_at" tableColumnId="14"/>
      <queryTableField id="15" name="terms" tableColumnId="15"/>
      <queryTableField id="16" name="section" tableColumnId="16"/>
      <queryTableField id="17" dataBound="0" tableColumnId="17"/>
      <queryTableField id="18" dataBound="0" tableColumnId="18"/>
      <queryTableField id="19" dataBound="0" tableColumnId="19"/>
      <queryTableField id="20" dataBound="0" tableColumnId="20"/>
      <queryTableField id="21" dataBound="0" tableColumnId="21"/>
      <queryTableField id="22" dataBound="0" tableColumnId="22"/>
      <queryTableField id="23" dataBound="0" tableColumnId="23"/>
      <queryTableField id="24" dataBound="0" tableColumnId="24"/>
      <queryTableField id="25" dataBound="0" tableColumnId="25"/>
      <queryTableField id="27" dataBound="0" tableColumnId="27"/>
      <queryTableField id="28" dataBound="0" tableColumnId="28"/>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ction" xr10:uid="{92A8DB65-1721-4FFB-9F09-88AF42CAEF71}" sourceName="section">
  <pivotTables>
    <pivotTable tabId="3" name="PivotTable1"/>
    <pivotTable tabId="3" name="PivotTable2"/>
    <pivotTable tabId="3" name="PivotTable3"/>
    <pivotTable tabId="3" name="PivotTable4"/>
  </pivotTables>
  <data>
    <tabular pivotCacheId="732939230">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ction 1" xr10:uid="{B894B289-D9CF-44AD-93AC-0BB106FA781F}" cache="Slicer_section" caption="section"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517881E-8022-439F-A6C4-ABE03668B04E}" name="zara" displayName="zara" ref="A1:AA253" tableType="queryTable" totalsRowShown="0">
  <autoFilter ref="A1:AA253" xr:uid="{F517881E-8022-439F-A6C4-ABE03668B04E}">
    <filterColumn colId="14">
      <filters>
        <filter val="shoes"/>
      </filters>
    </filterColumn>
  </autoFilter>
  <sortState xmlns:xlrd2="http://schemas.microsoft.com/office/spreadsheetml/2017/richdata2" ref="A2:W253">
    <sortCondition descending="1" ref="F2:F253"/>
  </sortState>
  <tableColumns count="27">
    <tableColumn id="1" xr3:uid="{758841FB-19EC-4777-BC5A-22E3D3FA2A83}" uniqueName="1" name="Product ID" queryTableFieldId="1"/>
    <tableColumn id="2" xr3:uid="{366F0307-C047-493D-B491-4A8682EF974B}" uniqueName="2" name="Product Position" queryTableFieldId="2" dataDxfId="24"/>
    <tableColumn id="3" xr3:uid="{5A680EC7-9C1C-48EC-ACFA-BC3FF81E074D}" uniqueName="3" name="Promotion" queryTableFieldId="3" dataDxfId="23"/>
    <tableColumn id="4" xr3:uid="{ABBB5369-C8AD-4AEA-B8C1-1E0BAF901E04}" uniqueName="4" name="Product Category" queryTableFieldId="4" dataDxfId="22"/>
    <tableColumn id="5" xr3:uid="{F9F3C580-A3E0-468A-ACFE-099DE4F3AFAB}" uniqueName="5" name="Seasonal" queryTableFieldId="5" dataDxfId="21"/>
    <tableColumn id="6" xr3:uid="{8E87E3C4-24ED-4A44-B5E7-E1007044514F}" uniqueName="6" name="Sales Volume" queryTableFieldId="6"/>
    <tableColumn id="7" xr3:uid="{A86F3E35-414F-4B31-84A8-3FFA8ECEFB19}" uniqueName="7" name="brand" queryTableFieldId="7" dataDxfId="20"/>
    <tableColumn id="8" xr3:uid="{37945A27-F10E-4ACC-990B-B9E8DC0EEBDF}" uniqueName="8" name="url" queryTableFieldId="8" dataDxfId="19"/>
    <tableColumn id="9" xr3:uid="{4FE34CE3-9D9F-42F5-A56A-CC0B29E8E339}" uniqueName="9" name="sku" queryTableFieldId="9" dataDxfId="18"/>
    <tableColumn id="10" xr3:uid="{16BFC619-C392-44A4-810F-BF6490D32953}" uniqueName="10" name="name" queryTableFieldId="10" dataDxfId="17"/>
    <tableColumn id="11" xr3:uid="{65A9D811-CA7F-4E1D-AE91-715A36751542}" uniqueName="11" name="description" queryTableFieldId="11" dataDxfId="16"/>
    <tableColumn id="12" xr3:uid="{7789D90A-083E-43F4-8190-725C066964AA}" uniqueName="12" name="price" queryTableFieldId="12"/>
    <tableColumn id="13" xr3:uid="{82EC3090-80C3-4100-94C1-4CEC7DE98D18}" uniqueName="13" name="currency" queryTableFieldId="13" dataDxfId="15"/>
    <tableColumn id="14" xr3:uid="{737BAAB9-A380-47B5-A192-606F225354D0}" uniqueName="14" name="scraped_at" queryTableFieldId="14" dataDxfId="14"/>
    <tableColumn id="15" xr3:uid="{053B9088-7969-45DD-B275-076BD83F3F70}" uniqueName="15" name="terms" queryTableFieldId="15" dataDxfId="13"/>
    <tableColumn id="16" xr3:uid="{CF941C99-ED42-47A1-8718-2AAD6FB41FFB}" uniqueName="16" name="section" queryTableFieldId="16" dataDxfId="12"/>
    <tableColumn id="17" xr3:uid="{A55AA5F0-46C1-47B7-B4BC-4F1D70C9E911}" uniqueName="17" name="aggregate functions " queryTableFieldId="17" dataDxfId="10"/>
    <tableColumn id="18" xr3:uid="{C8B01302-DEB4-4913-9270-D55CD63C828D}" uniqueName="18" name="functions " queryTableFieldId="18" dataDxfId="11"/>
    <tableColumn id="19" xr3:uid="{B5FF773E-0AB6-4FF5-98A2-BDA5C2E14364}" uniqueName="19" name="if" queryTableFieldId="19" dataDxfId="9">
      <calculatedColumnFormula>IF(M2="USD","DOLLAR",M2)</calculatedColumnFormula>
    </tableColumn>
    <tableColumn id="20" xr3:uid="{A2DA83E9-5C6D-486A-A8AF-9600BFEFEC49}" uniqueName="20" name="multiple if " queryTableFieldId="20" dataDxfId="8">
      <calculatedColumnFormula>IF(zara[[#This Row],[terms]]="jackets","jacket",IF(O2="shoes","shoe",O2))</calculatedColumnFormula>
    </tableColumn>
    <tableColumn id="21" xr3:uid="{504686F7-A742-4077-ABF4-20CB77DDB90A}" uniqueName="21" name="sum if" queryTableFieldId="21" dataDxfId="7">
      <calculatedColumnFormula>SUMIF(O:O,zara[[#This Row],[terms]],L:L)</calculatedColumnFormula>
    </tableColumn>
    <tableColumn id="22" xr3:uid="{34BA1EF2-1DBF-4530-A6B1-E2145490B92A}" uniqueName="22" name="sumifs" queryTableFieldId="22" dataDxfId="6">
      <calculatedColumnFormula>SUMIFS(L:L,O:O,O2)</calculatedColumnFormula>
    </tableColumn>
    <tableColumn id="23" xr3:uid="{E2F05002-1B61-4B6E-AAA0-2F3AE75DB2E6}" uniqueName="23" name="vlookup" queryTableFieldId="23" dataDxfId="5">
      <calculatedColumnFormula>VLOOKUP(zara[[#This Row],[price]],L:P,5,FALSE)</calculatedColumnFormula>
    </tableColumn>
    <tableColumn id="24" xr3:uid="{A372F14E-09A1-481D-8D28-9D256F2A0DE4}" uniqueName="24" name="index match " queryTableFieldId="24" dataDxfId="4">
      <calculatedColumnFormula>INDEX(O:O,MATCH(zara[[#This Row],[price]],L:L,0))</calculatedColumnFormula>
    </tableColumn>
    <tableColumn id="25" xr3:uid="{9DC8E4F8-BAD9-4A1B-ACAB-9AD6F36CA4CD}" uniqueName="25" name="index match 2" queryTableFieldId="25" dataDxfId="3">
      <calculatedColumnFormula>INDEX(P:P,MATCH(zara[[#This Row],[price]],L:L,0))</calculatedColumnFormula>
    </tableColumn>
    <tableColumn id="27" xr3:uid="{6166572C-BE32-44DD-8494-8547B2C53B30}" uniqueName="27" name="index match 3" queryTableFieldId="27" dataDxfId="1">
      <calculatedColumnFormula>INDEX(P:P,MATCH(zara[[#This Row],[price]],L:L,0))</calculatedColumnFormula>
    </tableColumn>
    <tableColumn id="28" xr3:uid="{1857A7BD-EFA4-4DD3-ADE7-EAD2FAF5000D}" uniqueName="28" name="sumifs2" queryTableFieldId="28" dataDxfId="0">
      <calculatedColumnFormula>SUMIFS(L:L,O:O,zara[[#This Row],[terms]])</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2B766D-67DE-4A4A-A856-BCC3D69AE2DD}">
  <dimension ref="A3:C28"/>
  <sheetViews>
    <sheetView topLeftCell="A7" workbookViewId="0">
      <selection activeCell="A3" sqref="A3:B6"/>
    </sheetView>
  </sheetViews>
  <sheetFormatPr defaultRowHeight="14.4" x14ac:dyDescent="0.3"/>
  <cols>
    <col min="1" max="1" width="41.33203125" bestFit="1" customWidth="1"/>
    <col min="2" max="3" width="18.88671875" bestFit="1" customWidth="1"/>
  </cols>
  <sheetData>
    <row r="3" spans="1:2" x14ac:dyDescent="0.3">
      <c r="A3" s="3" t="s">
        <v>921</v>
      </c>
      <c r="B3" t="s">
        <v>920</v>
      </c>
    </row>
    <row r="4" spans="1:2" x14ac:dyDescent="0.3">
      <c r="A4" s="4" t="s">
        <v>18</v>
      </c>
      <c r="B4" s="1">
        <v>459573</v>
      </c>
    </row>
    <row r="5" spans="1:2" x14ac:dyDescent="0.3">
      <c r="A5" s="5" t="s">
        <v>17</v>
      </c>
      <c r="B5" s="1">
        <v>226392</v>
      </c>
    </row>
    <row r="6" spans="1:2" x14ac:dyDescent="0.3">
      <c r="A6" s="5" t="s">
        <v>32</v>
      </c>
      <c r="B6" s="1">
        <v>233181</v>
      </c>
    </row>
    <row r="7" spans="1:2" x14ac:dyDescent="0.3">
      <c r="A7" s="4" t="s">
        <v>919</v>
      </c>
      <c r="B7" s="1">
        <v>459573</v>
      </c>
    </row>
    <row r="11" spans="1:2" x14ac:dyDescent="0.3">
      <c r="A11" s="3" t="s">
        <v>922</v>
      </c>
      <c r="B11" t="s">
        <v>920</v>
      </c>
    </row>
    <row r="12" spans="1:2" x14ac:dyDescent="0.3">
      <c r="A12" s="4" t="s">
        <v>19</v>
      </c>
      <c r="B12" s="1">
        <v>459573</v>
      </c>
    </row>
    <row r="13" spans="1:2" x14ac:dyDescent="0.3">
      <c r="A13" s="5" t="s">
        <v>17</v>
      </c>
      <c r="B13" s="1">
        <v>240312</v>
      </c>
    </row>
    <row r="14" spans="1:2" x14ac:dyDescent="0.3">
      <c r="A14" s="5" t="s">
        <v>32</v>
      </c>
      <c r="B14" s="1">
        <v>219261</v>
      </c>
    </row>
    <row r="15" spans="1:2" x14ac:dyDescent="0.3">
      <c r="A15" s="4" t="s">
        <v>919</v>
      </c>
      <c r="B15" s="1">
        <v>459573</v>
      </c>
    </row>
    <row r="19" spans="1:3" x14ac:dyDescent="0.3">
      <c r="A19" s="3" t="s">
        <v>923</v>
      </c>
      <c r="B19" t="s">
        <v>920</v>
      </c>
    </row>
    <row r="20" spans="1:3" x14ac:dyDescent="0.3">
      <c r="A20" s="4" t="s">
        <v>26</v>
      </c>
      <c r="B20" s="1">
        <v>396199</v>
      </c>
    </row>
    <row r="21" spans="1:3" x14ac:dyDescent="0.3">
      <c r="A21" s="4" t="s">
        <v>637</v>
      </c>
      <c r="B21" s="1">
        <v>63374</v>
      </c>
    </row>
    <row r="22" spans="1:3" x14ac:dyDescent="0.3">
      <c r="A22" s="4" t="s">
        <v>919</v>
      </c>
      <c r="B22" s="1">
        <v>459573</v>
      </c>
    </row>
    <row r="25" spans="1:3" x14ac:dyDescent="0.3">
      <c r="A25" s="3" t="s">
        <v>918</v>
      </c>
      <c r="B25" t="s">
        <v>924</v>
      </c>
      <c r="C25" t="s">
        <v>920</v>
      </c>
    </row>
    <row r="26" spans="1:3" x14ac:dyDescent="0.3">
      <c r="A26" s="4" t="s">
        <v>17</v>
      </c>
      <c r="B26" s="1">
        <v>10645.99999999998</v>
      </c>
      <c r="C26" s="1">
        <v>240312</v>
      </c>
    </row>
    <row r="27" spans="1:3" x14ac:dyDescent="0.3">
      <c r="A27" s="4" t="s">
        <v>32</v>
      </c>
      <c r="B27" s="1">
        <v>11089.639999999983</v>
      </c>
      <c r="C27" s="1">
        <v>219261</v>
      </c>
    </row>
    <row r="28" spans="1:3" x14ac:dyDescent="0.3">
      <c r="A28" s="4" t="s">
        <v>919</v>
      </c>
      <c r="B28" s="1">
        <v>21735.639999999963</v>
      </c>
      <c r="C28" s="1">
        <v>459573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40DE23-BF07-40AD-AA15-9389881A817A}">
  <dimension ref="A1"/>
  <sheetViews>
    <sheetView workbookViewId="0">
      <selection activeCell="K50" sqref="K50"/>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70B6C1-2AEA-4E1E-8C81-D1BD23376BCC}">
  <dimension ref="A1:AA253"/>
  <sheetViews>
    <sheetView tabSelected="1" topLeftCell="A12" workbookViewId="0">
      <selection sqref="A1:XFD228"/>
    </sheetView>
  </sheetViews>
  <sheetFormatPr defaultRowHeight="14.4" x14ac:dyDescent="0.3"/>
  <cols>
    <col min="1" max="1" width="12.109375" bestFit="1" customWidth="1"/>
    <col min="2" max="2" width="17.21875" bestFit="1" customWidth="1"/>
    <col min="3" max="3" width="12.21875" bestFit="1" customWidth="1"/>
    <col min="4" max="4" width="18" bestFit="1" customWidth="1"/>
    <col min="5" max="5" width="10.6640625" bestFit="1" customWidth="1"/>
    <col min="6" max="6" width="14.44140625" bestFit="1" customWidth="1"/>
    <col min="7" max="7" width="8.21875" bestFit="1" customWidth="1"/>
    <col min="8" max="8" width="77.88671875" bestFit="1" customWidth="1"/>
    <col min="9" max="9" width="16.44140625" bestFit="1" customWidth="1"/>
    <col min="10" max="10" width="44.6640625" bestFit="1" customWidth="1"/>
    <col min="11" max="11" width="80.88671875" bestFit="1" customWidth="1"/>
    <col min="12" max="12" width="7.33203125" bestFit="1" customWidth="1"/>
    <col min="13" max="13" width="10.5546875" bestFit="1" customWidth="1"/>
    <col min="14" max="14" width="13.6640625" bestFit="1" customWidth="1"/>
    <col min="15" max="15" width="8.33203125" bestFit="1" customWidth="1"/>
    <col min="16" max="16" width="9.21875" bestFit="1" customWidth="1"/>
    <col min="17" max="17" width="31.5546875" customWidth="1"/>
    <col min="21" max="21" width="11.44140625" customWidth="1"/>
    <col min="24" max="24" width="20" customWidth="1"/>
    <col min="25" max="25" width="18.88671875" customWidth="1"/>
    <col min="26" max="26" width="12.6640625" customWidth="1"/>
    <col min="27" max="27" width="10.77734375" customWidth="1"/>
  </cols>
  <sheetData>
    <row r="1" spans="1:27" x14ac:dyDescent="0.3">
      <c r="A1" t="s">
        <v>0</v>
      </c>
      <c r="B1" t="s">
        <v>1</v>
      </c>
      <c r="C1" t="s">
        <v>2</v>
      </c>
      <c r="D1" t="s">
        <v>3</v>
      </c>
      <c r="E1" t="s">
        <v>4</v>
      </c>
      <c r="F1" t="s">
        <v>5</v>
      </c>
      <c r="G1" t="s">
        <v>6</v>
      </c>
      <c r="H1" t="s">
        <v>7</v>
      </c>
      <c r="I1" t="s">
        <v>8</v>
      </c>
      <c r="J1" t="s">
        <v>9</v>
      </c>
      <c r="K1" t="s">
        <v>10</v>
      </c>
      <c r="L1" t="s">
        <v>11</v>
      </c>
      <c r="M1" t="s">
        <v>12</v>
      </c>
      <c r="N1" t="s">
        <v>13</v>
      </c>
      <c r="O1" t="s">
        <v>14</v>
      </c>
      <c r="P1" t="s">
        <v>15</v>
      </c>
      <c r="Q1" t="s">
        <v>902</v>
      </c>
      <c r="R1" t="s">
        <v>903</v>
      </c>
      <c r="S1" t="s">
        <v>909</v>
      </c>
      <c r="T1" t="s">
        <v>910</v>
      </c>
      <c r="U1" t="s">
        <v>911</v>
      </c>
      <c r="V1" t="s">
        <v>912</v>
      </c>
      <c r="W1" t="s">
        <v>913</v>
      </c>
      <c r="X1" t="s">
        <v>914</v>
      </c>
      <c r="Y1" t="s">
        <v>915</v>
      </c>
      <c r="Z1" t="s">
        <v>916</v>
      </c>
      <c r="AA1" t="s">
        <v>917</v>
      </c>
    </row>
    <row r="2" spans="1:27" hidden="1" x14ac:dyDescent="0.3">
      <c r="A2">
        <v>183825</v>
      </c>
      <c r="B2" s="1" t="s">
        <v>16</v>
      </c>
      <c r="C2" s="1" t="s">
        <v>32</v>
      </c>
      <c r="D2" s="1" t="s">
        <v>18</v>
      </c>
      <c r="E2" s="1" t="s">
        <v>32</v>
      </c>
      <c r="F2">
        <v>2989</v>
      </c>
      <c r="G2" s="1" t="s">
        <v>19</v>
      </c>
      <c r="H2" s="1" t="s">
        <v>494</v>
      </c>
      <c r="I2" s="1" t="s">
        <v>495</v>
      </c>
      <c r="J2" s="1" t="s">
        <v>496</v>
      </c>
      <c r="K2" s="1" t="s">
        <v>497</v>
      </c>
      <c r="L2">
        <v>19.989999999999998</v>
      </c>
      <c r="M2" s="1" t="s">
        <v>24</v>
      </c>
      <c r="N2" s="2">
        <v>45341.369226006944</v>
      </c>
      <c r="O2" s="1" t="s">
        <v>25</v>
      </c>
      <c r="P2" s="1" t="s">
        <v>26</v>
      </c>
      <c r="Q2" s="1"/>
      <c r="R2" s="1"/>
      <c r="S2" s="1" t="str">
        <f>IF(M2="USD","DOLLAR",M2)</f>
        <v>DOLLAR</v>
      </c>
      <c r="T2" s="1" t="str">
        <f>IF(zara[[#This Row],[terms]]="jackets","jacket",IF(O2="shoes","shoe",O2))</f>
        <v>jacket</v>
      </c>
      <c r="U2" s="1">
        <f>SUMIF(O:O,zara[[#This Row],[terms]],L:L)</f>
        <v>14806.109999999982</v>
      </c>
      <c r="V2" s="1">
        <f>SUMIFS(L:L,O:O,O2)</f>
        <v>14806.109999999982</v>
      </c>
      <c r="W2" s="1" t="str">
        <f>VLOOKUP(zara[[#This Row],[price]],L:P,5,FALSE)</f>
        <v>MAN</v>
      </c>
      <c r="X2" s="1" t="str">
        <f>INDEX(O:O,MATCH(zara[[#This Row],[price]],L:L,0))</f>
        <v>jackets</v>
      </c>
      <c r="Y2" s="1" t="str">
        <f>INDEX(P:P,MATCH(zara[[#This Row],[price]],L:L,0))</f>
        <v>MAN</v>
      </c>
      <c r="Z2" s="1" t="str">
        <f>INDEX(P:P,MATCH(zara[[#This Row],[price]],L:L,0))</f>
        <v>MAN</v>
      </c>
      <c r="AA2" s="1">
        <f>SUMIFS(L:L,O:O,zara[[#This Row],[terms]])</f>
        <v>14806.109999999982</v>
      </c>
    </row>
    <row r="3" spans="1:27" hidden="1" x14ac:dyDescent="0.3">
      <c r="A3">
        <v>123047</v>
      </c>
      <c r="B3" s="1" t="s">
        <v>16</v>
      </c>
      <c r="C3" s="1" t="s">
        <v>17</v>
      </c>
      <c r="D3" s="1" t="s">
        <v>18</v>
      </c>
      <c r="E3" s="1" t="s">
        <v>32</v>
      </c>
      <c r="F3">
        <v>2985</v>
      </c>
      <c r="G3" s="1" t="s">
        <v>19</v>
      </c>
      <c r="H3" s="1" t="s">
        <v>710</v>
      </c>
      <c r="I3" s="1" t="s">
        <v>469</v>
      </c>
      <c r="J3" s="1" t="s">
        <v>56</v>
      </c>
      <c r="K3" s="1" t="s">
        <v>324</v>
      </c>
      <c r="L3">
        <v>109</v>
      </c>
      <c r="M3" s="1" t="s">
        <v>24</v>
      </c>
      <c r="N3" s="2">
        <v>45341.382378287039</v>
      </c>
      <c r="O3" s="1" t="s">
        <v>836</v>
      </c>
      <c r="P3" s="1" t="s">
        <v>26</v>
      </c>
      <c r="Q3" s="1"/>
      <c r="R3" s="1"/>
      <c r="S3" s="1" t="str">
        <f>IF(M3="USD","DOLLAR",M3)</f>
        <v>DOLLAR</v>
      </c>
      <c r="T3" s="1" t="str">
        <f>IF(zara[[#This Row],[terms]]="jackets","jacket",IF(O3="shoes","shoe",O3))</f>
        <v>t-shirts</v>
      </c>
      <c r="U3" s="1">
        <f>SUMIF(O:O,zara[[#This Row],[terms]],L:L)</f>
        <v>2157.6900000000005</v>
      </c>
      <c r="V3" s="1">
        <f>SUMIFS(L:L,O:O,O3)</f>
        <v>2157.6900000000005</v>
      </c>
      <c r="W3" s="1" t="str">
        <f>VLOOKUP(zara[[#This Row],[price]],L:P,5,FALSE)</f>
        <v>MAN</v>
      </c>
      <c r="X3" s="1" t="str">
        <f>INDEX(O:O,MATCH(zara[[#This Row],[price]],L:L,0))</f>
        <v>t-shirts</v>
      </c>
      <c r="Y3" s="1" t="str">
        <f>INDEX(P:P,MATCH(zara[[#This Row],[price]],L:L,0))</f>
        <v>MAN</v>
      </c>
      <c r="Z3" s="1" t="str">
        <f>INDEX(P:P,MATCH(zara[[#This Row],[price]],L:L,0))</f>
        <v>MAN</v>
      </c>
      <c r="AA3" s="1">
        <f>SUMIFS(L:L,O:O,zara[[#This Row],[terms]])</f>
        <v>2157.6900000000005</v>
      </c>
    </row>
    <row r="4" spans="1:27" hidden="1" x14ac:dyDescent="0.3">
      <c r="A4">
        <v>113435</v>
      </c>
      <c r="B4" s="1" t="s">
        <v>16</v>
      </c>
      <c r="C4" s="1" t="s">
        <v>17</v>
      </c>
      <c r="D4" s="1" t="s">
        <v>18</v>
      </c>
      <c r="E4" s="1" t="s">
        <v>32</v>
      </c>
      <c r="F4">
        <v>2973</v>
      </c>
      <c r="G4" s="1" t="s">
        <v>19</v>
      </c>
      <c r="H4" s="1" t="s">
        <v>746</v>
      </c>
      <c r="I4" s="1" t="s">
        <v>503</v>
      </c>
      <c r="J4" s="1" t="s">
        <v>139</v>
      </c>
      <c r="K4" s="1" t="s">
        <v>136</v>
      </c>
      <c r="L4">
        <v>129</v>
      </c>
      <c r="M4" s="1" t="s">
        <v>24</v>
      </c>
      <c r="N4" s="2">
        <v>45341.382446516203</v>
      </c>
      <c r="O4" s="1" t="s">
        <v>25</v>
      </c>
      <c r="P4" s="1" t="s">
        <v>26</v>
      </c>
      <c r="Q4" s="1"/>
      <c r="R4" s="1"/>
      <c r="S4" s="1" t="str">
        <f>IF(M4="USD","DOLLAR",M4)</f>
        <v>DOLLAR</v>
      </c>
      <c r="T4" s="1" t="str">
        <f>IF(zara[[#This Row],[terms]]="jackets","jacket",IF(O4="shoes","shoe",O4))</f>
        <v>jacket</v>
      </c>
      <c r="U4" s="1">
        <f>SUMIF(O:O,zara[[#This Row],[terms]],L:L)</f>
        <v>14806.109999999982</v>
      </c>
      <c r="V4" s="1">
        <f>SUMIFS(L:L,O:O,O4)</f>
        <v>14806.109999999982</v>
      </c>
      <c r="W4" s="1" t="str">
        <f>VLOOKUP(zara[[#This Row],[price]],L:P,5,FALSE)</f>
        <v>MAN</v>
      </c>
      <c r="X4" s="1" t="str">
        <f>INDEX(O:O,MATCH(zara[[#This Row],[price]],L:L,0))</f>
        <v>jackets</v>
      </c>
      <c r="Y4" s="1" t="str">
        <f>INDEX(P:P,MATCH(zara[[#This Row],[price]],L:L,0))</f>
        <v>MAN</v>
      </c>
      <c r="Z4" s="1" t="str">
        <f>INDEX(P:P,MATCH(zara[[#This Row],[price]],L:L,0))</f>
        <v>MAN</v>
      </c>
      <c r="AA4" s="1">
        <f>SUMIFS(L:L,O:O,zara[[#This Row],[terms]])</f>
        <v>14806.109999999982</v>
      </c>
    </row>
    <row r="5" spans="1:27" hidden="1" x14ac:dyDescent="0.3">
      <c r="A5">
        <v>117590</v>
      </c>
      <c r="B5" s="1" t="s">
        <v>31</v>
      </c>
      <c r="C5" s="1" t="s">
        <v>17</v>
      </c>
      <c r="D5" s="1" t="s">
        <v>18</v>
      </c>
      <c r="E5" s="1" t="s">
        <v>17</v>
      </c>
      <c r="F5">
        <v>2968</v>
      </c>
      <c r="G5" s="1" t="s">
        <v>19</v>
      </c>
      <c r="H5" s="1" t="s">
        <v>45</v>
      </c>
      <c r="I5" s="1" t="s">
        <v>46</v>
      </c>
      <c r="J5" s="1" t="s">
        <v>47</v>
      </c>
      <c r="K5" s="1" t="s">
        <v>48</v>
      </c>
      <c r="L5">
        <v>79.900000000000006</v>
      </c>
      <c r="M5" s="1" t="s">
        <v>24</v>
      </c>
      <c r="N5" s="2">
        <v>45341.368161342594</v>
      </c>
      <c r="O5" s="1" t="s">
        <v>25</v>
      </c>
      <c r="P5" s="1" t="s">
        <v>26</v>
      </c>
      <c r="Q5" s="1"/>
      <c r="R5" s="1"/>
      <c r="S5" s="1" t="str">
        <f>IF(M5="USD","DOLLAR",M5)</f>
        <v>DOLLAR</v>
      </c>
      <c r="T5" s="1" t="str">
        <f>IF(zara[[#This Row],[terms]]="jackets","jacket",IF(O5="shoes","shoe",O5))</f>
        <v>jacket</v>
      </c>
      <c r="U5" s="1">
        <f>SUMIF(O:O,zara[[#This Row],[terms]],L:L)</f>
        <v>14806.109999999982</v>
      </c>
      <c r="V5" s="1">
        <f>SUMIFS(L:L,O:O,O5)</f>
        <v>14806.109999999982</v>
      </c>
      <c r="W5" s="1" t="str">
        <f>VLOOKUP(zara[[#This Row],[price]],L:P,5,FALSE)</f>
        <v>MAN</v>
      </c>
      <c r="X5" s="1" t="str">
        <f>INDEX(O:O,MATCH(zara[[#This Row],[price]],L:L,0))</f>
        <v>jackets</v>
      </c>
      <c r="Y5" s="1" t="str">
        <f>INDEX(P:P,MATCH(zara[[#This Row],[price]],L:L,0))</f>
        <v>MAN</v>
      </c>
      <c r="Z5" s="1" t="str">
        <f>INDEX(P:P,MATCH(zara[[#This Row],[price]],L:L,0))</f>
        <v>MAN</v>
      </c>
      <c r="AA5" s="1">
        <f>SUMIFS(L:L,O:O,zara[[#This Row],[terms]])</f>
        <v>14806.109999999982</v>
      </c>
    </row>
    <row r="6" spans="1:27" hidden="1" x14ac:dyDescent="0.3">
      <c r="A6">
        <v>192936</v>
      </c>
      <c r="B6" s="1" t="s">
        <v>31</v>
      </c>
      <c r="C6" s="1" t="s">
        <v>17</v>
      </c>
      <c r="D6" s="1" t="s">
        <v>18</v>
      </c>
      <c r="E6" s="1" t="s">
        <v>32</v>
      </c>
      <c r="F6">
        <v>2942</v>
      </c>
      <c r="G6" s="1" t="s">
        <v>19</v>
      </c>
      <c r="H6" s="1" t="s">
        <v>41</v>
      </c>
      <c r="I6" s="1" t="s">
        <v>42</v>
      </c>
      <c r="J6" s="1" t="s">
        <v>43</v>
      </c>
      <c r="K6" s="1" t="s">
        <v>44</v>
      </c>
      <c r="L6">
        <v>139</v>
      </c>
      <c r="M6" s="1" t="s">
        <v>24</v>
      </c>
      <c r="N6" s="2">
        <v>45341.368153391202</v>
      </c>
      <c r="O6" s="1" t="s">
        <v>25</v>
      </c>
      <c r="P6" s="1" t="s">
        <v>26</v>
      </c>
      <c r="Q6" s="1">
        <f>COUNTIF(F:F,"&gt;2000")</f>
        <v>115</v>
      </c>
      <c r="R6" s="1" t="s">
        <v>908</v>
      </c>
      <c r="S6" s="1" t="str">
        <f>IF(M6="USD","DOLLAR",M6)</f>
        <v>DOLLAR</v>
      </c>
      <c r="T6" s="1" t="str">
        <f>IF(zara[[#This Row],[terms]]="jackets","jacket",IF(O6="shoes","shoe",O6))</f>
        <v>jacket</v>
      </c>
      <c r="U6" s="1">
        <f>SUMIF(O:O,zara[[#This Row],[terms]],L:L)</f>
        <v>14806.109999999982</v>
      </c>
      <c r="V6" s="1">
        <f>SUMIFS(L:L,O:O,O6)</f>
        <v>14806.109999999982</v>
      </c>
      <c r="W6" s="1" t="str">
        <f>VLOOKUP(zara[[#This Row],[price]],L:P,5,FALSE)</f>
        <v>MAN</v>
      </c>
      <c r="X6" s="1" t="str">
        <f>INDEX(O:O,MATCH(zara[[#This Row],[price]],L:L,0))</f>
        <v>jackets</v>
      </c>
      <c r="Y6" s="1" t="str">
        <f>INDEX(P:P,MATCH(zara[[#This Row],[price]],L:L,0))</f>
        <v>MAN</v>
      </c>
      <c r="Z6" s="1" t="str">
        <f>INDEX(P:P,MATCH(zara[[#This Row],[price]],L:L,0))</f>
        <v>MAN</v>
      </c>
      <c r="AA6" s="1">
        <f>SUMIFS(L:L,O:O,zara[[#This Row],[terms]])</f>
        <v>14806.109999999982</v>
      </c>
    </row>
    <row r="7" spans="1:27" hidden="1" x14ac:dyDescent="0.3">
      <c r="A7">
        <v>172364</v>
      </c>
      <c r="B7" s="1" t="s">
        <v>16</v>
      </c>
      <c r="C7" s="1" t="s">
        <v>32</v>
      </c>
      <c r="D7" s="1" t="s">
        <v>18</v>
      </c>
      <c r="E7" s="1" t="s">
        <v>17</v>
      </c>
      <c r="F7">
        <v>2931</v>
      </c>
      <c r="G7" s="1" t="s">
        <v>19</v>
      </c>
      <c r="H7" s="1" t="s">
        <v>159</v>
      </c>
      <c r="I7" s="1" t="s">
        <v>160</v>
      </c>
      <c r="J7" s="1" t="s">
        <v>127</v>
      </c>
      <c r="K7" s="1" t="s">
        <v>161</v>
      </c>
      <c r="L7">
        <v>109</v>
      </c>
      <c r="M7" s="1" t="s">
        <v>24</v>
      </c>
      <c r="N7" s="2">
        <v>45341.368357731481</v>
      </c>
      <c r="O7" s="1" t="s">
        <v>25</v>
      </c>
      <c r="P7" s="1" t="s">
        <v>26</v>
      </c>
      <c r="Q7" s="1"/>
      <c r="R7" s="1"/>
      <c r="S7" s="1" t="str">
        <f>IF(M7="USD","DOLLAR",M7)</f>
        <v>DOLLAR</v>
      </c>
      <c r="T7" s="1" t="str">
        <f>IF(zara[[#This Row],[terms]]="jackets","jacket",IF(O7="shoes","shoe",O7))</f>
        <v>jacket</v>
      </c>
      <c r="U7" s="1">
        <f>SUMIF(O:O,zara[[#This Row],[terms]],L:L)</f>
        <v>14806.109999999982</v>
      </c>
      <c r="V7" s="1">
        <f>SUMIFS(L:L,O:O,O7)</f>
        <v>14806.109999999982</v>
      </c>
      <c r="W7" s="1" t="str">
        <f>VLOOKUP(zara[[#This Row],[price]],L:P,5,FALSE)</f>
        <v>MAN</v>
      </c>
      <c r="X7" s="1" t="str">
        <f>INDEX(O:O,MATCH(zara[[#This Row],[price]],L:L,0))</f>
        <v>t-shirts</v>
      </c>
      <c r="Y7" s="1" t="str">
        <f>INDEX(P:P,MATCH(zara[[#This Row],[price]],L:L,0))</f>
        <v>MAN</v>
      </c>
      <c r="Z7" s="1" t="str">
        <f>INDEX(P:P,MATCH(zara[[#This Row],[price]],L:L,0))</f>
        <v>MAN</v>
      </c>
      <c r="AA7" s="1">
        <f>SUMIFS(L:L,O:O,zara[[#This Row],[terms]])</f>
        <v>14806.109999999982</v>
      </c>
    </row>
    <row r="8" spans="1:27" hidden="1" x14ac:dyDescent="0.3">
      <c r="A8">
        <v>137990</v>
      </c>
      <c r="B8" s="1" t="s">
        <v>16</v>
      </c>
      <c r="C8" s="1" t="s">
        <v>17</v>
      </c>
      <c r="D8" s="1" t="s">
        <v>18</v>
      </c>
      <c r="E8" s="1" t="s">
        <v>17</v>
      </c>
      <c r="F8">
        <v>2929</v>
      </c>
      <c r="G8" s="1" t="s">
        <v>19</v>
      </c>
      <c r="H8" s="1" t="s">
        <v>280</v>
      </c>
      <c r="I8" s="1" t="s">
        <v>281</v>
      </c>
      <c r="J8" s="1" t="s">
        <v>282</v>
      </c>
      <c r="K8" s="1" t="s">
        <v>283</v>
      </c>
      <c r="L8">
        <v>29.99</v>
      </c>
      <c r="M8" s="1" t="s">
        <v>24</v>
      </c>
      <c r="N8" s="2">
        <v>45341.368633564816</v>
      </c>
      <c r="O8" s="1" t="s">
        <v>25</v>
      </c>
      <c r="P8" s="1" t="s">
        <v>26</v>
      </c>
      <c r="Q8" s="1"/>
      <c r="R8" s="1"/>
      <c r="S8" s="1" t="str">
        <f>IF(M8="USD","DOLLAR",M8)</f>
        <v>DOLLAR</v>
      </c>
      <c r="T8" s="1" t="str">
        <f>IF(zara[[#This Row],[terms]]="jackets","jacket",IF(O8="shoes","shoe",O8))</f>
        <v>jacket</v>
      </c>
      <c r="U8" s="1">
        <f>SUMIF(O:O,zara[[#This Row],[terms]],L:L)</f>
        <v>14806.109999999982</v>
      </c>
      <c r="V8" s="1">
        <f>SUMIFS(L:L,O:O,O8)</f>
        <v>14806.109999999982</v>
      </c>
      <c r="W8" s="1" t="str">
        <f>VLOOKUP(zara[[#This Row],[price]],L:P,5,FALSE)</f>
        <v>MAN</v>
      </c>
      <c r="X8" s="1" t="str">
        <f>INDEX(O:O,MATCH(zara[[#This Row],[price]],L:L,0))</f>
        <v>jackets</v>
      </c>
      <c r="Y8" s="1" t="str">
        <f>INDEX(P:P,MATCH(zara[[#This Row],[price]],L:L,0))</f>
        <v>MAN</v>
      </c>
      <c r="Z8" s="1" t="str">
        <f>INDEX(P:P,MATCH(zara[[#This Row],[price]],L:L,0))</f>
        <v>MAN</v>
      </c>
      <c r="AA8" s="1">
        <f>SUMIFS(L:L,O:O,zara[[#This Row],[terms]])</f>
        <v>14806.109999999982</v>
      </c>
    </row>
    <row r="9" spans="1:27" hidden="1" x14ac:dyDescent="0.3">
      <c r="A9">
        <v>134429</v>
      </c>
      <c r="B9" s="1" t="s">
        <v>16</v>
      </c>
      <c r="C9" s="1" t="s">
        <v>17</v>
      </c>
      <c r="D9" s="1" t="s">
        <v>18</v>
      </c>
      <c r="E9" s="1" t="s">
        <v>17</v>
      </c>
      <c r="F9">
        <v>2914</v>
      </c>
      <c r="G9" s="1" t="s">
        <v>19</v>
      </c>
      <c r="H9" s="1" t="s">
        <v>808</v>
      </c>
      <c r="I9" s="1" t="s">
        <v>809</v>
      </c>
      <c r="J9" s="1" t="s">
        <v>810</v>
      </c>
      <c r="K9" s="1" t="s">
        <v>811</v>
      </c>
      <c r="L9">
        <v>69.900000000000006</v>
      </c>
      <c r="M9" s="1" t="s">
        <v>24</v>
      </c>
      <c r="N9" s="2">
        <v>45341.371315405093</v>
      </c>
      <c r="O9" s="1" t="s">
        <v>785</v>
      </c>
      <c r="P9" s="1" t="s">
        <v>26</v>
      </c>
      <c r="Q9" s="1"/>
      <c r="R9" s="1"/>
      <c r="S9" s="1" t="str">
        <f>IF(M9="USD","DOLLAR",M9)</f>
        <v>DOLLAR</v>
      </c>
      <c r="T9" s="1" t="str">
        <f>IF(zara[[#This Row],[terms]]="jackets","jacket",IF(O9="shoes","shoe",O9))</f>
        <v>jeans</v>
      </c>
      <c r="U9" s="1">
        <f>SUMIF(O:O,zara[[#This Row],[terms]],L:L)</f>
        <v>511.39</v>
      </c>
      <c r="V9" s="1">
        <f>SUMIFS(L:L,O:O,O9)</f>
        <v>511.39</v>
      </c>
      <c r="W9" s="1" t="str">
        <f>VLOOKUP(zara[[#This Row],[price]],L:P,5,FALSE)</f>
        <v>MAN</v>
      </c>
      <c r="X9" s="1" t="str">
        <f>INDEX(O:O,MATCH(zara[[#This Row],[price]],L:L,0))</f>
        <v>jeans</v>
      </c>
      <c r="Y9" s="1" t="str">
        <f>INDEX(P:P,MATCH(zara[[#This Row],[price]],L:L,0))</f>
        <v>MAN</v>
      </c>
      <c r="Z9" s="1" t="str">
        <f>INDEX(P:P,MATCH(zara[[#This Row],[price]],L:L,0))</f>
        <v>MAN</v>
      </c>
      <c r="AA9" s="1">
        <f>SUMIFS(L:L,O:O,zara[[#This Row],[terms]])</f>
        <v>511.39</v>
      </c>
    </row>
    <row r="10" spans="1:27" hidden="1" x14ac:dyDescent="0.3">
      <c r="A10">
        <v>171520</v>
      </c>
      <c r="B10" s="1" t="s">
        <v>31</v>
      </c>
      <c r="C10" s="1" t="s">
        <v>32</v>
      </c>
      <c r="D10" s="1" t="s">
        <v>18</v>
      </c>
      <c r="E10" s="1" t="s">
        <v>32</v>
      </c>
      <c r="F10">
        <v>2901</v>
      </c>
      <c r="G10" s="1" t="s">
        <v>19</v>
      </c>
      <c r="H10" s="1" t="s">
        <v>718</v>
      </c>
      <c r="I10" s="1" t="s">
        <v>719</v>
      </c>
      <c r="J10" s="1" t="s">
        <v>720</v>
      </c>
      <c r="K10" s="1" t="s">
        <v>721</v>
      </c>
      <c r="L10">
        <v>47.9</v>
      </c>
      <c r="M10" s="1" t="s">
        <v>24</v>
      </c>
      <c r="N10" s="2">
        <v>45341.382465381947</v>
      </c>
      <c r="O10" s="1" t="s">
        <v>636</v>
      </c>
      <c r="P10" s="1" t="s">
        <v>637</v>
      </c>
      <c r="Q10" s="1"/>
      <c r="R10" s="1"/>
      <c r="S10" s="1" t="str">
        <f>IF(M10="USD","DOLLAR",M10)</f>
        <v>DOLLAR</v>
      </c>
      <c r="T10" s="1" t="str">
        <f>IF(zara[[#This Row],[terms]]="jackets","jacket",IF(O10="shoes","shoe",O10))</f>
        <v>sweaters</v>
      </c>
      <c r="U10" s="1">
        <f>SUMIF(O:O,zara[[#This Row],[terms]],L:L)</f>
        <v>2249.3700000000013</v>
      </c>
      <c r="V10" s="1">
        <f>SUMIFS(L:L,O:O,O10)</f>
        <v>2249.3700000000013</v>
      </c>
      <c r="W10" s="1" t="str">
        <f>VLOOKUP(zara[[#This Row],[price]],L:P,5,FALSE)</f>
        <v>WOMAN</v>
      </c>
      <c r="X10" s="1" t="str">
        <f>INDEX(O:O,MATCH(zara[[#This Row],[price]],L:L,0))</f>
        <v>sweaters</v>
      </c>
      <c r="Y10" s="1" t="str">
        <f>INDEX(P:P,MATCH(zara[[#This Row],[price]],L:L,0))</f>
        <v>WOMAN</v>
      </c>
      <c r="Z10" s="1" t="str">
        <f>INDEX(P:P,MATCH(zara[[#This Row],[price]],L:L,0))</f>
        <v>WOMAN</v>
      </c>
      <c r="AA10" s="1">
        <f>SUMIFS(L:L,O:O,zara[[#This Row],[terms]])</f>
        <v>2249.3700000000013</v>
      </c>
    </row>
    <row r="11" spans="1:27" hidden="1" x14ac:dyDescent="0.3">
      <c r="A11">
        <v>136272</v>
      </c>
      <c r="B11" s="1" t="s">
        <v>31</v>
      </c>
      <c r="C11" s="1" t="s">
        <v>17</v>
      </c>
      <c r="D11" s="1" t="s">
        <v>18</v>
      </c>
      <c r="E11" s="1" t="s">
        <v>32</v>
      </c>
      <c r="F11">
        <v>2887</v>
      </c>
      <c r="G11" s="1" t="s">
        <v>19</v>
      </c>
      <c r="H11" s="1" t="s">
        <v>816</v>
      </c>
      <c r="I11" s="1" t="s">
        <v>817</v>
      </c>
      <c r="J11" s="1" t="s">
        <v>818</v>
      </c>
      <c r="K11" s="1" t="s">
        <v>819</v>
      </c>
      <c r="L11">
        <v>12.99</v>
      </c>
      <c r="M11" s="1" t="s">
        <v>24</v>
      </c>
      <c r="N11" s="2">
        <v>45341.371357870368</v>
      </c>
      <c r="O11" s="1" t="s">
        <v>636</v>
      </c>
      <c r="P11" s="1" t="s">
        <v>26</v>
      </c>
      <c r="Q11" s="1"/>
      <c r="R11" s="1"/>
      <c r="S11" s="1" t="str">
        <f>IF(M11="USD","DOLLAR",M11)</f>
        <v>DOLLAR</v>
      </c>
      <c r="T11" s="1" t="str">
        <f>IF(zara[[#This Row],[terms]]="jackets","jacket",IF(O11="shoes","shoe",O11))</f>
        <v>sweaters</v>
      </c>
      <c r="U11" s="1">
        <f>SUMIF(O:O,zara[[#This Row],[terms]],L:L)</f>
        <v>2249.3700000000013</v>
      </c>
      <c r="V11" s="1">
        <f>SUMIFS(L:L,O:O,O11)</f>
        <v>2249.3700000000013</v>
      </c>
      <c r="W11" s="1" t="str">
        <f>VLOOKUP(zara[[#This Row],[price]],L:P,5,FALSE)</f>
        <v>MAN</v>
      </c>
      <c r="X11" s="1" t="str">
        <f>INDEX(O:O,MATCH(zara[[#This Row],[price]],L:L,0))</f>
        <v>sweaters</v>
      </c>
      <c r="Y11" s="1" t="str">
        <f>INDEX(P:P,MATCH(zara[[#This Row],[price]],L:L,0))</f>
        <v>MAN</v>
      </c>
      <c r="Z11" s="1" t="str">
        <f>INDEX(P:P,MATCH(zara[[#This Row],[price]],L:L,0))</f>
        <v>MAN</v>
      </c>
      <c r="AA11" s="1">
        <f>SUMIFS(L:L,O:O,zara[[#This Row],[terms]])</f>
        <v>2249.3700000000013</v>
      </c>
    </row>
    <row r="12" spans="1:27" x14ac:dyDescent="0.3">
      <c r="A12">
        <v>166421</v>
      </c>
      <c r="B12" s="1" t="s">
        <v>31</v>
      </c>
      <c r="C12" s="1" t="s">
        <v>32</v>
      </c>
      <c r="D12" s="1" t="s">
        <v>18</v>
      </c>
      <c r="E12" s="1" t="s">
        <v>17</v>
      </c>
      <c r="F12">
        <v>2878</v>
      </c>
      <c r="G12" s="1" t="s">
        <v>19</v>
      </c>
      <c r="H12" s="1" t="s">
        <v>578</v>
      </c>
      <c r="I12" s="1" t="s">
        <v>579</v>
      </c>
      <c r="J12" s="1" t="s">
        <v>580</v>
      </c>
      <c r="K12" s="1" t="s">
        <v>581</v>
      </c>
      <c r="L12">
        <v>79.900000000000006</v>
      </c>
      <c r="M12" s="1" t="s">
        <v>24</v>
      </c>
      <c r="N12" s="2">
        <v>45341.375482696756</v>
      </c>
      <c r="O12" s="1" t="s">
        <v>517</v>
      </c>
      <c r="P12" s="1" t="s">
        <v>26</v>
      </c>
      <c r="Q12" s="1"/>
      <c r="R12" s="1"/>
      <c r="S12" s="1" t="str">
        <f>IF(M12="USD","DOLLAR",M12)</f>
        <v>DOLLAR</v>
      </c>
      <c r="T12" s="1" t="str">
        <f>IF(zara[[#This Row],[terms]]="jackets","jacket",IF(O12="shoes","shoe",O12))</f>
        <v>shoe</v>
      </c>
      <c r="U12" s="1">
        <f>SUMIF(O:O,zara[[#This Row],[terms]],L:L)</f>
        <v>2011.0800000000013</v>
      </c>
      <c r="V12" s="1">
        <f>SUMIFS(L:L,O:O,O12)</f>
        <v>2011.0800000000013</v>
      </c>
      <c r="W12" s="1" t="str">
        <f>VLOOKUP(zara[[#This Row],[price]],L:P,5,FALSE)</f>
        <v>MAN</v>
      </c>
      <c r="X12" s="1" t="str">
        <f>INDEX(O:O,MATCH(zara[[#This Row],[price]],L:L,0))</f>
        <v>jackets</v>
      </c>
      <c r="Y12" s="1" t="str">
        <f>INDEX(P:P,MATCH(zara[[#This Row],[price]],L:L,0))</f>
        <v>MAN</v>
      </c>
      <c r="Z12" s="1" t="str">
        <f>INDEX(P:P,MATCH(zara[[#This Row],[price]],L:L,0))</f>
        <v>MAN</v>
      </c>
      <c r="AA12" s="1">
        <f>SUMIFS(L:L,O:O,zara[[#This Row],[terms]])</f>
        <v>2011.0800000000013</v>
      </c>
    </row>
    <row r="13" spans="1:27" hidden="1" x14ac:dyDescent="0.3">
      <c r="A13">
        <v>166331</v>
      </c>
      <c r="B13" s="1" t="s">
        <v>16</v>
      </c>
      <c r="C13" s="1" t="s">
        <v>32</v>
      </c>
      <c r="D13" s="1" t="s">
        <v>18</v>
      </c>
      <c r="E13" s="1" t="s">
        <v>32</v>
      </c>
      <c r="F13">
        <v>2877</v>
      </c>
      <c r="G13" s="1" t="s">
        <v>19</v>
      </c>
      <c r="H13" s="1" t="s">
        <v>654</v>
      </c>
      <c r="I13" s="1" t="s">
        <v>655</v>
      </c>
      <c r="J13" s="1" t="s">
        <v>656</v>
      </c>
      <c r="K13" s="1" t="s">
        <v>657</v>
      </c>
      <c r="L13">
        <v>59.9</v>
      </c>
      <c r="M13" s="1" t="s">
        <v>24</v>
      </c>
      <c r="N13" s="2">
        <v>45341.382350324071</v>
      </c>
      <c r="O13" s="1" t="s">
        <v>636</v>
      </c>
      <c r="P13" s="1" t="s">
        <v>637</v>
      </c>
      <c r="Q13" s="1"/>
      <c r="R13" s="1"/>
      <c r="S13" s="1" t="str">
        <f>IF(M13="USD","DOLLAR",M13)</f>
        <v>DOLLAR</v>
      </c>
      <c r="T13" s="1" t="str">
        <f>IF(zara[[#This Row],[terms]]="jackets","jacket",IF(O13="shoes","shoe",O13))</f>
        <v>sweaters</v>
      </c>
      <c r="U13" s="1">
        <f>SUMIF(O:O,zara[[#This Row],[terms]],L:L)</f>
        <v>2249.3700000000013</v>
      </c>
      <c r="V13" s="1">
        <f>SUMIFS(L:L,O:O,O13)</f>
        <v>2249.3700000000013</v>
      </c>
      <c r="W13" s="1" t="str">
        <f>VLOOKUP(zara[[#This Row],[price]],L:P,5,FALSE)</f>
        <v>WOMAN</v>
      </c>
      <c r="X13" s="1" t="str">
        <f>INDEX(O:O,MATCH(zara[[#This Row],[price]],L:L,0))</f>
        <v>sweaters</v>
      </c>
      <c r="Y13" s="1" t="str">
        <f>INDEX(P:P,MATCH(zara[[#This Row],[price]],L:L,0))</f>
        <v>WOMAN</v>
      </c>
      <c r="Z13" s="1" t="str">
        <f>INDEX(P:P,MATCH(zara[[#This Row],[price]],L:L,0))</f>
        <v>WOMAN</v>
      </c>
      <c r="AA13" s="1">
        <f>SUMIFS(L:L,O:O,zara[[#This Row],[terms]])</f>
        <v>2249.3700000000013</v>
      </c>
    </row>
    <row r="14" spans="1:27" hidden="1" x14ac:dyDescent="0.3">
      <c r="A14">
        <v>141434</v>
      </c>
      <c r="B14" s="1" t="s">
        <v>49</v>
      </c>
      <c r="C14" s="1" t="s">
        <v>17</v>
      </c>
      <c r="D14" s="1" t="s">
        <v>18</v>
      </c>
      <c r="E14" s="1" t="s">
        <v>32</v>
      </c>
      <c r="F14">
        <v>2870</v>
      </c>
      <c r="G14" s="1" t="s">
        <v>19</v>
      </c>
      <c r="H14" s="1" t="s">
        <v>376</v>
      </c>
      <c r="I14" s="1" t="s">
        <v>523</v>
      </c>
      <c r="J14" s="1" t="s">
        <v>52</v>
      </c>
      <c r="K14" s="1" t="s">
        <v>155</v>
      </c>
      <c r="L14">
        <v>39.9</v>
      </c>
      <c r="M14" s="1" t="s">
        <v>24</v>
      </c>
      <c r="N14" s="2">
        <v>45341.382313391201</v>
      </c>
      <c r="O14" s="1" t="s">
        <v>25</v>
      </c>
      <c r="P14" s="1" t="s">
        <v>26</v>
      </c>
      <c r="Q14" s="1"/>
      <c r="R14" s="1"/>
      <c r="S14" s="1" t="str">
        <f>IF(M14="USD","DOLLAR",M14)</f>
        <v>DOLLAR</v>
      </c>
      <c r="T14" s="1" t="str">
        <f>IF(zara[[#This Row],[terms]]="jackets","jacket",IF(O14="shoes","shoe",O14))</f>
        <v>jacket</v>
      </c>
      <c r="U14" s="1">
        <f>SUMIF(O:O,zara[[#This Row],[terms]],L:L)</f>
        <v>14806.109999999982</v>
      </c>
      <c r="V14" s="1">
        <f>SUMIFS(L:L,O:O,O14)</f>
        <v>14806.109999999982</v>
      </c>
      <c r="W14" s="1" t="str">
        <f>VLOOKUP(zara[[#This Row],[price]],L:P,5,FALSE)</f>
        <v>MAN</v>
      </c>
      <c r="X14" s="1" t="str">
        <f>INDEX(O:O,MATCH(zara[[#This Row],[price]],L:L,0))</f>
        <v>jackets</v>
      </c>
      <c r="Y14" s="1" t="str">
        <f>INDEX(P:P,MATCH(zara[[#This Row],[price]],L:L,0))</f>
        <v>MAN</v>
      </c>
      <c r="Z14" s="1" t="str">
        <f>INDEX(P:P,MATCH(zara[[#This Row],[price]],L:L,0))</f>
        <v>MAN</v>
      </c>
      <c r="AA14" s="1">
        <f>SUMIFS(L:L,O:O,zara[[#This Row],[terms]])</f>
        <v>14806.109999999982</v>
      </c>
    </row>
    <row r="15" spans="1:27" hidden="1" x14ac:dyDescent="0.3">
      <c r="A15">
        <v>188909</v>
      </c>
      <c r="B15" s="1" t="s">
        <v>16</v>
      </c>
      <c r="C15" s="1" t="s">
        <v>32</v>
      </c>
      <c r="D15" s="1" t="s">
        <v>18</v>
      </c>
      <c r="E15" s="1" t="s">
        <v>32</v>
      </c>
      <c r="F15">
        <v>2863</v>
      </c>
      <c r="G15" s="1" t="s">
        <v>19</v>
      </c>
      <c r="H15" s="1" t="s">
        <v>632</v>
      </c>
      <c r="I15" s="1" t="s">
        <v>633</v>
      </c>
      <c r="J15" s="1" t="s">
        <v>634</v>
      </c>
      <c r="K15" s="1" t="s">
        <v>635</v>
      </c>
      <c r="L15">
        <v>39.9</v>
      </c>
      <c r="M15" s="1" t="s">
        <v>24</v>
      </c>
      <c r="N15" s="2">
        <v>45341.382313391201</v>
      </c>
      <c r="O15" s="1" t="s">
        <v>636</v>
      </c>
      <c r="P15" s="1" t="s">
        <v>637</v>
      </c>
      <c r="Q15" s="1"/>
      <c r="R15" s="1"/>
      <c r="S15" s="1" t="str">
        <f>IF(M15="USD","DOLLAR",M15)</f>
        <v>DOLLAR</v>
      </c>
      <c r="T15" s="1" t="str">
        <f>IF(zara[[#This Row],[terms]]="jackets","jacket",IF(O15="shoes","shoe",O15))</f>
        <v>sweaters</v>
      </c>
      <c r="U15" s="1">
        <f>SUMIF(O:O,zara[[#This Row],[terms]],L:L)</f>
        <v>2249.3700000000013</v>
      </c>
      <c r="V15" s="1">
        <f>SUMIFS(L:L,O:O,O15)</f>
        <v>2249.3700000000013</v>
      </c>
      <c r="W15" s="1" t="str">
        <f>VLOOKUP(zara[[#This Row],[price]],L:P,5,FALSE)</f>
        <v>MAN</v>
      </c>
      <c r="X15" s="1" t="str">
        <f>INDEX(O:O,MATCH(zara[[#This Row],[price]],L:L,0))</f>
        <v>jackets</v>
      </c>
      <c r="Y15" s="1" t="str">
        <f>INDEX(P:P,MATCH(zara[[#This Row],[price]],L:L,0))</f>
        <v>MAN</v>
      </c>
      <c r="Z15" s="1" t="str">
        <f>INDEX(P:P,MATCH(zara[[#This Row],[price]],L:L,0))</f>
        <v>MAN</v>
      </c>
      <c r="AA15" s="1">
        <f>SUMIFS(L:L,O:O,zara[[#This Row],[terms]])</f>
        <v>2249.3700000000013</v>
      </c>
    </row>
    <row r="16" spans="1:27" hidden="1" x14ac:dyDescent="0.3">
      <c r="A16">
        <v>133183</v>
      </c>
      <c r="B16" s="1" t="s">
        <v>49</v>
      </c>
      <c r="C16" s="1" t="s">
        <v>32</v>
      </c>
      <c r="D16" s="1" t="s">
        <v>18</v>
      </c>
      <c r="E16" s="1" t="s">
        <v>32</v>
      </c>
      <c r="F16">
        <v>2859</v>
      </c>
      <c r="G16" s="1" t="s">
        <v>19</v>
      </c>
      <c r="H16" s="1" t="s">
        <v>236</v>
      </c>
      <c r="I16" s="1" t="s">
        <v>237</v>
      </c>
      <c r="J16" s="1" t="s">
        <v>238</v>
      </c>
      <c r="K16" s="1" t="s">
        <v>239</v>
      </c>
      <c r="L16">
        <v>89.9</v>
      </c>
      <c r="M16" s="1" t="s">
        <v>24</v>
      </c>
      <c r="N16" s="2">
        <v>45341.36852891204</v>
      </c>
      <c r="O16" s="1" t="s">
        <v>25</v>
      </c>
      <c r="P16" s="1" t="s">
        <v>26</v>
      </c>
      <c r="Q16" s="1"/>
      <c r="R16" s="1"/>
      <c r="S16" s="1" t="str">
        <f>IF(M16="USD","DOLLAR",M16)</f>
        <v>DOLLAR</v>
      </c>
      <c r="T16" s="1" t="str">
        <f>IF(zara[[#This Row],[terms]]="jackets","jacket",IF(O16="shoes","shoe",O16))</f>
        <v>jacket</v>
      </c>
      <c r="U16" s="1">
        <f>SUMIF(O:O,zara[[#This Row],[terms]],L:L)</f>
        <v>14806.109999999982</v>
      </c>
      <c r="V16" s="1">
        <f>SUMIFS(L:L,O:O,O16)</f>
        <v>14806.109999999982</v>
      </c>
      <c r="W16" s="1" t="str">
        <f>VLOOKUP(zara[[#This Row],[price]],L:P,5,FALSE)</f>
        <v>MAN</v>
      </c>
      <c r="X16" s="1" t="str">
        <f>INDEX(O:O,MATCH(zara[[#This Row],[price]],L:L,0))</f>
        <v>jackets</v>
      </c>
      <c r="Y16" s="1" t="str">
        <f>INDEX(P:P,MATCH(zara[[#This Row],[price]],L:L,0))</f>
        <v>MAN</v>
      </c>
      <c r="Z16" s="1" t="str">
        <f>INDEX(P:P,MATCH(zara[[#This Row],[price]],L:L,0))</f>
        <v>MAN</v>
      </c>
      <c r="AA16" s="1">
        <f>SUMIFS(L:L,O:O,zara[[#This Row],[terms]])</f>
        <v>14806.109999999982</v>
      </c>
    </row>
    <row r="17" spans="1:27" x14ac:dyDescent="0.3">
      <c r="A17">
        <v>176666</v>
      </c>
      <c r="B17" s="1" t="s">
        <v>16</v>
      </c>
      <c r="C17" s="1" t="s">
        <v>32</v>
      </c>
      <c r="D17" s="1" t="s">
        <v>18</v>
      </c>
      <c r="E17" s="1" t="s">
        <v>17</v>
      </c>
      <c r="F17">
        <v>2852</v>
      </c>
      <c r="G17" s="1" t="s">
        <v>19</v>
      </c>
      <c r="H17" s="1" t="s">
        <v>558</v>
      </c>
      <c r="I17" s="1" t="s">
        <v>559</v>
      </c>
      <c r="J17" s="1" t="s">
        <v>560</v>
      </c>
      <c r="K17" s="1" t="s">
        <v>561</v>
      </c>
      <c r="L17">
        <v>45.9</v>
      </c>
      <c r="M17" s="1" t="s">
        <v>24</v>
      </c>
      <c r="N17" s="2">
        <v>45341.375429131942</v>
      </c>
      <c r="O17" s="1" t="s">
        <v>517</v>
      </c>
      <c r="P17" s="1" t="s">
        <v>26</v>
      </c>
      <c r="Q17" s="1"/>
      <c r="R17" s="1"/>
      <c r="S17" s="1" t="str">
        <f>IF(M17="USD","DOLLAR",M17)</f>
        <v>DOLLAR</v>
      </c>
      <c r="T17" s="1" t="str">
        <f>IF(zara[[#This Row],[terms]]="jackets","jacket",IF(O17="shoes","shoe",O17))</f>
        <v>shoe</v>
      </c>
      <c r="U17" s="1">
        <f>SUMIF(O:O,zara[[#This Row],[terms]],L:L)</f>
        <v>2011.0800000000013</v>
      </c>
      <c r="V17" s="1">
        <f>SUMIFS(L:L,O:O,O17)</f>
        <v>2011.0800000000013</v>
      </c>
      <c r="W17" s="1" t="str">
        <f>VLOOKUP(zara[[#This Row],[price]],L:P,5,FALSE)</f>
        <v>MAN</v>
      </c>
      <c r="X17" s="1" t="str">
        <f>INDEX(O:O,MATCH(zara[[#This Row],[price]],L:L,0))</f>
        <v>shoes</v>
      </c>
      <c r="Y17" s="1" t="str">
        <f>INDEX(P:P,MATCH(zara[[#This Row],[price]],L:L,0))</f>
        <v>MAN</v>
      </c>
      <c r="Z17" s="1" t="str">
        <f>INDEX(P:P,MATCH(zara[[#This Row],[price]],L:L,0))</f>
        <v>MAN</v>
      </c>
      <c r="AA17" s="1">
        <f>SUMIFS(L:L,O:O,zara[[#This Row],[terms]])</f>
        <v>2011.0800000000013</v>
      </c>
    </row>
    <row r="18" spans="1:27" hidden="1" x14ac:dyDescent="0.3">
      <c r="A18">
        <v>152723</v>
      </c>
      <c r="B18" s="1" t="s">
        <v>16</v>
      </c>
      <c r="C18" s="1" t="s">
        <v>17</v>
      </c>
      <c r="D18" s="1" t="s">
        <v>18</v>
      </c>
      <c r="E18" s="1" t="s">
        <v>32</v>
      </c>
      <c r="F18">
        <v>2849</v>
      </c>
      <c r="G18" s="1" t="s">
        <v>19</v>
      </c>
      <c r="H18" s="1" t="s">
        <v>356</v>
      </c>
      <c r="I18" s="1" t="s">
        <v>357</v>
      </c>
      <c r="J18" s="1" t="s">
        <v>358</v>
      </c>
      <c r="K18" s="1" t="s">
        <v>359</v>
      </c>
      <c r="L18">
        <v>169</v>
      </c>
      <c r="M18" s="1" t="s">
        <v>24</v>
      </c>
      <c r="N18" s="2">
        <v>45341.36879601852</v>
      </c>
      <c r="O18" s="1" t="s">
        <v>25</v>
      </c>
      <c r="P18" s="1" t="s">
        <v>26</v>
      </c>
      <c r="Q18" s="1"/>
      <c r="R18" s="1"/>
      <c r="S18" s="1" t="str">
        <f>IF(M18="USD","DOLLAR",M18)</f>
        <v>DOLLAR</v>
      </c>
      <c r="T18" s="1" t="str">
        <f>IF(zara[[#This Row],[terms]]="jackets","jacket",IF(O18="shoes","shoe",O18))</f>
        <v>jacket</v>
      </c>
      <c r="U18" s="1">
        <f>SUMIF(O:O,zara[[#This Row],[terms]],L:L)</f>
        <v>14806.109999999982</v>
      </c>
      <c r="V18" s="1">
        <f>SUMIFS(L:L,O:O,O18)</f>
        <v>14806.109999999982</v>
      </c>
      <c r="W18" s="1" t="str">
        <f>VLOOKUP(zara[[#This Row],[price]],L:P,5,FALSE)</f>
        <v>MAN</v>
      </c>
      <c r="X18" s="1" t="str">
        <f>INDEX(O:O,MATCH(zara[[#This Row],[price]],L:L,0))</f>
        <v>jackets</v>
      </c>
      <c r="Y18" s="1" t="str">
        <f>INDEX(P:P,MATCH(zara[[#This Row],[price]],L:L,0))</f>
        <v>MAN</v>
      </c>
      <c r="Z18" s="1" t="str">
        <f>INDEX(P:P,MATCH(zara[[#This Row],[price]],L:L,0))</f>
        <v>MAN</v>
      </c>
      <c r="AA18" s="1">
        <f>SUMIFS(L:L,O:O,zara[[#This Row],[terms]])</f>
        <v>14806.109999999982</v>
      </c>
    </row>
    <row r="19" spans="1:27" hidden="1" x14ac:dyDescent="0.3">
      <c r="A19">
        <v>195103</v>
      </c>
      <c r="B19" s="1" t="s">
        <v>16</v>
      </c>
      <c r="C19" s="1" t="s">
        <v>32</v>
      </c>
      <c r="D19" s="1" t="s">
        <v>18</v>
      </c>
      <c r="E19" s="1" t="s">
        <v>17</v>
      </c>
      <c r="F19">
        <v>2849</v>
      </c>
      <c r="G19" s="1" t="s">
        <v>19</v>
      </c>
      <c r="H19" s="1" t="s">
        <v>706</v>
      </c>
      <c r="I19" s="1" t="s">
        <v>466</v>
      </c>
      <c r="J19" s="1" t="s">
        <v>100</v>
      </c>
      <c r="K19" s="1" t="s">
        <v>148</v>
      </c>
      <c r="L19">
        <v>109</v>
      </c>
      <c r="M19" s="1" t="s">
        <v>24</v>
      </c>
      <c r="N19" s="2">
        <v>45341.382370821761</v>
      </c>
      <c r="O19" s="1" t="s">
        <v>836</v>
      </c>
      <c r="P19" s="1" t="s">
        <v>26</v>
      </c>
      <c r="Q19" s="1"/>
      <c r="R19" s="1"/>
      <c r="S19" s="1" t="str">
        <f>IF(M19="USD","DOLLAR",M19)</f>
        <v>DOLLAR</v>
      </c>
      <c r="T19" s="1" t="str">
        <f>IF(zara[[#This Row],[terms]]="jackets","jacket",IF(O19="shoes","shoe",O19))</f>
        <v>t-shirts</v>
      </c>
      <c r="U19" s="1">
        <f>SUMIF(O:O,zara[[#This Row],[terms]],L:L)</f>
        <v>2157.6900000000005</v>
      </c>
      <c r="V19" s="1">
        <f>SUMIFS(L:L,O:O,O19)</f>
        <v>2157.6900000000005</v>
      </c>
      <c r="W19" s="1" t="str">
        <f>VLOOKUP(zara[[#This Row],[price]],L:P,5,FALSE)</f>
        <v>MAN</v>
      </c>
      <c r="X19" s="1" t="str">
        <f>INDEX(O:O,MATCH(zara[[#This Row],[price]],L:L,0))</f>
        <v>t-shirts</v>
      </c>
      <c r="Y19" s="1" t="str">
        <f>INDEX(P:P,MATCH(zara[[#This Row],[price]],L:L,0))</f>
        <v>MAN</v>
      </c>
      <c r="Z19" s="1" t="str">
        <f>INDEX(P:P,MATCH(zara[[#This Row],[price]],L:L,0))</f>
        <v>MAN</v>
      </c>
      <c r="AA19" s="1">
        <f>SUMIFS(L:L,O:O,zara[[#This Row],[terms]])</f>
        <v>2157.6900000000005</v>
      </c>
    </row>
    <row r="20" spans="1:27" hidden="1" x14ac:dyDescent="0.3">
      <c r="A20">
        <v>137598</v>
      </c>
      <c r="B20" s="1" t="s">
        <v>16</v>
      </c>
      <c r="C20" s="1" t="s">
        <v>17</v>
      </c>
      <c r="D20" s="1" t="s">
        <v>18</v>
      </c>
      <c r="E20" s="1" t="s">
        <v>32</v>
      </c>
      <c r="F20">
        <v>2839</v>
      </c>
      <c r="G20" s="1" t="s">
        <v>19</v>
      </c>
      <c r="H20" s="1" t="s">
        <v>399</v>
      </c>
      <c r="I20" s="1" t="s">
        <v>400</v>
      </c>
      <c r="J20" s="1" t="s">
        <v>242</v>
      </c>
      <c r="K20" s="1" t="s">
        <v>401</v>
      </c>
      <c r="L20">
        <v>139</v>
      </c>
      <c r="M20" s="1" t="s">
        <v>24</v>
      </c>
      <c r="N20" s="2">
        <v>45341.368936261577</v>
      </c>
      <c r="O20" s="1" t="s">
        <v>25</v>
      </c>
      <c r="P20" s="1" t="s">
        <v>26</v>
      </c>
      <c r="Q20" s="1"/>
      <c r="R20" s="1"/>
      <c r="S20" s="1" t="str">
        <f>IF(M20="USD","DOLLAR",M20)</f>
        <v>DOLLAR</v>
      </c>
      <c r="T20" s="1" t="str">
        <f>IF(zara[[#This Row],[terms]]="jackets","jacket",IF(O20="shoes","shoe",O20))</f>
        <v>jacket</v>
      </c>
      <c r="U20" s="1">
        <f>SUMIF(O:O,zara[[#This Row],[terms]],L:L)</f>
        <v>14806.109999999982</v>
      </c>
      <c r="V20" s="1">
        <f>SUMIFS(L:L,O:O,O20)</f>
        <v>14806.109999999982</v>
      </c>
      <c r="W20" s="1" t="str">
        <f>VLOOKUP(zara[[#This Row],[price]],L:P,5,FALSE)</f>
        <v>MAN</v>
      </c>
      <c r="X20" s="1" t="str">
        <f>INDEX(O:O,MATCH(zara[[#This Row],[price]],L:L,0))</f>
        <v>jackets</v>
      </c>
      <c r="Y20" s="1" t="str">
        <f>INDEX(P:P,MATCH(zara[[#This Row],[price]],L:L,0))</f>
        <v>MAN</v>
      </c>
      <c r="Z20" s="1" t="str">
        <f>INDEX(P:P,MATCH(zara[[#This Row],[price]],L:L,0))</f>
        <v>MAN</v>
      </c>
      <c r="AA20" s="1">
        <f>SUMIFS(L:L,O:O,zara[[#This Row],[terms]])</f>
        <v>14806.109999999982</v>
      </c>
    </row>
    <row r="21" spans="1:27" x14ac:dyDescent="0.3">
      <c r="A21">
        <v>120354</v>
      </c>
      <c r="B21" s="1" t="s">
        <v>16</v>
      </c>
      <c r="C21" s="1" t="s">
        <v>32</v>
      </c>
      <c r="D21" s="1" t="s">
        <v>18</v>
      </c>
      <c r="E21" s="1" t="s">
        <v>17</v>
      </c>
      <c r="F21">
        <v>2836</v>
      </c>
      <c r="G21" s="1" t="s">
        <v>19</v>
      </c>
      <c r="H21" s="1" t="s">
        <v>594</v>
      </c>
      <c r="I21" s="1" t="s">
        <v>595</v>
      </c>
      <c r="J21" s="1" t="s">
        <v>596</v>
      </c>
      <c r="K21" s="1" t="s">
        <v>597</v>
      </c>
      <c r="L21">
        <v>59.9</v>
      </c>
      <c r="M21" s="1" t="s">
        <v>24</v>
      </c>
      <c r="N21" s="2">
        <v>45341.375514976855</v>
      </c>
      <c r="O21" s="1" t="s">
        <v>517</v>
      </c>
      <c r="P21" s="1" t="s">
        <v>26</v>
      </c>
      <c r="Q21" s="1"/>
      <c r="R21" s="1"/>
      <c r="S21" s="1" t="str">
        <f>IF(M21="USD","DOLLAR",M21)</f>
        <v>DOLLAR</v>
      </c>
      <c r="T21" s="1" t="str">
        <f>IF(zara[[#This Row],[terms]]="jackets","jacket",IF(O21="shoes","shoe",O21))</f>
        <v>shoe</v>
      </c>
      <c r="U21" s="1">
        <f>SUMIF(O:O,zara[[#This Row],[terms]],L:L)</f>
        <v>2011.0800000000013</v>
      </c>
      <c r="V21" s="1">
        <f>SUMIFS(L:L,O:O,O21)</f>
        <v>2011.0800000000013</v>
      </c>
      <c r="W21" s="1" t="str">
        <f>VLOOKUP(zara[[#This Row],[price]],L:P,5,FALSE)</f>
        <v>WOMAN</v>
      </c>
      <c r="X21" s="1" t="str">
        <f>INDEX(O:O,MATCH(zara[[#This Row],[price]],L:L,0))</f>
        <v>sweaters</v>
      </c>
      <c r="Y21" s="1" t="str">
        <f>INDEX(P:P,MATCH(zara[[#This Row],[price]],L:L,0))</f>
        <v>WOMAN</v>
      </c>
      <c r="Z21" s="1" t="str">
        <f>INDEX(P:P,MATCH(zara[[#This Row],[price]],L:L,0))</f>
        <v>WOMAN</v>
      </c>
      <c r="AA21" s="1">
        <f>SUMIFS(L:L,O:O,zara[[#This Row],[terms]])</f>
        <v>2011.0800000000013</v>
      </c>
    </row>
    <row r="22" spans="1:27" hidden="1" x14ac:dyDescent="0.3">
      <c r="A22">
        <v>135521</v>
      </c>
      <c r="B22" s="1" t="s">
        <v>31</v>
      </c>
      <c r="C22" s="1" t="s">
        <v>17</v>
      </c>
      <c r="D22" s="1" t="s">
        <v>18</v>
      </c>
      <c r="E22" s="1" t="s">
        <v>32</v>
      </c>
      <c r="F22">
        <v>2835</v>
      </c>
      <c r="G22" s="1" t="s">
        <v>19</v>
      </c>
      <c r="H22" s="1" t="s">
        <v>710</v>
      </c>
      <c r="I22" s="1" t="s">
        <v>711</v>
      </c>
      <c r="J22" s="1" t="s">
        <v>712</v>
      </c>
      <c r="K22" s="1" t="s">
        <v>713</v>
      </c>
      <c r="L22">
        <v>39.9</v>
      </c>
      <c r="M22" s="1" t="s">
        <v>24</v>
      </c>
      <c r="N22" s="2">
        <v>45341.382452349535</v>
      </c>
      <c r="O22" s="1" t="s">
        <v>636</v>
      </c>
      <c r="P22" s="1" t="s">
        <v>637</v>
      </c>
      <c r="Q22" s="1"/>
      <c r="R22" s="1"/>
      <c r="S22" s="1" t="str">
        <f>IF(M22="USD","DOLLAR",M22)</f>
        <v>DOLLAR</v>
      </c>
      <c r="T22" s="1" t="str">
        <f>IF(zara[[#This Row],[terms]]="jackets","jacket",IF(O22="shoes","shoe",O22))</f>
        <v>sweaters</v>
      </c>
      <c r="U22" s="1">
        <f>SUMIF(O:O,zara[[#This Row],[terms]],L:L)</f>
        <v>2249.3700000000013</v>
      </c>
      <c r="V22" s="1">
        <f>SUMIFS(L:L,O:O,O22)</f>
        <v>2249.3700000000013</v>
      </c>
      <c r="W22" s="1" t="str">
        <f>VLOOKUP(zara[[#This Row],[price]],L:P,5,FALSE)</f>
        <v>MAN</v>
      </c>
      <c r="X22" s="1" t="str">
        <f>INDEX(O:O,MATCH(zara[[#This Row],[price]],L:L,0))</f>
        <v>jackets</v>
      </c>
      <c r="Y22" s="1" t="str">
        <f>INDEX(P:P,MATCH(zara[[#This Row],[price]],L:L,0))</f>
        <v>MAN</v>
      </c>
      <c r="Z22" s="1" t="str">
        <f>INDEX(P:P,MATCH(zara[[#This Row],[price]],L:L,0))</f>
        <v>MAN</v>
      </c>
      <c r="AA22" s="1">
        <f>SUMIFS(L:L,O:O,zara[[#This Row],[terms]])</f>
        <v>2249.3700000000013</v>
      </c>
    </row>
    <row r="23" spans="1:27" hidden="1" x14ac:dyDescent="0.3">
      <c r="A23">
        <v>185102</v>
      </c>
      <c r="B23" s="1" t="s">
        <v>16</v>
      </c>
      <c r="C23" s="1" t="s">
        <v>17</v>
      </c>
      <c r="D23" s="1" t="s">
        <v>18</v>
      </c>
      <c r="E23" s="1" t="s">
        <v>17</v>
      </c>
      <c r="F23">
        <v>2823</v>
      </c>
      <c r="G23" s="1" t="s">
        <v>19</v>
      </c>
      <c r="H23" s="1" t="s">
        <v>20</v>
      </c>
      <c r="I23" s="1" t="s">
        <v>21</v>
      </c>
      <c r="J23" s="1" t="s">
        <v>22</v>
      </c>
      <c r="K23" s="1" t="s">
        <v>23</v>
      </c>
      <c r="L23">
        <v>19.989999999999998</v>
      </c>
      <c r="M23" s="1" t="s">
        <v>24</v>
      </c>
      <c r="N23" s="2">
        <v>45341.368120995372</v>
      </c>
      <c r="O23" s="1" t="s">
        <v>25</v>
      </c>
      <c r="P23" s="1" t="s">
        <v>26</v>
      </c>
      <c r="Q23" s="1">
        <f>SUM(F:F)</f>
        <v>459573</v>
      </c>
      <c r="R23" s="1" t="s">
        <v>904</v>
      </c>
      <c r="S23" s="1" t="str">
        <f>IF(M23="USD","DOLLAR",M23)</f>
        <v>DOLLAR</v>
      </c>
      <c r="T23" s="1" t="str">
        <f>IF(zara[[#This Row],[terms]]="jackets","jacket",IF(O23="shoes","shoe",O23))</f>
        <v>jacket</v>
      </c>
      <c r="U23" s="1">
        <f>SUMIF(O:O,zara[[#This Row],[terms]],L:L)</f>
        <v>14806.109999999982</v>
      </c>
      <c r="V23" s="1">
        <f>SUMIFS(L:L,O:O,O23)</f>
        <v>14806.109999999982</v>
      </c>
      <c r="W23" s="1" t="str">
        <f>VLOOKUP(zara[[#This Row],[price]],L:P,5,FALSE)</f>
        <v>MAN</v>
      </c>
      <c r="X23" s="1" t="str">
        <f>INDEX(O:O,MATCH(zara[[#This Row],[price]],L:L,0))</f>
        <v>jackets</v>
      </c>
      <c r="Y23" s="1" t="str">
        <f>INDEX(P:P,MATCH(zara[[#This Row],[price]],L:L,0))</f>
        <v>MAN</v>
      </c>
      <c r="Z23" s="1" t="str">
        <f>INDEX(P:P,MATCH(zara[[#This Row],[price]],L:L,0))</f>
        <v>MAN</v>
      </c>
      <c r="AA23" s="1">
        <f>SUMIFS(L:L,O:O,zara[[#This Row],[terms]])</f>
        <v>14806.109999999982</v>
      </c>
    </row>
    <row r="24" spans="1:27" hidden="1" x14ac:dyDescent="0.3">
      <c r="A24">
        <v>182306</v>
      </c>
      <c r="B24" s="1" t="s">
        <v>49</v>
      </c>
      <c r="C24" s="1" t="s">
        <v>17</v>
      </c>
      <c r="D24" s="1" t="s">
        <v>18</v>
      </c>
      <c r="E24" s="1" t="s">
        <v>17</v>
      </c>
      <c r="F24">
        <v>2805</v>
      </c>
      <c r="G24" s="1" t="s">
        <v>19</v>
      </c>
      <c r="H24" s="1" t="s">
        <v>428</v>
      </c>
      <c r="I24" s="1" t="s">
        <v>429</v>
      </c>
      <c r="J24" s="1" t="s">
        <v>430</v>
      </c>
      <c r="K24" s="1" t="s">
        <v>431</v>
      </c>
      <c r="L24">
        <v>89.9</v>
      </c>
      <c r="M24" s="1" t="s">
        <v>24</v>
      </c>
      <c r="N24" s="2">
        <v>45341.369122129632</v>
      </c>
      <c r="O24" s="1" t="s">
        <v>25</v>
      </c>
      <c r="P24" s="1" t="s">
        <v>26</v>
      </c>
      <c r="Q24" s="1"/>
      <c r="R24" s="1"/>
      <c r="S24" s="1" t="str">
        <f>IF(M24="USD","DOLLAR",M24)</f>
        <v>DOLLAR</v>
      </c>
      <c r="T24" s="1" t="str">
        <f>IF(zara[[#This Row],[terms]]="jackets","jacket",IF(O24="shoes","shoe",O24))</f>
        <v>jacket</v>
      </c>
      <c r="U24" s="1">
        <f>SUMIF(O:O,zara[[#This Row],[terms]],L:L)</f>
        <v>14806.109999999982</v>
      </c>
      <c r="V24" s="1">
        <f>SUMIFS(L:L,O:O,O24)</f>
        <v>14806.109999999982</v>
      </c>
      <c r="W24" s="1" t="str">
        <f>VLOOKUP(zara[[#This Row],[price]],L:P,5,FALSE)</f>
        <v>MAN</v>
      </c>
      <c r="X24" s="1" t="str">
        <f>INDEX(O:O,MATCH(zara[[#This Row],[price]],L:L,0))</f>
        <v>jackets</v>
      </c>
      <c r="Y24" s="1" t="str">
        <f>INDEX(P:P,MATCH(zara[[#This Row],[price]],L:L,0))</f>
        <v>MAN</v>
      </c>
      <c r="Z24" s="1" t="str">
        <f>INDEX(P:P,MATCH(zara[[#This Row],[price]],L:L,0))</f>
        <v>MAN</v>
      </c>
      <c r="AA24" s="1">
        <f>SUMIFS(L:L,O:O,zara[[#This Row],[terms]])</f>
        <v>14806.109999999982</v>
      </c>
    </row>
    <row r="25" spans="1:27" hidden="1" x14ac:dyDescent="0.3">
      <c r="A25">
        <v>138779</v>
      </c>
      <c r="B25" s="1" t="s">
        <v>49</v>
      </c>
      <c r="C25" s="1" t="s">
        <v>32</v>
      </c>
      <c r="D25" s="1" t="s">
        <v>18</v>
      </c>
      <c r="E25" s="1" t="s">
        <v>32</v>
      </c>
      <c r="F25">
        <v>2801</v>
      </c>
      <c r="G25" s="1" t="s">
        <v>19</v>
      </c>
      <c r="H25" s="1" t="s">
        <v>402</v>
      </c>
      <c r="I25" s="1" t="s">
        <v>403</v>
      </c>
      <c r="J25" s="1" t="s">
        <v>35</v>
      </c>
      <c r="K25" s="1" t="s">
        <v>40</v>
      </c>
      <c r="L25">
        <v>139</v>
      </c>
      <c r="M25" s="1" t="s">
        <v>24</v>
      </c>
      <c r="N25" s="2">
        <v>45341.368941412038</v>
      </c>
      <c r="O25" s="1" t="s">
        <v>25</v>
      </c>
      <c r="P25" s="1" t="s">
        <v>26</v>
      </c>
      <c r="Q25" s="1"/>
      <c r="R25" s="1"/>
      <c r="S25" s="1" t="str">
        <f>IF(M25="USD","DOLLAR",M25)</f>
        <v>DOLLAR</v>
      </c>
      <c r="T25" s="1" t="str">
        <f>IF(zara[[#This Row],[terms]]="jackets","jacket",IF(O25="shoes","shoe",O25))</f>
        <v>jacket</v>
      </c>
      <c r="U25" s="1">
        <f>SUMIF(O:O,zara[[#This Row],[terms]],L:L)</f>
        <v>14806.109999999982</v>
      </c>
      <c r="V25" s="1">
        <f>SUMIFS(L:L,O:O,O25)</f>
        <v>14806.109999999982</v>
      </c>
      <c r="W25" s="1" t="str">
        <f>VLOOKUP(zara[[#This Row],[price]],L:P,5,FALSE)</f>
        <v>MAN</v>
      </c>
      <c r="X25" s="1" t="str">
        <f>INDEX(O:O,MATCH(zara[[#This Row],[price]],L:L,0))</f>
        <v>jackets</v>
      </c>
      <c r="Y25" s="1" t="str">
        <f>INDEX(P:P,MATCH(zara[[#This Row],[price]],L:L,0))</f>
        <v>MAN</v>
      </c>
      <c r="Z25" s="1" t="str">
        <f>INDEX(P:P,MATCH(zara[[#This Row],[price]],L:L,0))</f>
        <v>MAN</v>
      </c>
      <c r="AA25" s="1">
        <f>SUMIFS(L:L,O:O,zara[[#This Row],[terms]])</f>
        <v>14806.109999999982</v>
      </c>
    </row>
    <row r="26" spans="1:27" hidden="1" x14ac:dyDescent="0.3">
      <c r="A26">
        <v>183074</v>
      </c>
      <c r="B26" s="1" t="s">
        <v>16</v>
      </c>
      <c r="C26" s="1" t="s">
        <v>17</v>
      </c>
      <c r="D26" s="1" t="s">
        <v>18</v>
      </c>
      <c r="E26" s="1" t="s">
        <v>17</v>
      </c>
      <c r="F26">
        <v>2791</v>
      </c>
      <c r="G26" s="1" t="s">
        <v>19</v>
      </c>
      <c r="H26" s="1" t="s">
        <v>332</v>
      </c>
      <c r="I26" s="1" t="s">
        <v>333</v>
      </c>
      <c r="J26" s="1" t="s">
        <v>334</v>
      </c>
      <c r="K26" s="1" t="s">
        <v>335</v>
      </c>
      <c r="L26">
        <v>89.9</v>
      </c>
      <c r="M26" s="1" t="s">
        <v>24</v>
      </c>
      <c r="N26" s="2">
        <v>45341.368738483798</v>
      </c>
      <c r="O26" s="1" t="s">
        <v>25</v>
      </c>
      <c r="P26" s="1" t="s">
        <v>26</v>
      </c>
      <c r="Q26" s="1"/>
      <c r="R26" s="1"/>
      <c r="S26" s="1" t="str">
        <f>IF(M26="USD","DOLLAR",M26)</f>
        <v>DOLLAR</v>
      </c>
      <c r="T26" s="1" t="str">
        <f>IF(zara[[#This Row],[terms]]="jackets","jacket",IF(O26="shoes","shoe",O26))</f>
        <v>jacket</v>
      </c>
      <c r="U26" s="1">
        <f>SUMIF(O:O,zara[[#This Row],[terms]],L:L)</f>
        <v>14806.109999999982</v>
      </c>
      <c r="V26" s="1">
        <f>SUMIFS(L:L,O:O,O26)</f>
        <v>14806.109999999982</v>
      </c>
      <c r="W26" s="1" t="str">
        <f>VLOOKUP(zara[[#This Row],[price]],L:P,5,FALSE)</f>
        <v>MAN</v>
      </c>
      <c r="X26" s="1" t="str">
        <f>INDEX(O:O,MATCH(zara[[#This Row],[price]],L:L,0))</f>
        <v>jackets</v>
      </c>
      <c r="Y26" s="1" t="str">
        <f>INDEX(P:P,MATCH(zara[[#This Row],[price]],L:L,0))</f>
        <v>MAN</v>
      </c>
      <c r="Z26" s="1" t="str">
        <f>INDEX(P:P,MATCH(zara[[#This Row],[price]],L:L,0))</f>
        <v>MAN</v>
      </c>
      <c r="AA26" s="1">
        <f>SUMIFS(L:L,O:O,zara[[#This Row],[terms]])</f>
        <v>14806.109999999982</v>
      </c>
    </row>
    <row r="27" spans="1:27" hidden="1" x14ac:dyDescent="0.3">
      <c r="A27">
        <v>183634</v>
      </c>
      <c r="B27" s="1" t="s">
        <v>49</v>
      </c>
      <c r="C27" s="1" t="s">
        <v>32</v>
      </c>
      <c r="D27" s="1" t="s">
        <v>18</v>
      </c>
      <c r="E27" s="1" t="s">
        <v>32</v>
      </c>
      <c r="F27">
        <v>2778</v>
      </c>
      <c r="G27" s="1" t="s">
        <v>19</v>
      </c>
      <c r="H27" s="1" t="s">
        <v>738</v>
      </c>
      <c r="I27" s="1" t="s">
        <v>739</v>
      </c>
      <c r="J27" s="1" t="s">
        <v>740</v>
      </c>
      <c r="K27" s="1" t="s">
        <v>741</v>
      </c>
      <c r="L27">
        <v>27.9</v>
      </c>
      <c r="M27" s="1" t="s">
        <v>24</v>
      </c>
      <c r="N27" s="2">
        <v>45341.382501006941</v>
      </c>
      <c r="O27" s="1" t="s">
        <v>636</v>
      </c>
      <c r="P27" s="1" t="s">
        <v>637</v>
      </c>
      <c r="Q27" s="1"/>
      <c r="R27" s="1"/>
      <c r="S27" s="1" t="str">
        <f>IF(M27="USD","DOLLAR",M27)</f>
        <v>DOLLAR</v>
      </c>
      <c r="T27" s="1" t="str">
        <f>IF(zara[[#This Row],[terms]]="jackets","jacket",IF(O27="shoes","shoe",O27))</f>
        <v>sweaters</v>
      </c>
      <c r="U27" s="1">
        <f>SUMIF(O:O,zara[[#This Row],[terms]],L:L)</f>
        <v>2249.3700000000013</v>
      </c>
      <c r="V27" s="1">
        <f>SUMIFS(L:L,O:O,O27)</f>
        <v>2249.3700000000013</v>
      </c>
      <c r="W27" s="1" t="str">
        <f>VLOOKUP(zara[[#This Row],[price]],L:P,5,FALSE)</f>
        <v>WOMAN</v>
      </c>
      <c r="X27" s="1" t="str">
        <f>INDEX(O:O,MATCH(zara[[#This Row],[price]],L:L,0))</f>
        <v>sweaters</v>
      </c>
      <c r="Y27" s="1" t="str">
        <f>INDEX(P:P,MATCH(zara[[#This Row],[price]],L:L,0))</f>
        <v>WOMAN</v>
      </c>
      <c r="Z27" s="1" t="str">
        <f>INDEX(P:P,MATCH(zara[[#This Row],[price]],L:L,0))</f>
        <v>WOMAN</v>
      </c>
      <c r="AA27" s="1">
        <f>SUMIFS(L:L,O:O,zara[[#This Row],[terms]])</f>
        <v>2249.3700000000013</v>
      </c>
    </row>
    <row r="28" spans="1:27" hidden="1" x14ac:dyDescent="0.3">
      <c r="A28">
        <v>148888</v>
      </c>
      <c r="B28" s="1" t="s">
        <v>49</v>
      </c>
      <c r="C28" s="1" t="s">
        <v>17</v>
      </c>
      <c r="D28" s="1" t="s">
        <v>18</v>
      </c>
      <c r="E28" s="1" t="s">
        <v>17</v>
      </c>
      <c r="F28">
        <v>2774</v>
      </c>
      <c r="G28" s="1" t="s">
        <v>19</v>
      </c>
      <c r="H28" s="1" t="s">
        <v>137</v>
      </c>
      <c r="I28" s="1" t="s">
        <v>138</v>
      </c>
      <c r="J28" s="1" t="s">
        <v>139</v>
      </c>
      <c r="K28" s="1" t="s">
        <v>140</v>
      </c>
      <c r="L28">
        <v>109</v>
      </c>
      <c r="M28" s="1" t="s">
        <v>24</v>
      </c>
      <c r="N28" s="2">
        <v>45341.368312453706</v>
      </c>
      <c r="O28" s="1" t="s">
        <v>25</v>
      </c>
      <c r="P28" s="1" t="s">
        <v>26</v>
      </c>
      <c r="Q28" s="1"/>
      <c r="R28" s="1"/>
      <c r="S28" s="1" t="str">
        <f>IF(M28="USD","DOLLAR",M28)</f>
        <v>DOLLAR</v>
      </c>
      <c r="T28" s="1" t="str">
        <f>IF(zara[[#This Row],[terms]]="jackets","jacket",IF(O28="shoes","shoe",O28))</f>
        <v>jacket</v>
      </c>
      <c r="U28" s="1">
        <f>SUMIF(O:O,zara[[#This Row],[terms]],L:L)</f>
        <v>14806.109999999982</v>
      </c>
      <c r="V28" s="1">
        <f>SUMIFS(L:L,O:O,O28)</f>
        <v>14806.109999999982</v>
      </c>
      <c r="W28" s="1" t="str">
        <f>VLOOKUP(zara[[#This Row],[price]],L:P,5,FALSE)</f>
        <v>MAN</v>
      </c>
      <c r="X28" s="1" t="str">
        <f>INDEX(O:O,MATCH(zara[[#This Row],[price]],L:L,0))</f>
        <v>t-shirts</v>
      </c>
      <c r="Y28" s="1" t="str">
        <f>INDEX(P:P,MATCH(zara[[#This Row],[price]],L:L,0))</f>
        <v>MAN</v>
      </c>
      <c r="Z28" s="1" t="str">
        <f>INDEX(P:P,MATCH(zara[[#This Row],[price]],L:L,0))</f>
        <v>MAN</v>
      </c>
      <c r="AA28" s="1">
        <f>SUMIFS(L:L,O:O,zara[[#This Row],[terms]])</f>
        <v>14806.109999999982</v>
      </c>
    </row>
    <row r="29" spans="1:27" hidden="1" x14ac:dyDescent="0.3">
      <c r="A29">
        <v>165910</v>
      </c>
      <c r="B29" s="1" t="s">
        <v>31</v>
      </c>
      <c r="C29" s="1" t="s">
        <v>32</v>
      </c>
      <c r="D29" s="1" t="s">
        <v>18</v>
      </c>
      <c r="E29" s="1" t="s">
        <v>17</v>
      </c>
      <c r="F29">
        <v>2760</v>
      </c>
      <c r="G29" s="1" t="s">
        <v>19</v>
      </c>
      <c r="H29" s="1" t="s">
        <v>638</v>
      </c>
      <c r="I29" s="1" t="s">
        <v>639</v>
      </c>
      <c r="J29" s="1" t="s">
        <v>640</v>
      </c>
      <c r="K29" s="1" t="s">
        <v>641</v>
      </c>
      <c r="L29">
        <v>69.900000000000006</v>
      </c>
      <c r="M29" s="1" t="s">
        <v>24</v>
      </c>
      <c r="N29" s="2">
        <v>45341.38232099537</v>
      </c>
      <c r="O29" s="1" t="s">
        <v>636</v>
      </c>
      <c r="P29" s="1" t="s">
        <v>637</v>
      </c>
      <c r="Q29" s="1"/>
      <c r="R29" s="1"/>
      <c r="S29" s="1" t="str">
        <f>IF(M29="USD","DOLLAR",M29)</f>
        <v>DOLLAR</v>
      </c>
      <c r="T29" s="1" t="str">
        <f>IF(zara[[#This Row],[terms]]="jackets","jacket",IF(O29="shoes","shoe",O29))</f>
        <v>sweaters</v>
      </c>
      <c r="U29" s="1">
        <f>SUMIF(O:O,zara[[#This Row],[terms]],L:L)</f>
        <v>2249.3700000000013</v>
      </c>
      <c r="V29" s="1">
        <f>SUMIFS(L:L,O:O,O29)</f>
        <v>2249.3700000000013</v>
      </c>
      <c r="W29" s="1" t="str">
        <f>VLOOKUP(zara[[#This Row],[price]],L:P,5,FALSE)</f>
        <v>MAN</v>
      </c>
      <c r="X29" s="1" t="str">
        <f>INDEX(O:O,MATCH(zara[[#This Row],[price]],L:L,0))</f>
        <v>jeans</v>
      </c>
      <c r="Y29" s="1" t="str">
        <f>INDEX(P:P,MATCH(zara[[#This Row],[price]],L:L,0))</f>
        <v>MAN</v>
      </c>
      <c r="Z29" s="1" t="str">
        <f>INDEX(P:P,MATCH(zara[[#This Row],[price]],L:L,0))</f>
        <v>MAN</v>
      </c>
      <c r="AA29" s="1">
        <f>SUMIFS(L:L,O:O,zara[[#This Row],[terms]])</f>
        <v>2249.3700000000013</v>
      </c>
    </row>
    <row r="30" spans="1:27" hidden="1" x14ac:dyDescent="0.3">
      <c r="A30">
        <v>126146</v>
      </c>
      <c r="B30" s="1" t="s">
        <v>16</v>
      </c>
      <c r="C30" s="1" t="s">
        <v>17</v>
      </c>
      <c r="D30" s="1" t="s">
        <v>18</v>
      </c>
      <c r="E30" s="1" t="s">
        <v>17</v>
      </c>
      <c r="F30">
        <v>2759</v>
      </c>
      <c r="G30" s="1" t="s">
        <v>19</v>
      </c>
      <c r="H30" s="1" t="s">
        <v>837</v>
      </c>
      <c r="I30" s="1" t="s">
        <v>838</v>
      </c>
      <c r="J30" s="1" t="s">
        <v>839</v>
      </c>
      <c r="K30" s="1" t="s">
        <v>840</v>
      </c>
      <c r="L30">
        <v>39.9</v>
      </c>
      <c r="M30" s="1" t="s">
        <v>24</v>
      </c>
      <c r="N30" s="2">
        <v>45341.372530706016</v>
      </c>
      <c r="O30" s="1" t="s">
        <v>836</v>
      </c>
      <c r="P30" s="1" t="s">
        <v>26</v>
      </c>
      <c r="Q30" s="1"/>
      <c r="R30" s="1"/>
      <c r="S30" s="1" t="str">
        <f>IF(M30="USD","DOLLAR",M30)</f>
        <v>DOLLAR</v>
      </c>
      <c r="T30" s="1" t="str">
        <f>IF(zara[[#This Row],[terms]]="jackets","jacket",IF(O30="shoes","shoe",O30))</f>
        <v>t-shirts</v>
      </c>
      <c r="U30" s="1">
        <f>SUMIF(O:O,zara[[#This Row],[terms]],L:L)</f>
        <v>2157.6900000000005</v>
      </c>
      <c r="V30" s="1">
        <f>SUMIFS(L:L,O:O,O30)</f>
        <v>2157.6900000000005</v>
      </c>
      <c r="W30" s="1" t="str">
        <f>VLOOKUP(zara[[#This Row],[price]],L:P,5,FALSE)</f>
        <v>MAN</v>
      </c>
      <c r="X30" s="1" t="str">
        <f>INDEX(O:O,MATCH(zara[[#This Row],[price]],L:L,0))</f>
        <v>jackets</v>
      </c>
      <c r="Y30" s="1" t="str">
        <f>INDEX(P:P,MATCH(zara[[#This Row],[price]],L:L,0))</f>
        <v>MAN</v>
      </c>
      <c r="Z30" s="1" t="str">
        <f>INDEX(P:P,MATCH(zara[[#This Row],[price]],L:L,0))</f>
        <v>MAN</v>
      </c>
      <c r="AA30" s="1">
        <f>SUMIFS(L:L,O:O,zara[[#This Row],[terms]])</f>
        <v>2157.6900000000005</v>
      </c>
    </row>
    <row r="31" spans="1:27" hidden="1" x14ac:dyDescent="0.3">
      <c r="A31">
        <v>117751</v>
      </c>
      <c r="B31" s="1" t="s">
        <v>16</v>
      </c>
      <c r="C31" s="1" t="s">
        <v>17</v>
      </c>
      <c r="D31" s="1" t="s">
        <v>18</v>
      </c>
      <c r="E31" s="1" t="s">
        <v>17</v>
      </c>
      <c r="F31">
        <v>2749</v>
      </c>
      <c r="G31" s="1" t="s">
        <v>19</v>
      </c>
      <c r="H31" s="1" t="s">
        <v>288</v>
      </c>
      <c r="I31" s="1" t="s">
        <v>289</v>
      </c>
      <c r="J31" s="1" t="s">
        <v>290</v>
      </c>
      <c r="K31" s="1" t="s">
        <v>291</v>
      </c>
      <c r="L31">
        <v>89.9</v>
      </c>
      <c r="M31" s="1" t="s">
        <v>24</v>
      </c>
      <c r="N31" s="2">
        <v>45341.368648148149</v>
      </c>
      <c r="O31" s="1" t="s">
        <v>25</v>
      </c>
      <c r="P31" s="1" t="s">
        <v>26</v>
      </c>
      <c r="Q31" s="1"/>
      <c r="R31" s="1"/>
      <c r="S31" s="1" t="str">
        <f>IF(M31="USD","DOLLAR",M31)</f>
        <v>DOLLAR</v>
      </c>
      <c r="T31" s="1" t="str">
        <f>IF(zara[[#This Row],[terms]]="jackets","jacket",IF(O31="shoes","shoe",O31))</f>
        <v>jacket</v>
      </c>
      <c r="U31" s="1">
        <f>SUMIF(O:O,zara[[#This Row],[terms]],L:L)</f>
        <v>14806.109999999982</v>
      </c>
      <c r="V31" s="1">
        <f>SUMIFS(L:L,O:O,O31)</f>
        <v>14806.109999999982</v>
      </c>
      <c r="W31" s="1" t="str">
        <f>VLOOKUP(zara[[#This Row],[price]],L:P,5,FALSE)</f>
        <v>MAN</v>
      </c>
      <c r="X31" s="1" t="str">
        <f>INDEX(O:O,MATCH(zara[[#This Row],[price]],L:L,0))</f>
        <v>jackets</v>
      </c>
      <c r="Y31" s="1" t="str">
        <f>INDEX(P:P,MATCH(zara[[#This Row],[price]],L:L,0))</f>
        <v>MAN</v>
      </c>
      <c r="Z31" s="1" t="str">
        <f>INDEX(P:P,MATCH(zara[[#This Row],[price]],L:L,0))</f>
        <v>MAN</v>
      </c>
      <c r="AA31" s="1">
        <f>SUMIFS(L:L,O:O,zara[[#This Row],[terms]])</f>
        <v>14806.109999999982</v>
      </c>
    </row>
    <row r="32" spans="1:27" hidden="1" x14ac:dyDescent="0.3">
      <c r="A32">
        <v>154278</v>
      </c>
      <c r="B32" s="1" t="s">
        <v>31</v>
      </c>
      <c r="C32" s="1" t="s">
        <v>17</v>
      </c>
      <c r="D32" s="1" t="s">
        <v>18</v>
      </c>
      <c r="E32" s="1" t="s">
        <v>32</v>
      </c>
      <c r="F32">
        <v>2749</v>
      </c>
      <c r="G32" s="1" t="s">
        <v>19</v>
      </c>
      <c r="H32" s="1" t="s">
        <v>482</v>
      </c>
      <c r="I32" s="1" t="s">
        <v>483</v>
      </c>
      <c r="J32" s="1" t="s">
        <v>484</v>
      </c>
      <c r="K32" s="1" t="s">
        <v>485</v>
      </c>
      <c r="L32">
        <v>89.9</v>
      </c>
      <c r="M32" s="1" t="s">
        <v>24</v>
      </c>
      <c r="N32" s="2">
        <v>45341.369208842596</v>
      </c>
      <c r="O32" s="1" t="s">
        <v>25</v>
      </c>
      <c r="P32" s="1" t="s">
        <v>26</v>
      </c>
      <c r="Q32" s="1"/>
      <c r="R32" s="1"/>
      <c r="S32" s="1" t="str">
        <f>IF(M32="USD","DOLLAR",M32)</f>
        <v>DOLLAR</v>
      </c>
      <c r="T32" s="1" t="str">
        <f>IF(zara[[#This Row],[terms]]="jackets","jacket",IF(O32="shoes","shoe",O32))</f>
        <v>jacket</v>
      </c>
      <c r="U32" s="1">
        <f>SUMIF(O:O,zara[[#This Row],[terms]],L:L)</f>
        <v>14806.109999999982</v>
      </c>
      <c r="V32" s="1">
        <f>SUMIFS(L:L,O:O,O32)</f>
        <v>14806.109999999982</v>
      </c>
      <c r="W32" s="1" t="str">
        <f>VLOOKUP(zara[[#This Row],[price]],L:P,5,FALSE)</f>
        <v>MAN</v>
      </c>
      <c r="X32" s="1" t="str">
        <f>INDEX(O:O,MATCH(zara[[#This Row],[price]],L:L,0))</f>
        <v>jackets</v>
      </c>
      <c r="Y32" s="1" t="str">
        <f>INDEX(P:P,MATCH(zara[[#This Row],[price]],L:L,0))</f>
        <v>MAN</v>
      </c>
      <c r="Z32" s="1" t="str">
        <f>INDEX(P:P,MATCH(zara[[#This Row],[price]],L:L,0))</f>
        <v>MAN</v>
      </c>
      <c r="AA32" s="1">
        <f>SUMIFS(L:L,O:O,zara[[#This Row],[terms]])</f>
        <v>14806.109999999982</v>
      </c>
    </row>
    <row r="33" spans="1:27" hidden="1" x14ac:dyDescent="0.3">
      <c r="A33">
        <v>185307</v>
      </c>
      <c r="B33" s="1" t="s">
        <v>49</v>
      </c>
      <c r="C33" s="1" t="s">
        <v>17</v>
      </c>
      <c r="D33" s="1" t="s">
        <v>18</v>
      </c>
      <c r="E33" s="1" t="s">
        <v>32</v>
      </c>
      <c r="F33">
        <v>2743</v>
      </c>
      <c r="G33" s="1" t="s">
        <v>19</v>
      </c>
      <c r="H33" s="1" t="s">
        <v>750</v>
      </c>
      <c r="I33" s="1" t="s">
        <v>751</v>
      </c>
      <c r="J33" s="1" t="s">
        <v>752</v>
      </c>
      <c r="K33" s="1" t="s">
        <v>753</v>
      </c>
      <c r="L33">
        <v>7.99</v>
      </c>
      <c r="M33" s="1" t="s">
        <v>24</v>
      </c>
      <c r="N33" s="2">
        <v>45341.382522141204</v>
      </c>
      <c r="O33" s="1" t="s">
        <v>636</v>
      </c>
      <c r="P33" s="1" t="s">
        <v>637</v>
      </c>
      <c r="Q33" s="1"/>
      <c r="R33" s="1"/>
      <c r="S33" s="1" t="str">
        <f>IF(M33="USD","DOLLAR",M33)</f>
        <v>DOLLAR</v>
      </c>
      <c r="T33" s="1" t="str">
        <f>IF(zara[[#This Row],[terms]]="jackets","jacket",IF(O33="shoes","shoe",O33))</f>
        <v>sweaters</v>
      </c>
      <c r="U33" s="1">
        <f>SUMIF(O:O,zara[[#This Row],[terms]],L:L)</f>
        <v>2249.3700000000013</v>
      </c>
      <c r="V33" s="1">
        <f>SUMIFS(L:L,O:O,O33)</f>
        <v>2249.3700000000013</v>
      </c>
      <c r="W33" s="1" t="str">
        <f>VLOOKUP(zara[[#This Row],[price]],L:P,5,FALSE)</f>
        <v>WOMAN</v>
      </c>
      <c r="X33" s="1" t="str">
        <f>INDEX(O:O,MATCH(zara[[#This Row],[price]],L:L,0))</f>
        <v>sweaters</v>
      </c>
      <c r="Y33" s="1" t="str">
        <f>INDEX(P:P,MATCH(zara[[#This Row],[price]],L:L,0))</f>
        <v>WOMAN</v>
      </c>
      <c r="Z33" s="1" t="str">
        <f>INDEX(P:P,MATCH(zara[[#This Row],[price]],L:L,0))</f>
        <v>WOMAN</v>
      </c>
      <c r="AA33" s="1">
        <f>SUMIFS(L:L,O:O,zara[[#This Row],[terms]])</f>
        <v>2249.3700000000013</v>
      </c>
    </row>
    <row r="34" spans="1:27" x14ac:dyDescent="0.3">
      <c r="A34">
        <v>111979</v>
      </c>
      <c r="B34" s="1" t="s">
        <v>49</v>
      </c>
      <c r="C34" s="1" t="s">
        <v>17</v>
      </c>
      <c r="D34" s="1" t="s">
        <v>18</v>
      </c>
      <c r="E34" s="1" t="s">
        <v>17</v>
      </c>
      <c r="F34">
        <v>2734</v>
      </c>
      <c r="G34" s="1" t="s">
        <v>19</v>
      </c>
      <c r="H34" s="1" t="s">
        <v>590</v>
      </c>
      <c r="I34" s="1" t="s">
        <v>591</v>
      </c>
      <c r="J34" s="1" t="s">
        <v>592</v>
      </c>
      <c r="K34" s="1" t="s">
        <v>593</v>
      </c>
      <c r="L34">
        <v>59.9</v>
      </c>
      <c r="M34" s="1" t="s">
        <v>24</v>
      </c>
      <c r="N34" s="2">
        <v>45341.375504398151</v>
      </c>
      <c r="O34" s="1" t="s">
        <v>517</v>
      </c>
      <c r="P34" s="1" t="s">
        <v>26</v>
      </c>
      <c r="Q34" s="1"/>
      <c r="R34" s="1"/>
      <c r="S34" s="1" t="str">
        <f>IF(M34="USD","DOLLAR",M34)</f>
        <v>DOLLAR</v>
      </c>
      <c r="T34" s="1" t="str">
        <f>IF(zara[[#This Row],[terms]]="jackets","jacket",IF(O34="shoes","shoe",O34))</f>
        <v>shoe</v>
      </c>
      <c r="U34" s="1">
        <f>SUMIF(O:O,zara[[#This Row],[terms]],L:L)</f>
        <v>2011.0800000000013</v>
      </c>
      <c r="V34" s="1">
        <f>SUMIFS(L:L,O:O,O34)</f>
        <v>2011.0800000000013</v>
      </c>
      <c r="W34" s="1" t="str">
        <f>VLOOKUP(zara[[#This Row],[price]],L:P,5,FALSE)</f>
        <v>WOMAN</v>
      </c>
      <c r="X34" s="1" t="str">
        <f>INDEX(O:O,MATCH(zara[[#This Row],[price]],L:L,0))</f>
        <v>sweaters</v>
      </c>
      <c r="Y34" s="1" t="str">
        <f>INDEX(P:P,MATCH(zara[[#This Row],[price]],L:L,0))</f>
        <v>WOMAN</v>
      </c>
      <c r="Z34" s="1" t="str">
        <f>INDEX(P:P,MATCH(zara[[#This Row],[price]],L:L,0))</f>
        <v>WOMAN</v>
      </c>
      <c r="AA34" s="1">
        <f>SUMIFS(L:L,O:O,zara[[#This Row],[terms]])</f>
        <v>2011.0800000000013</v>
      </c>
    </row>
    <row r="35" spans="1:27" hidden="1" x14ac:dyDescent="0.3">
      <c r="A35">
        <v>162699</v>
      </c>
      <c r="B35" s="1" t="s">
        <v>31</v>
      </c>
      <c r="C35" s="1" t="s">
        <v>17</v>
      </c>
      <c r="D35" s="1" t="s">
        <v>18</v>
      </c>
      <c r="E35" s="1" t="s">
        <v>32</v>
      </c>
      <c r="F35">
        <v>2732</v>
      </c>
      <c r="G35" s="1" t="s">
        <v>19</v>
      </c>
      <c r="H35" s="1" t="s">
        <v>682</v>
      </c>
      <c r="I35" s="1" t="s">
        <v>444</v>
      </c>
      <c r="J35" s="1" t="s">
        <v>76</v>
      </c>
      <c r="K35" s="1" t="s">
        <v>653</v>
      </c>
      <c r="L35">
        <v>89.9</v>
      </c>
      <c r="M35" s="1" t="s">
        <v>24</v>
      </c>
      <c r="N35" s="2">
        <v>45341.382327870371</v>
      </c>
      <c r="O35" s="1" t="s">
        <v>636</v>
      </c>
      <c r="P35" s="1" t="s">
        <v>26</v>
      </c>
      <c r="Q35" s="1"/>
      <c r="R35" s="1"/>
      <c r="S35" s="1" t="str">
        <f>IF(M35="USD","DOLLAR",M35)</f>
        <v>DOLLAR</v>
      </c>
      <c r="T35" s="1" t="str">
        <f>IF(zara[[#This Row],[terms]]="jackets","jacket",IF(O35="shoes","shoe",O35))</f>
        <v>sweaters</v>
      </c>
      <c r="U35" s="1">
        <f>SUMIF(O:O,zara[[#This Row],[terms]],L:L)</f>
        <v>2249.3700000000013</v>
      </c>
      <c r="V35" s="1">
        <f>SUMIFS(L:L,O:O,O35)</f>
        <v>2249.3700000000013</v>
      </c>
      <c r="W35" s="1" t="str">
        <f>VLOOKUP(zara[[#This Row],[price]],L:P,5,FALSE)</f>
        <v>MAN</v>
      </c>
      <c r="X35" s="1" t="str">
        <f>INDEX(O:O,MATCH(zara[[#This Row],[price]],L:L,0))</f>
        <v>jackets</v>
      </c>
      <c r="Y35" s="1" t="str">
        <f>INDEX(P:P,MATCH(zara[[#This Row],[price]],L:L,0))</f>
        <v>MAN</v>
      </c>
      <c r="Z35" s="1" t="str">
        <f>INDEX(P:P,MATCH(zara[[#This Row],[price]],L:L,0))</f>
        <v>MAN</v>
      </c>
      <c r="AA35" s="1">
        <f>SUMIFS(L:L,O:O,zara[[#This Row],[terms]])</f>
        <v>2249.3700000000013</v>
      </c>
    </row>
    <row r="36" spans="1:27" hidden="1" x14ac:dyDescent="0.3">
      <c r="A36">
        <v>133100</v>
      </c>
      <c r="B36" s="1" t="s">
        <v>31</v>
      </c>
      <c r="C36" s="1" t="s">
        <v>32</v>
      </c>
      <c r="D36" s="1" t="s">
        <v>18</v>
      </c>
      <c r="E36" s="1" t="s">
        <v>17</v>
      </c>
      <c r="F36">
        <v>2729</v>
      </c>
      <c r="G36" s="1" t="s">
        <v>19</v>
      </c>
      <c r="H36" s="1" t="s">
        <v>213</v>
      </c>
      <c r="I36" s="1" t="s">
        <v>214</v>
      </c>
      <c r="J36" s="1" t="s">
        <v>215</v>
      </c>
      <c r="K36" s="1" t="s">
        <v>216</v>
      </c>
      <c r="L36">
        <v>89.9</v>
      </c>
      <c r="M36" s="1" t="s">
        <v>24</v>
      </c>
      <c r="N36" s="2">
        <v>45341.368486828702</v>
      </c>
      <c r="O36" s="1" t="s">
        <v>25</v>
      </c>
      <c r="P36" s="1" t="s">
        <v>26</v>
      </c>
      <c r="Q36" s="1"/>
      <c r="R36" s="1"/>
      <c r="S36" s="1" t="str">
        <f>IF(M36="USD","DOLLAR",M36)</f>
        <v>DOLLAR</v>
      </c>
      <c r="T36" s="1" t="str">
        <f>IF(zara[[#This Row],[terms]]="jackets","jacket",IF(O36="shoes","shoe",O36))</f>
        <v>jacket</v>
      </c>
      <c r="U36" s="1">
        <f>SUMIF(O:O,zara[[#This Row],[terms]],L:L)</f>
        <v>14806.109999999982</v>
      </c>
      <c r="V36" s="1">
        <f>SUMIFS(L:L,O:O,O36)</f>
        <v>14806.109999999982</v>
      </c>
      <c r="W36" s="1" t="str">
        <f>VLOOKUP(zara[[#This Row],[price]],L:P,5,FALSE)</f>
        <v>MAN</v>
      </c>
      <c r="X36" s="1" t="str">
        <f>INDEX(O:O,MATCH(zara[[#This Row],[price]],L:L,0))</f>
        <v>jackets</v>
      </c>
      <c r="Y36" s="1" t="str">
        <f>INDEX(P:P,MATCH(zara[[#This Row],[price]],L:L,0))</f>
        <v>MAN</v>
      </c>
      <c r="Z36" s="1" t="str">
        <f>INDEX(P:P,MATCH(zara[[#This Row],[price]],L:L,0))</f>
        <v>MAN</v>
      </c>
      <c r="AA36" s="1">
        <f>SUMIFS(L:L,O:O,zara[[#This Row],[terms]])</f>
        <v>14806.109999999982</v>
      </c>
    </row>
    <row r="37" spans="1:27" hidden="1" x14ac:dyDescent="0.3">
      <c r="A37">
        <v>115581</v>
      </c>
      <c r="B37" s="1" t="s">
        <v>16</v>
      </c>
      <c r="C37" s="1" t="s">
        <v>17</v>
      </c>
      <c r="D37" s="1" t="s">
        <v>18</v>
      </c>
      <c r="E37" s="1" t="s">
        <v>32</v>
      </c>
      <c r="F37">
        <v>2728</v>
      </c>
      <c r="G37" s="1" t="s">
        <v>19</v>
      </c>
      <c r="H37" s="1" t="s">
        <v>734</v>
      </c>
      <c r="I37" s="1" t="s">
        <v>735</v>
      </c>
      <c r="J37" s="1" t="s">
        <v>736</v>
      </c>
      <c r="K37" s="1" t="s">
        <v>737</v>
      </c>
      <c r="L37">
        <v>47.9</v>
      </c>
      <c r="M37" s="1" t="s">
        <v>24</v>
      </c>
      <c r="N37" s="2">
        <v>45341.382492372686</v>
      </c>
      <c r="O37" s="1" t="s">
        <v>636</v>
      </c>
      <c r="P37" s="1" t="s">
        <v>637</v>
      </c>
      <c r="Q37" s="1"/>
      <c r="R37" s="1"/>
      <c r="S37" s="1" t="str">
        <f>IF(M37="USD","DOLLAR",M37)</f>
        <v>DOLLAR</v>
      </c>
      <c r="T37" s="1" t="str">
        <f>IF(zara[[#This Row],[terms]]="jackets","jacket",IF(O37="shoes","shoe",O37))</f>
        <v>sweaters</v>
      </c>
      <c r="U37" s="1">
        <f>SUMIF(O:O,zara[[#This Row],[terms]],L:L)</f>
        <v>2249.3700000000013</v>
      </c>
      <c r="V37" s="1">
        <f>SUMIFS(L:L,O:O,O37)</f>
        <v>2249.3700000000013</v>
      </c>
      <c r="W37" s="1" t="str">
        <f>VLOOKUP(zara[[#This Row],[price]],L:P,5,FALSE)</f>
        <v>WOMAN</v>
      </c>
      <c r="X37" s="1" t="str">
        <f>INDEX(O:O,MATCH(zara[[#This Row],[price]],L:L,0))</f>
        <v>sweaters</v>
      </c>
      <c r="Y37" s="1" t="str">
        <f>INDEX(P:P,MATCH(zara[[#This Row],[price]],L:L,0))</f>
        <v>WOMAN</v>
      </c>
      <c r="Z37" s="1" t="str">
        <f>INDEX(P:P,MATCH(zara[[#This Row],[price]],L:L,0))</f>
        <v>WOMAN</v>
      </c>
      <c r="AA37" s="1">
        <f>SUMIFS(L:L,O:O,zara[[#This Row],[terms]])</f>
        <v>2249.3700000000013</v>
      </c>
    </row>
    <row r="38" spans="1:27" hidden="1" x14ac:dyDescent="0.3">
      <c r="A38">
        <v>163982</v>
      </c>
      <c r="B38" s="1" t="s">
        <v>49</v>
      </c>
      <c r="C38" s="1" t="s">
        <v>17</v>
      </c>
      <c r="D38" s="1" t="s">
        <v>18</v>
      </c>
      <c r="E38" s="1" t="s">
        <v>17</v>
      </c>
      <c r="F38">
        <v>2685</v>
      </c>
      <c r="G38" s="1" t="s">
        <v>19</v>
      </c>
      <c r="H38" s="1" t="s">
        <v>694</v>
      </c>
      <c r="I38" s="1" t="s">
        <v>455</v>
      </c>
      <c r="J38" s="1" t="s">
        <v>88</v>
      </c>
      <c r="K38" s="1" t="s">
        <v>474</v>
      </c>
      <c r="L38">
        <v>69.900000000000006</v>
      </c>
      <c r="M38" s="1" t="s">
        <v>24</v>
      </c>
      <c r="N38" s="2">
        <v>45341.382350324071</v>
      </c>
      <c r="O38" s="1" t="s">
        <v>836</v>
      </c>
      <c r="P38" s="1" t="s">
        <v>26</v>
      </c>
      <c r="Q38" s="1"/>
      <c r="R38" s="1"/>
      <c r="S38" s="1" t="str">
        <f>IF(M38="USD","DOLLAR",M38)</f>
        <v>DOLLAR</v>
      </c>
      <c r="T38" s="1" t="str">
        <f>IF(zara[[#This Row],[terms]]="jackets","jacket",IF(O38="shoes","shoe",O38))</f>
        <v>t-shirts</v>
      </c>
      <c r="U38" s="1">
        <f>SUMIF(O:O,zara[[#This Row],[terms]],L:L)</f>
        <v>2157.6900000000005</v>
      </c>
      <c r="V38" s="1">
        <f>SUMIFS(L:L,O:O,O38)</f>
        <v>2157.6900000000005</v>
      </c>
      <c r="W38" s="1" t="str">
        <f>VLOOKUP(zara[[#This Row],[price]],L:P,5,FALSE)</f>
        <v>MAN</v>
      </c>
      <c r="X38" s="1" t="str">
        <f>INDEX(O:O,MATCH(zara[[#This Row],[price]],L:L,0))</f>
        <v>jeans</v>
      </c>
      <c r="Y38" s="1" t="str">
        <f>INDEX(P:P,MATCH(zara[[#This Row],[price]],L:L,0))</f>
        <v>MAN</v>
      </c>
      <c r="Z38" s="1" t="str">
        <f>INDEX(P:P,MATCH(zara[[#This Row],[price]],L:L,0))</f>
        <v>MAN</v>
      </c>
      <c r="AA38" s="1">
        <f>SUMIFS(L:L,O:O,zara[[#This Row],[terms]])</f>
        <v>2157.6900000000005</v>
      </c>
    </row>
    <row r="39" spans="1:27" hidden="1" x14ac:dyDescent="0.3">
      <c r="A39">
        <v>113143</v>
      </c>
      <c r="B39" s="1" t="s">
        <v>16</v>
      </c>
      <c r="C39" s="1" t="s">
        <v>32</v>
      </c>
      <c r="D39" s="1" t="s">
        <v>18</v>
      </c>
      <c r="E39" s="1" t="s">
        <v>32</v>
      </c>
      <c r="F39">
        <v>2663</v>
      </c>
      <c r="G39" s="1" t="s">
        <v>19</v>
      </c>
      <c r="H39" s="1" t="s">
        <v>66</v>
      </c>
      <c r="I39" s="1" t="s">
        <v>67</v>
      </c>
      <c r="J39" s="1" t="s">
        <v>68</v>
      </c>
      <c r="K39" s="1" t="s">
        <v>69</v>
      </c>
      <c r="L39">
        <v>129</v>
      </c>
      <c r="M39" s="1" t="s">
        <v>24</v>
      </c>
      <c r="N39" s="2">
        <v>45341.368194571762</v>
      </c>
      <c r="O39" s="1" t="s">
        <v>25</v>
      </c>
      <c r="P39" s="1" t="s">
        <v>26</v>
      </c>
      <c r="Q39" s="1"/>
      <c r="R39" s="1"/>
      <c r="S39" s="1" t="str">
        <f>IF(M39="USD","DOLLAR",M39)</f>
        <v>DOLLAR</v>
      </c>
      <c r="T39" s="1" t="str">
        <f>IF(zara[[#This Row],[terms]]="jackets","jacket",IF(O39="shoes","shoe",O39))</f>
        <v>jacket</v>
      </c>
      <c r="U39" s="1">
        <f>SUMIF(O:O,zara[[#This Row],[terms]],L:L)</f>
        <v>14806.109999999982</v>
      </c>
      <c r="V39" s="1">
        <f>SUMIFS(L:L,O:O,O39)</f>
        <v>14806.109999999982</v>
      </c>
      <c r="W39" s="1" t="str">
        <f>VLOOKUP(zara[[#This Row],[price]],L:P,5,FALSE)</f>
        <v>MAN</v>
      </c>
      <c r="X39" s="1" t="str">
        <f>INDEX(O:O,MATCH(zara[[#This Row],[price]],L:L,0))</f>
        <v>jackets</v>
      </c>
      <c r="Y39" s="1" t="str">
        <f>INDEX(P:P,MATCH(zara[[#This Row],[price]],L:L,0))</f>
        <v>MAN</v>
      </c>
      <c r="Z39" s="1" t="str">
        <f>INDEX(P:P,MATCH(zara[[#This Row],[price]],L:L,0))</f>
        <v>MAN</v>
      </c>
      <c r="AA39" s="1">
        <f>SUMIFS(L:L,O:O,zara[[#This Row],[terms]])</f>
        <v>14806.109999999982</v>
      </c>
    </row>
    <row r="40" spans="1:27" hidden="1" x14ac:dyDescent="0.3">
      <c r="A40">
        <v>139967</v>
      </c>
      <c r="B40" s="1" t="s">
        <v>31</v>
      </c>
      <c r="C40" s="1" t="s">
        <v>17</v>
      </c>
      <c r="D40" s="1" t="s">
        <v>18</v>
      </c>
      <c r="E40" s="1" t="s">
        <v>17</v>
      </c>
      <c r="F40">
        <v>2634</v>
      </c>
      <c r="G40" s="1" t="s">
        <v>19</v>
      </c>
      <c r="H40" s="1" t="s">
        <v>678</v>
      </c>
      <c r="I40" s="1" t="s">
        <v>441</v>
      </c>
      <c r="J40" s="1" t="s">
        <v>72</v>
      </c>
      <c r="K40" s="1" t="s">
        <v>725</v>
      </c>
      <c r="L40">
        <v>69.900000000000006</v>
      </c>
      <c r="M40" s="1" t="s">
        <v>24</v>
      </c>
      <c r="N40" s="2">
        <v>45341.38232099537</v>
      </c>
      <c r="O40" s="1" t="s">
        <v>836</v>
      </c>
      <c r="P40" s="1" t="s">
        <v>26</v>
      </c>
      <c r="Q40" s="1"/>
      <c r="R40" s="1"/>
      <c r="S40" s="1" t="str">
        <f>IF(M40="USD","DOLLAR",M40)</f>
        <v>DOLLAR</v>
      </c>
      <c r="T40" s="1" t="str">
        <f>IF(zara[[#This Row],[terms]]="jackets","jacket",IF(O40="shoes","shoe",O40))</f>
        <v>t-shirts</v>
      </c>
      <c r="U40" s="1">
        <f>SUMIF(O:O,zara[[#This Row],[terms]],L:L)</f>
        <v>2157.6900000000005</v>
      </c>
      <c r="V40" s="1">
        <f>SUMIFS(L:L,O:O,O40)</f>
        <v>2157.6900000000005</v>
      </c>
      <c r="W40" s="1" t="str">
        <f>VLOOKUP(zara[[#This Row],[price]],L:P,5,FALSE)</f>
        <v>MAN</v>
      </c>
      <c r="X40" s="1" t="str">
        <f>INDEX(O:O,MATCH(zara[[#This Row],[price]],L:L,0))</f>
        <v>jeans</v>
      </c>
      <c r="Y40" s="1" t="str">
        <f>INDEX(P:P,MATCH(zara[[#This Row],[price]],L:L,0))</f>
        <v>MAN</v>
      </c>
      <c r="Z40" s="1" t="str">
        <f>INDEX(P:P,MATCH(zara[[#This Row],[price]],L:L,0))</f>
        <v>MAN</v>
      </c>
      <c r="AA40" s="1">
        <f>SUMIFS(L:L,O:O,zara[[#This Row],[terms]])</f>
        <v>2157.6900000000005</v>
      </c>
    </row>
    <row r="41" spans="1:27" hidden="1" x14ac:dyDescent="0.3">
      <c r="A41">
        <v>172015</v>
      </c>
      <c r="B41" s="1" t="s">
        <v>31</v>
      </c>
      <c r="C41" s="1" t="s">
        <v>32</v>
      </c>
      <c r="D41" s="1" t="s">
        <v>18</v>
      </c>
      <c r="E41" s="1" t="s">
        <v>32</v>
      </c>
      <c r="F41">
        <v>2622</v>
      </c>
      <c r="G41" s="1" t="s">
        <v>19</v>
      </c>
      <c r="H41" s="1" t="s">
        <v>734</v>
      </c>
      <c r="I41" s="1" t="s">
        <v>491</v>
      </c>
      <c r="J41" s="1" t="s">
        <v>127</v>
      </c>
      <c r="K41" s="1" t="s">
        <v>347</v>
      </c>
      <c r="L41">
        <v>139</v>
      </c>
      <c r="M41" s="1" t="s">
        <v>24</v>
      </c>
      <c r="N41" s="2">
        <v>45341.382424988427</v>
      </c>
      <c r="O41" s="1" t="s">
        <v>836</v>
      </c>
      <c r="P41" s="1" t="s">
        <v>26</v>
      </c>
      <c r="Q41" s="1"/>
      <c r="R41" s="1"/>
      <c r="S41" s="1" t="str">
        <f>IF(M41="USD","DOLLAR",M41)</f>
        <v>DOLLAR</v>
      </c>
      <c r="T41" s="1" t="str">
        <f>IF(zara[[#This Row],[terms]]="jackets","jacket",IF(O41="shoes","shoe",O41))</f>
        <v>t-shirts</v>
      </c>
      <c r="U41" s="1">
        <f>SUMIF(O:O,zara[[#This Row],[terms]],L:L)</f>
        <v>2157.6900000000005</v>
      </c>
      <c r="V41" s="1">
        <f>SUMIFS(L:L,O:O,O41)</f>
        <v>2157.6900000000005</v>
      </c>
      <c r="W41" s="1" t="str">
        <f>VLOOKUP(zara[[#This Row],[price]],L:P,5,FALSE)</f>
        <v>MAN</v>
      </c>
      <c r="X41" s="1" t="str">
        <f>INDEX(O:O,MATCH(zara[[#This Row],[price]],L:L,0))</f>
        <v>jackets</v>
      </c>
      <c r="Y41" s="1" t="str">
        <f>INDEX(P:P,MATCH(zara[[#This Row],[price]],L:L,0))</f>
        <v>MAN</v>
      </c>
      <c r="Z41" s="1" t="str">
        <f>INDEX(P:P,MATCH(zara[[#This Row],[price]],L:L,0))</f>
        <v>MAN</v>
      </c>
      <c r="AA41" s="1">
        <f>SUMIFS(L:L,O:O,zara[[#This Row],[terms]])</f>
        <v>2157.6900000000005</v>
      </c>
    </row>
    <row r="42" spans="1:27" hidden="1" x14ac:dyDescent="0.3">
      <c r="A42">
        <v>179801</v>
      </c>
      <c r="B42" s="1" t="s">
        <v>49</v>
      </c>
      <c r="C42" s="1" t="s">
        <v>17</v>
      </c>
      <c r="D42" s="1" t="s">
        <v>18</v>
      </c>
      <c r="E42" s="1" t="s">
        <v>32</v>
      </c>
      <c r="F42">
        <v>2608</v>
      </c>
      <c r="G42" s="1" t="s">
        <v>19</v>
      </c>
      <c r="H42" s="1" t="s">
        <v>145</v>
      </c>
      <c r="I42" s="1" t="s">
        <v>146</v>
      </c>
      <c r="J42" s="1" t="s">
        <v>147</v>
      </c>
      <c r="K42" s="1" t="s">
        <v>148</v>
      </c>
      <c r="L42">
        <v>129</v>
      </c>
      <c r="M42" s="1" t="s">
        <v>24</v>
      </c>
      <c r="N42" s="2">
        <v>45341.368326956021</v>
      </c>
      <c r="O42" s="1" t="s">
        <v>25</v>
      </c>
      <c r="P42" s="1" t="s">
        <v>26</v>
      </c>
      <c r="Q42" s="1"/>
      <c r="R42" s="1"/>
      <c r="S42" s="1" t="str">
        <f>IF(M42="USD","DOLLAR",M42)</f>
        <v>DOLLAR</v>
      </c>
      <c r="T42" s="1" t="str">
        <f>IF(zara[[#This Row],[terms]]="jackets","jacket",IF(O42="shoes","shoe",O42))</f>
        <v>jacket</v>
      </c>
      <c r="U42" s="1">
        <f>SUMIF(O:O,zara[[#This Row],[terms]],L:L)</f>
        <v>14806.109999999982</v>
      </c>
      <c r="V42" s="1">
        <f>SUMIFS(L:L,O:O,O42)</f>
        <v>14806.109999999982</v>
      </c>
      <c r="W42" s="1" t="str">
        <f>VLOOKUP(zara[[#This Row],[price]],L:P,5,FALSE)</f>
        <v>MAN</v>
      </c>
      <c r="X42" s="1" t="str">
        <f>INDEX(O:O,MATCH(zara[[#This Row],[price]],L:L,0))</f>
        <v>jackets</v>
      </c>
      <c r="Y42" s="1" t="str">
        <f>INDEX(P:P,MATCH(zara[[#This Row],[price]],L:L,0))</f>
        <v>MAN</v>
      </c>
      <c r="Z42" s="1" t="str">
        <f>INDEX(P:P,MATCH(zara[[#This Row],[price]],L:L,0))</f>
        <v>MAN</v>
      </c>
      <c r="AA42" s="1">
        <f>SUMIFS(L:L,O:O,zara[[#This Row],[terms]])</f>
        <v>14806.109999999982</v>
      </c>
    </row>
    <row r="43" spans="1:27" hidden="1" x14ac:dyDescent="0.3">
      <c r="A43">
        <v>115873</v>
      </c>
      <c r="B43" s="1" t="s">
        <v>31</v>
      </c>
      <c r="C43" s="1" t="s">
        <v>32</v>
      </c>
      <c r="D43" s="1" t="s">
        <v>18</v>
      </c>
      <c r="E43" s="1" t="s">
        <v>32</v>
      </c>
      <c r="F43">
        <v>2606</v>
      </c>
      <c r="G43" s="1" t="s">
        <v>19</v>
      </c>
      <c r="H43" s="1" t="s">
        <v>730</v>
      </c>
      <c r="I43" s="1" t="s">
        <v>731</v>
      </c>
      <c r="J43" s="1" t="s">
        <v>732</v>
      </c>
      <c r="K43" s="1" t="s">
        <v>733</v>
      </c>
      <c r="L43">
        <v>59.9</v>
      </c>
      <c r="M43" s="1" t="s">
        <v>24</v>
      </c>
      <c r="N43" s="2">
        <v>45341.382484050926</v>
      </c>
      <c r="O43" s="1" t="s">
        <v>636</v>
      </c>
      <c r="P43" s="1" t="s">
        <v>637</v>
      </c>
      <c r="Q43" s="1"/>
      <c r="R43" s="1"/>
      <c r="S43" s="1" t="str">
        <f>IF(M43="USD","DOLLAR",M43)</f>
        <v>DOLLAR</v>
      </c>
      <c r="T43" s="1" t="str">
        <f>IF(zara[[#This Row],[terms]]="jackets","jacket",IF(O43="shoes","shoe",O43))</f>
        <v>sweaters</v>
      </c>
      <c r="U43" s="1">
        <f>SUMIF(O:O,zara[[#This Row],[terms]],L:L)</f>
        <v>2249.3700000000013</v>
      </c>
      <c r="V43" s="1">
        <f>SUMIFS(L:L,O:O,O43)</f>
        <v>2249.3700000000013</v>
      </c>
      <c r="W43" s="1" t="str">
        <f>VLOOKUP(zara[[#This Row],[price]],L:P,5,FALSE)</f>
        <v>WOMAN</v>
      </c>
      <c r="X43" s="1" t="str">
        <f>INDEX(O:O,MATCH(zara[[#This Row],[price]],L:L,0))</f>
        <v>sweaters</v>
      </c>
      <c r="Y43" s="1" t="str">
        <f>INDEX(P:P,MATCH(zara[[#This Row],[price]],L:L,0))</f>
        <v>WOMAN</v>
      </c>
      <c r="Z43" s="1" t="str">
        <f>INDEX(P:P,MATCH(zara[[#This Row],[price]],L:L,0))</f>
        <v>WOMAN</v>
      </c>
      <c r="AA43" s="1">
        <f>SUMIFS(L:L,O:O,zara[[#This Row],[terms]])</f>
        <v>2249.3700000000013</v>
      </c>
    </row>
    <row r="44" spans="1:27" hidden="1" x14ac:dyDescent="0.3">
      <c r="A44">
        <v>181502</v>
      </c>
      <c r="B44" s="1" t="s">
        <v>49</v>
      </c>
      <c r="C44" s="1" t="s">
        <v>32</v>
      </c>
      <c r="D44" s="1" t="s">
        <v>18</v>
      </c>
      <c r="E44" s="1" t="s">
        <v>17</v>
      </c>
      <c r="F44">
        <v>2591</v>
      </c>
      <c r="G44" s="1" t="s">
        <v>19</v>
      </c>
      <c r="H44" s="1" t="s">
        <v>686</v>
      </c>
      <c r="I44" s="1" t="s">
        <v>687</v>
      </c>
      <c r="J44" s="1" t="s">
        <v>688</v>
      </c>
      <c r="K44" s="1" t="s">
        <v>689</v>
      </c>
      <c r="L44">
        <v>39.9</v>
      </c>
      <c r="M44" s="1" t="s">
        <v>24</v>
      </c>
      <c r="N44" s="2">
        <v>45341.382406377314</v>
      </c>
      <c r="O44" s="1" t="s">
        <v>636</v>
      </c>
      <c r="P44" s="1" t="s">
        <v>637</v>
      </c>
      <c r="Q44" s="1"/>
      <c r="R44" s="1"/>
      <c r="S44" s="1" t="str">
        <f>IF(M44="USD","DOLLAR",M44)</f>
        <v>DOLLAR</v>
      </c>
      <c r="T44" s="1" t="str">
        <f>IF(zara[[#This Row],[terms]]="jackets","jacket",IF(O44="shoes","shoe",O44))</f>
        <v>sweaters</v>
      </c>
      <c r="U44" s="1">
        <f>SUMIF(O:O,zara[[#This Row],[terms]],L:L)</f>
        <v>2249.3700000000013</v>
      </c>
      <c r="V44" s="1">
        <f>SUMIFS(L:L,O:O,O44)</f>
        <v>2249.3700000000013</v>
      </c>
      <c r="W44" s="1" t="str">
        <f>VLOOKUP(zara[[#This Row],[price]],L:P,5,FALSE)</f>
        <v>MAN</v>
      </c>
      <c r="X44" s="1" t="str">
        <f>INDEX(O:O,MATCH(zara[[#This Row],[price]],L:L,0))</f>
        <v>jackets</v>
      </c>
      <c r="Y44" s="1" t="str">
        <f>INDEX(P:P,MATCH(zara[[#This Row],[price]],L:L,0))</f>
        <v>MAN</v>
      </c>
      <c r="Z44" s="1" t="str">
        <f>INDEX(P:P,MATCH(zara[[#This Row],[price]],L:L,0))</f>
        <v>MAN</v>
      </c>
      <c r="AA44" s="1">
        <f>SUMIFS(L:L,O:O,zara[[#This Row],[terms]])</f>
        <v>2249.3700000000013</v>
      </c>
    </row>
    <row r="45" spans="1:27" hidden="1" x14ac:dyDescent="0.3">
      <c r="A45">
        <v>159145</v>
      </c>
      <c r="B45" s="1" t="s">
        <v>31</v>
      </c>
      <c r="C45" s="1" t="s">
        <v>32</v>
      </c>
      <c r="D45" s="1" t="s">
        <v>18</v>
      </c>
      <c r="E45" s="1" t="s">
        <v>17</v>
      </c>
      <c r="F45">
        <v>2579</v>
      </c>
      <c r="G45" s="1" t="s">
        <v>19</v>
      </c>
      <c r="H45" s="1" t="s">
        <v>156</v>
      </c>
      <c r="I45" s="1" t="s">
        <v>157</v>
      </c>
      <c r="J45" s="1" t="s">
        <v>52</v>
      </c>
      <c r="K45" s="1" t="s">
        <v>158</v>
      </c>
      <c r="L45">
        <v>109</v>
      </c>
      <c r="M45" s="1" t="s">
        <v>24</v>
      </c>
      <c r="N45" s="2">
        <v>45341.368345879629</v>
      </c>
      <c r="O45" s="1" t="s">
        <v>25</v>
      </c>
      <c r="P45" s="1" t="s">
        <v>26</v>
      </c>
      <c r="Q45" s="1"/>
      <c r="R45" s="1"/>
      <c r="S45" s="1" t="str">
        <f>IF(M45="USD","DOLLAR",M45)</f>
        <v>DOLLAR</v>
      </c>
      <c r="T45" s="1" t="str">
        <f>IF(zara[[#This Row],[terms]]="jackets","jacket",IF(O45="shoes","shoe",O45))</f>
        <v>jacket</v>
      </c>
      <c r="U45" s="1">
        <f>SUMIF(O:O,zara[[#This Row],[terms]],L:L)</f>
        <v>14806.109999999982</v>
      </c>
      <c r="V45" s="1">
        <f>SUMIFS(L:L,O:O,O45)</f>
        <v>14806.109999999982</v>
      </c>
      <c r="W45" s="1" t="str">
        <f>VLOOKUP(zara[[#This Row],[price]],L:P,5,FALSE)</f>
        <v>MAN</v>
      </c>
      <c r="X45" s="1" t="str">
        <f>INDEX(O:O,MATCH(zara[[#This Row],[price]],L:L,0))</f>
        <v>t-shirts</v>
      </c>
      <c r="Y45" s="1" t="str">
        <f>INDEX(P:P,MATCH(zara[[#This Row],[price]],L:L,0))</f>
        <v>MAN</v>
      </c>
      <c r="Z45" s="1" t="str">
        <f>INDEX(P:P,MATCH(zara[[#This Row],[price]],L:L,0))</f>
        <v>MAN</v>
      </c>
      <c r="AA45" s="1">
        <f>SUMIFS(L:L,O:O,zara[[#This Row],[terms]])</f>
        <v>14806.109999999982</v>
      </c>
    </row>
    <row r="46" spans="1:27" hidden="1" x14ac:dyDescent="0.3">
      <c r="A46">
        <v>143231</v>
      </c>
      <c r="B46" s="1" t="s">
        <v>16</v>
      </c>
      <c r="C46" s="1" t="s">
        <v>17</v>
      </c>
      <c r="D46" s="1" t="s">
        <v>18</v>
      </c>
      <c r="E46" s="1" t="s">
        <v>17</v>
      </c>
      <c r="F46">
        <v>2578</v>
      </c>
      <c r="G46" s="1" t="s">
        <v>19</v>
      </c>
      <c r="H46" s="1" t="s">
        <v>325</v>
      </c>
      <c r="I46" s="1" t="s">
        <v>326</v>
      </c>
      <c r="J46" s="1" t="s">
        <v>313</v>
      </c>
      <c r="K46" s="1" t="s">
        <v>327</v>
      </c>
      <c r="L46">
        <v>89.9</v>
      </c>
      <c r="M46" s="1" t="s">
        <v>24</v>
      </c>
      <c r="N46" s="2">
        <v>45341.368727604167</v>
      </c>
      <c r="O46" s="1" t="s">
        <v>25</v>
      </c>
      <c r="P46" s="1" t="s">
        <v>26</v>
      </c>
      <c r="Q46" s="1"/>
      <c r="R46" s="1"/>
      <c r="S46" s="1" t="str">
        <f>IF(M46="USD","DOLLAR",M46)</f>
        <v>DOLLAR</v>
      </c>
      <c r="T46" s="1" t="str">
        <f>IF(zara[[#This Row],[terms]]="jackets","jacket",IF(O46="shoes","shoe",O46))</f>
        <v>jacket</v>
      </c>
      <c r="U46" s="1">
        <f>SUMIF(O:O,zara[[#This Row],[terms]],L:L)</f>
        <v>14806.109999999982</v>
      </c>
      <c r="V46" s="1">
        <f>SUMIFS(L:L,O:O,O46)</f>
        <v>14806.109999999982</v>
      </c>
      <c r="W46" s="1" t="str">
        <f>VLOOKUP(zara[[#This Row],[price]],L:P,5,FALSE)</f>
        <v>MAN</v>
      </c>
      <c r="X46" s="1" t="str">
        <f>INDEX(O:O,MATCH(zara[[#This Row],[price]],L:L,0))</f>
        <v>jackets</v>
      </c>
      <c r="Y46" s="1" t="str">
        <f>INDEX(P:P,MATCH(zara[[#This Row],[price]],L:L,0))</f>
        <v>MAN</v>
      </c>
      <c r="Z46" s="1" t="str">
        <f>INDEX(P:P,MATCH(zara[[#This Row],[price]],L:L,0))</f>
        <v>MAN</v>
      </c>
      <c r="AA46" s="1">
        <f>SUMIFS(L:L,O:O,zara[[#This Row],[terms]])</f>
        <v>14806.109999999982</v>
      </c>
    </row>
    <row r="47" spans="1:27" hidden="1" x14ac:dyDescent="0.3">
      <c r="A47">
        <v>187234</v>
      </c>
      <c r="B47" s="1" t="s">
        <v>49</v>
      </c>
      <c r="C47" s="1" t="s">
        <v>32</v>
      </c>
      <c r="D47" s="1" t="s">
        <v>18</v>
      </c>
      <c r="E47" s="1" t="s">
        <v>32</v>
      </c>
      <c r="F47">
        <v>2575</v>
      </c>
      <c r="G47" s="1" t="s">
        <v>19</v>
      </c>
      <c r="H47" s="1" t="s">
        <v>133</v>
      </c>
      <c r="I47" s="1" t="s">
        <v>134</v>
      </c>
      <c r="J47" s="1" t="s">
        <v>135</v>
      </c>
      <c r="K47" s="1" t="s">
        <v>136</v>
      </c>
      <c r="L47">
        <v>59.9</v>
      </c>
      <c r="M47" s="1" t="s">
        <v>24</v>
      </c>
      <c r="N47" s="2">
        <v>45341.368306493052</v>
      </c>
      <c r="O47" s="1" t="s">
        <v>25</v>
      </c>
      <c r="P47" s="1" t="s">
        <v>26</v>
      </c>
      <c r="Q47" s="1"/>
      <c r="R47" s="1"/>
      <c r="S47" s="1" t="str">
        <f>IF(M47="USD","DOLLAR",M47)</f>
        <v>DOLLAR</v>
      </c>
      <c r="T47" s="1" t="str">
        <f>IF(zara[[#This Row],[terms]]="jackets","jacket",IF(O47="shoes","shoe",O47))</f>
        <v>jacket</v>
      </c>
      <c r="U47" s="1">
        <f>SUMIF(O:O,zara[[#This Row],[terms]],L:L)</f>
        <v>14806.109999999982</v>
      </c>
      <c r="V47" s="1">
        <f>SUMIFS(L:L,O:O,O47)</f>
        <v>14806.109999999982</v>
      </c>
      <c r="W47" s="1" t="str">
        <f>VLOOKUP(zara[[#This Row],[price]],L:P,5,FALSE)</f>
        <v>WOMAN</v>
      </c>
      <c r="X47" s="1" t="str">
        <f>INDEX(O:O,MATCH(zara[[#This Row],[price]],L:L,0))</f>
        <v>sweaters</v>
      </c>
      <c r="Y47" s="1" t="str">
        <f>INDEX(P:P,MATCH(zara[[#This Row],[price]],L:L,0))</f>
        <v>WOMAN</v>
      </c>
      <c r="Z47" s="1" t="str">
        <f>INDEX(P:P,MATCH(zara[[#This Row],[price]],L:L,0))</f>
        <v>WOMAN</v>
      </c>
      <c r="AA47" s="1">
        <f>SUMIFS(L:L,O:O,zara[[#This Row],[terms]])</f>
        <v>14806.109999999982</v>
      </c>
    </row>
    <row r="48" spans="1:27" hidden="1" x14ac:dyDescent="0.3">
      <c r="A48">
        <v>152563</v>
      </c>
      <c r="B48" s="1" t="s">
        <v>49</v>
      </c>
      <c r="C48" s="1" t="s">
        <v>17</v>
      </c>
      <c r="D48" s="1" t="s">
        <v>18</v>
      </c>
      <c r="E48" s="1" t="s">
        <v>32</v>
      </c>
      <c r="F48">
        <v>2572</v>
      </c>
      <c r="G48" s="1" t="s">
        <v>19</v>
      </c>
      <c r="H48" s="1" t="s">
        <v>670</v>
      </c>
      <c r="I48" s="1" t="s">
        <v>671</v>
      </c>
      <c r="J48" s="1" t="s">
        <v>672</v>
      </c>
      <c r="K48" s="1" t="s">
        <v>673</v>
      </c>
      <c r="L48">
        <v>169</v>
      </c>
      <c r="M48" s="1" t="s">
        <v>24</v>
      </c>
      <c r="N48" s="2">
        <v>45341.382378287039</v>
      </c>
      <c r="O48" s="1" t="s">
        <v>636</v>
      </c>
      <c r="P48" s="1" t="s">
        <v>637</v>
      </c>
      <c r="Q48" s="1"/>
      <c r="R48" s="1"/>
      <c r="S48" s="1" t="str">
        <f>IF(M48="USD","DOLLAR",M48)</f>
        <v>DOLLAR</v>
      </c>
      <c r="T48" s="1" t="str">
        <f>IF(zara[[#This Row],[terms]]="jackets","jacket",IF(O48="shoes","shoe",O48))</f>
        <v>sweaters</v>
      </c>
      <c r="U48" s="1">
        <f>SUMIF(O:O,zara[[#This Row],[terms]],L:L)</f>
        <v>2249.3700000000013</v>
      </c>
      <c r="V48" s="1">
        <f>SUMIFS(L:L,O:O,O48)</f>
        <v>2249.3700000000013</v>
      </c>
      <c r="W48" s="1" t="str">
        <f>VLOOKUP(zara[[#This Row],[price]],L:P,5,FALSE)</f>
        <v>MAN</v>
      </c>
      <c r="X48" s="1" t="str">
        <f>INDEX(O:O,MATCH(zara[[#This Row],[price]],L:L,0))</f>
        <v>jackets</v>
      </c>
      <c r="Y48" s="1" t="str">
        <f>INDEX(P:P,MATCH(zara[[#This Row],[price]],L:L,0))</f>
        <v>MAN</v>
      </c>
      <c r="Z48" s="1" t="str">
        <f>INDEX(P:P,MATCH(zara[[#This Row],[price]],L:L,0))</f>
        <v>MAN</v>
      </c>
      <c r="AA48" s="1">
        <f>SUMIFS(L:L,O:O,zara[[#This Row],[terms]])</f>
        <v>2249.3700000000013</v>
      </c>
    </row>
    <row r="49" spans="1:27" x14ac:dyDescent="0.3">
      <c r="A49">
        <v>147998</v>
      </c>
      <c r="B49" s="1" t="s">
        <v>16</v>
      </c>
      <c r="C49" s="1" t="s">
        <v>17</v>
      </c>
      <c r="D49" s="1" t="s">
        <v>18</v>
      </c>
      <c r="E49" s="1" t="s">
        <v>17</v>
      </c>
      <c r="F49">
        <v>2556</v>
      </c>
      <c r="G49" s="1" t="s">
        <v>19</v>
      </c>
      <c r="H49" s="1" t="s">
        <v>554</v>
      </c>
      <c r="I49" s="1" t="s">
        <v>555</v>
      </c>
      <c r="J49" s="1" t="s">
        <v>556</v>
      </c>
      <c r="K49" s="1" t="s">
        <v>557</v>
      </c>
      <c r="L49">
        <v>9.99</v>
      </c>
      <c r="M49" s="1" t="s">
        <v>24</v>
      </c>
      <c r="N49" s="2">
        <v>45341.375419548611</v>
      </c>
      <c r="O49" s="1" t="s">
        <v>517</v>
      </c>
      <c r="P49" s="1" t="s">
        <v>26</v>
      </c>
      <c r="Q49" s="1"/>
      <c r="R49" s="1"/>
      <c r="S49" s="1" t="str">
        <f>IF(M49="USD","DOLLAR",M49)</f>
        <v>DOLLAR</v>
      </c>
      <c r="T49" s="1" t="str">
        <f>IF(zara[[#This Row],[terms]]="jackets","jacket",IF(O49="shoes","shoe",O49))</f>
        <v>shoe</v>
      </c>
      <c r="U49" s="1">
        <f>SUMIF(O:O,zara[[#This Row],[terms]],L:L)</f>
        <v>2011.0800000000013</v>
      </c>
      <c r="V49" s="1">
        <f>SUMIFS(L:L,O:O,O49)</f>
        <v>2011.0800000000013</v>
      </c>
      <c r="W49" s="1" t="str">
        <f>VLOOKUP(zara[[#This Row],[price]],L:P,5,FALSE)</f>
        <v>MAN</v>
      </c>
      <c r="X49" s="1" t="str">
        <f>INDEX(O:O,MATCH(zara[[#This Row],[price]],L:L,0))</f>
        <v>shoes</v>
      </c>
      <c r="Y49" s="1" t="str">
        <f>INDEX(P:P,MATCH(zara[[#This Row],[price]],L:L,0))</f>
        <v>MAN</v>
      </c>
      <c r="Z49" s="1" t="str">
        <f>INDEX(P:P,MATCH(zara[[#This Row],[price]],L:L,0))</f>
        <v>MAN</v>
      </c>
      <c r="AA49" s="1">
        <f>SUMIFS(L:L,O:O,zara[[#This Row],[terms]])</f>
        <v>2011.0800000000013</v>
      </c>
    </row>
    <row r="50" spans="1:27" hidden="1" x14ac:dyDescent="0.3">
      <c r="A50">
        <v>111521</v>
      </c>
      <c r="B50" s="1" t="s">
        <v>49</v>
      </c>
      <c r="C50" s="1" t="s">
        <v>32</v>
      </c>
      <c r="D50" s="1" t="s">
        <v>18</v>
      </c>
      <c r="E50" s="1" t="s">
        <v>32</v>
      </c>
      <c r="F50">
        <v>2553</v>
      </c>
      <c r="G50" s="1" t="s">
        <v>19</v>
      </c>
      <c r="H50" s="1" t="s">
        <v>389</v>
      </c>
      <c r="I50" s="1" t="s">
        <v>390</v>
      </c>
      <c r="J50" s="1" t="s">
        <v>391</v>
      </c>
      <c r="K50" s="1" t="s">
        <v>392</v>
      </c>
      <c r="L50">
        <v>99.9</v>
      </c>
      <c r="M50" s="1" t="s">
        <v>24</v>
      </c>
      <c r="N50" s="2">
        <v>45341.368842986114</v>
      </c>
      <c r="O50" s="1" t="s">
        <v>25</v>
      </c>
      <c r="P50" s="1" t="s">
        <v>26</v>
      </c>
      <c r="Q50" s="1"/>
      <c r="R50" s="1"/>
      <c r="S50" s="1" t="str">
        <f>IF(M50="USD","DOLLAR",M50)</f>
        <v>DOLLAR</v>
      </c>
      <c r="T50" s="1" t="str">
        <f>IF(zara[[#This Row],[terms]]="jackets","jacket",IF(O50="shoes","shoe",O50))</f>
        <v>jacket</v>
      </c>
      <c r="U50" s="1">
        <f>SUMIF(O:O,zara[[#This Row],[terms]],L:L)</f>
        <v>14806.109999999982</v>
      </c>
      <c r="V50" s="1">
        <f>SUMIFS(L:L,O:O,O50)</f>
        <v>14806.109999999982</v>
      </c>
      <c r="W50" s="1" t="str">
        <f>VLOOKUP(zara[[#This Row],[price]],L:P,5,FALSE)</f>
        <v>MAN</v>
      </c>
      <c r="X50" s="1" t="str">
        <f>INDEX(O:O,MATCH(zara[[#This Row],[price]],L:L,0))</f>
        <v>jackets</v>
      </c>
      <c r="Y50" s="1" t="str">
        <f>INDEX(P:P,MATCH(zara[[#This Row],[price]],L:L,0))</f>
        <v>MAN</v>
      </c>
      <c r="Z50" s="1" t="str">
        <f>INDEX(P:P,MATCH(zara[[#This Row],[price]],L:L,0))</f>
        <v>MAN</v>
      </c>
      <c r="AA50" s="1">
        <f>SUMIFS(L:L,O:O,zara[[#This Row],[terms]])</f>
        <v>14806.109999999982</v>
      </c>
    </row>
    <row r="51" spans="1:27" hidden="1" x14ac:dyDescent="0.3">
      <c r="A51">
        <v>133078</v>
      </c>
      <c r="B51" s="1" t="s">
        <v>16</v>
      </c>
      <c r="C51" s="1" t="s">
        <v>17</v>
      </c>
      <c r="D51" s="1" t="s">
        <v>18</v>
      </c>
      <c r="E51" s="1" t="s">
        <v>32</v>
      </c>
      <c r="F51">
        <v>2535</v>
      </c>
      <c r="G51" s="1" t="s">
        <v>19</v>
      </c>
      <c r="H51" s="1" t="s">
        <v>396</v>
      </c>
      <c r="I51" s="1" t="s">
        <v>397</v>
      </c>
      <c r="J51" s="1" t="s">
        <v>323</v>
      </c>
      <c r="K51" s="1" t="s">
        <v>398</v>
      </c>
      <c r="L51">
        <v>69.900000000000006</v>
      </c>
      <c r="M51" s="1" t="s">
        <v>24</v>
      </c>
      <c r="N51" s="2">
        <v>45341.368862164352</v>
      </c>
      <c r="O51" s="1" t="s">
        <v>25</v>
      </c>
      <c r="P51" s="1" t="s">
        <v>26</v>
      </c>
      <c r="Q51" s="1"/>
      <c r="R51" s="1"/>
      <c r="S51" s="1" t="str">
        <f>IF(M51="USD","DOLLAR",M51)</f>
        <v>DOLLAR</v>
      </c>
      <c r="T51" s="1" t="str">
        <f>IF(zara[[#This Row],[terms]]="jackets","jacket",IF(O51="shoes","shoe",O51))</f>
        <v>jacket</v>
      </c>
      <c r="U51" s="1">
        <f>SUMIF(O:O,zara[[#This Row],[terms]],L:L)</f>
        <v>14806.109999999982</v>
      </c>
      <c r="V51" s="1">
        <f>SUMIFS(L:L,O:O,O51)</f>
        <v>14806.109999999982</v>
      </c>
      <c r="W51" s="1" t="str">
        <f>VLOOKUP(zara[[#This Row],[price]],L:P,5,FALSE)</f>
        <v>MAN</v>
      </c>
      <c r="X51" s="1" t="str">
        <f>INDEX(O:O,MATCH(zara[[#This Row],[price]],L:L,0))</f>
        <v>jeans</v>
      </c>
      <c r="Y51" s="1" t="str">
        <f>INDEX(P:P,MATCH(zara[[#This Row],[price]],L:L,0))</f>
        <v>MAN</v>
      </c>
      <c r="Z51" s="1" t="str">
        <f>INDEX(P:P,MATCH(zara[[#This Row],[price]],L:L,0))</f>
        <v>MAN</v>
      </c>
      <c r="AA51" s="1">
        <f>SUMIFS(L:L,O:O,zara[[#This Row],[terms]])</f>
        <v>14806.109999999982</v>
      </c>
    </row>
    <row r="52" spans="1:27" hidden="1" x14ac:dyDescent="0.3">
      <c r="A52">
        <v>137044</v>
      </c>
      <c r="B52" s="1" t="s">
        <v>16</v>
      </c>
      <c r="C52" s="1" t="s">
        <v>17</v>
      </c>
      <c r="D52" s="1" t="s">
        <v>18</v>
      </c>
      <c r="E52" s="1" t="s">
        <v>32</v>
      </c>
      <c r="F52">
        <v>2534</v>
      </c>
      <c r="G52" s="1" t="s">
        <v>19</v>
      </c>
      <c r="H52" s="1" t="s">
        <v>368</v>
      </c>
      <c r="I52" s="1" t="s">
        <v>514</v>
      </c>
      <c r="J52" s="1" t="s">
        <v>131</v>
      </c>
      <c r="K52" s="1" t="s">
        <v>148</v>
      </c>
      <c r="L52">
        <v>12.99</v>
      </c>
      <c r="M52" s="1" t="s">
        <v>24</v>
      </c>
      <c r="N52" s="2">
        <v>45341.382465381947</v>
      </c>
      <c r="O52" s="1" t="s">
        <v>25</v>
      </c>
      <c r="P52" s="1" t="s">
        <v>26</v>
      </c>
      <c r="Q52" s="1"/>
      <c r="R52" s="1"/>
      <c r="S52" s="1" t="str">
        <f>IF(M52="USD","DOLLAR",M52)</f>
        <v>DOLLAR</v>
      </c>
      <c r="T52" s="1" t="str">
        <f>IF(zara[[#This Row],[terms]]="jackets","jacket",IF(O52="shoes","shoe",O52))</f>
        <v>jacket</v>
      </c>
      <c r="U52" s="1">
        <f>SUMIF(O:O,zara[[#This Row],[terms]],L:L)</f>
        <v>14806.109999999982</v>
      </c>
      <c r="V52" s="1">
        <f>SUMIFS(L:L,O:O,O52)</f>
        <v>14806.109999999982</v>
      </c>
      <c r="W52" s="1" t="str">
        <f>VLOOKUP(zara[[#This Row],[price]],L:P,5,FALSE)</f>
        <v>MAN</v>
      </c>
      <c r="X52" s="1" t="str">
        <f>INDEX(O:O,MATCH(zara[[#This Row],[price]],L:L,0))</f>
        <v>sweaters</v>
      </c>
      <c r="Y52" s="1" t="str">
        <f>INDEX(P:P,MATCH(zara[[#This Row],[price]],L:L,0))</f>
        <v>MAN</v>
      </c>
      <c r="Z52" s="1" t="str">
        <f>INDEX(P:P,MATCH(zara[[#This Row],[price]],L:L,0))</f>
        <v>MAN</v>
      </c>
      <c r="AA52" s="1">
        <f>SUMIFS(L:L,O:O,zara[[#This Row],[terms]])</f>
        <v>14806.109999999982</v>
      </c>
    </row>
    <row r="53" spans="1:27" hidden="1" x14ac:dyDescent="0.3">
      <c r="A53">
        <v>127478</v>
      </c>
      <c r="B53" s="1" t="s">
        <v>49</v>
      </c>
      <c r="C53" s="1" t="s">
        <v>17</v>
      </c>
      <c r="D53" s="1" t="s">
        <v>18</v>
      </c>
      <c r="E53" s="1" t="s">
        <v>32</v>
      </c>
      <c r="F53">
        <v>2498</v>
      </c>
      <c r="G53" s="1" t="s">
        <v>19</v>
      </c>
      <c r="H53" s="1" t="s">
        <v>224</v>
      </c>
      <c r="I53" s="1" t="s">
        <v>225</v>
      </c>
      <c r="J53" s="1" t="s">
        <v>226</v>
      </c>
      <c r="K53" s="1" t="s">
        <v>227</v>
      </c>
      <c r="L53">
        <v>129</v>
      </c>
      <c r="M53" s="1" t="s">
        <v>24</v>
      </c>
      <c r="N53" s="2">
        <v>45341.368508634259</v>
      </c>
      <c r="O53" s="1" t="s">
        <v>25</v>
      </c>
      <c r="P53" s="1" t="s">
        <v>26</v>
      </c>
      <c r="Q53" s="1"/>
      <c r="R53" s="1"/>
      <c r="S53" s="1" t="str">
        <f>IF(M53="USD","DOLLAR",M53)</f>
        <v>DOLLAR</v>
      </c>
      <c r="T53" s="1" t="str">
        <f>IF(zara[[#This Row],[terms]]="jackets","jacket",IF(O53="shoes","shoe",O53))</f>
        <v>jacket</v>
      </c>
      <c r="U53" s="1">
        <f>SUMIF(O:O,zara[[#This Row],[terms]],L:L)</f>
        <v>14806.109999999982</v>
      </c>
      <c r="V53" s="1">
        <f>SUMIFS(L:L,O:O,O53)</f>
        <v>14806.109999999982</v>
      </c>
      <c r="W53" s="1" t="str">
        <f>VLOOKUP(zara[[#This Row],[price]],L:P,5,FALSE)</f>
        <v>MAN</v>
      </c>
      <c r="X53" s="1" t="str">
        <f>INDEX(O:O,MATCH(zara[[#This Row],[price]],L:L,0))</f>
        <v>jackets</v>
      </c>
      <c r="Y53" s="1" t="str">
        <f>INDEX(P:P,MATCH(zara[[#This Row],[price]],L:L,0))</f>
        <v>MAN</v>
      </c>
      <c r="Z53" s="1" t="str">
        <f>INDEX(P:P,MATCH(zara[[#This Row],[price]],L:L,0))</f>
        <v>MAN</v>
      </c>
      <c r="AA53" s="1">
        <f>SUMIFS(L:L,O:O,zara[[#This Row],[terms]])</f>
        <v>14806.109999999982</v>
      </c>
    </row>
    <row r="54" spans="1:27" hidden="1" x14ac:dyDescent="0.3">
      <c r="A54">
        <v>148230</v>
      </c>
      <c r="B54" s="1" t="s">
        <v>49</v>
      </c>
      <c r="C54" s="1" t="s">
        <v>32</v>
      </c>
      <c r="D54" s="1" t="s">
        <v>18</v>
      </c>
      <c r="E54" s="1" t="s">
        <v>17</v>
      </c>
      <c r="F54">
        <v>2494</v>
      </c>
      <c r="G54" s="1" t="s">
        <v>19</v>
      </c>
      <c r="H54" s="1" t="s">
        <v>702</v>
      </c>
      <c r="I54" s="1" t="s">
        <v>703</v>
      </c>
      <c r="J54" s="1" t="s">
        <v>704</v>
      </c>
      <c r="K54" s="1" t="s">
        <v>705</v>
      </c>
      <c r="L54">
        <v>59.9</v>
      </c>
      <c r="M54" s="1" t="s">
        <v>24</v>
      </c>
      <c r="N54" s="2">
        <v>45341.382437418979</v>
      </c>
      <c r="O54" s="1" t="s">
        <v>636</v>
      </c>
      <c r="P54" s="1" t="s">
        <v>637</v>
      </c>
      <c r="Q54" s="1"/>
      <c r="R54" s="1"/>
      <c r="S54" s="1" t="str">
        <f>IF(M54="USD","DOLLAR",M54)</f>
        <v>DOLLAR</v>
      </c>
      <c r="T54" s="1" t="str">
        <f>IF(zara[[#This Row],[terms]]="jackets","jacket",IF(O54="shoes","shoe",O54))</f>
        <v>sweaters</v>
      </c>
      <c r="U54" s="1">
        <f>SUMIF(O:O,zara[[#This Row],[terms]],L:L)</f>
        <v>2249.3700000000013</v>
      </c>
      <c r="V54" s="1">
        <f>SUMIFS(L:L,O:O,O54)</f>
        <v>2249.3700000000013</v>
      </c>
      <c r="W54" s="1" t="str">
        <f>VLOOKUP(zara[[#This Row],[price]],L:P,5,FALSE)</f>
        <v>WOMAN</v>
      </c>
      <c r="X54" s="1" t="str">
        <f>INDEX(O:O,MATCH(zara[[#This Row],[price]],L:L,0))</f>
        <v>sweaters</v>
      </c>
      <c r="Y54" s="1" t="str">
        <f>INDEX(P:P,MATCH(zara[[#This Row],[price]],L:L,0))</f>
        <v>WOMAN</v>
      </c>
      <c r="Z54" s="1" t="str">
        <f>INDEX(P:P,MATCH(zara[[#This Row],[price]],L:L,0))</f>
        <v>WOMAN</v>
      </c>
      <c r="AA54" s="1">
        <f>SUMIFS(L:L,O:O,zara[[#This Row],[terms]])</f>
        <v>2249.3700000000013</v>
      </c>
    </row>
    <row r="55" spans="1:27" x14ac:dyDescent="0.3">
      <c r="A55">
        <v>132007</v>
      </c>
      <c r="B55" s="1" t="s">
        <v>16</v>
      </c>
      <c r="C55" s="1" t="s">
        <v>17</v>
      </c>
      <c r="D55" s="1" t="s">
        <v>18</v>
      </c>
      <c r="E55" s="1" t="s">
        <v>32</v>
      </c>
      <c r="F55">
        <v>2491</v>
      </c>
      <c r="G55" s="1" t="s">
        <v>19</v>
      </c>
      <c r="H55" s="1" t="s">
        <v>550</v>
      </c>
      <c r="I55" s="1" t="s">
        <v>551</v>
      </c>
      <c r="J55" s="1" t="s">
        <v>552</v>
      </c>
      <c r="K55" s="1" t="s">
        <v>553</v>
      </c>
      <c r="L55">
        <v>9.99</v>
      </c>
      <c r="M55" s="1" t="s">
        <v>24</v>
      </c>
      <c r="N55" s="2">
        <v>45341.375404976854</v>
      </c>
      <c r="O55" s="1" t="s">
        <v>517</v>
      </c>
      <c r="P55" s="1" t="s">
        <v>26</v>
      </c>
      <c r="Q55" s="1"/>
      <c r="R55" s="1"/>
      <c r="S55" s="1" t="str">
        <f>IF(M55="USD","DOLLAR",M55)</f>
        <v>DOLLAR</v>
      </c>
      <c r="T55" s="1" t="str">
        <f>IF(zara[[#This Row],[terms]]="jackets","jacket",IF(O55="shoes","shoe",O55))</f>
        <v>shoe</v>
      </c>
      <c r="U55" s="1">
        <f>SUMIF(O:O,zara[[#This Row],[terms]],L:L)</f>
        <v>2011.0800000000013</v>
      </c>
      <c r="V55" s="1">
        <f>SUMIFS(L:L,O:O,O55)</f>
        <v>2011.0800000000013</v>
      </c>
      <c r="W55" s="1" t="str">
        <f>VLOOKUP(zara[[#This Row],[price]],L:P,5,FALSE)</f>
        <v>MAN</v>
      </c>
      <c r="X55" s="1" t="str">
        <f>INDEX(O:O,MATCH(zara[[#This Row],[price]],L:L,0))</f>
        <v>shoes</v>
      </c>
      <c r="Y55" s="1" t="str">
        <f>INDEX(P:P,MATCH(zara[[#This Row],[price]],L:L,0))</f>
        <v>MAN</v>
      </c>
      <c r="Z55" s="1" t="str">
        <f>INDEX(P:P,MATCH(zara[[#This Row],[price]],L:L,0))</f>
        <v>MAN</v>
      </c>
      <c r="AA55" s="1">
        <f>SUMIFS(L:L,O:O,zara[[#This Row],[terms]])</f>
        <v>2011.0800000000013</v>
      </c>
    </row>
    <row r="56" spans="1:27" hidden="1" x14ac:dyDescent="0.3">
      <c r="A56">
        <v>138505</v>
      </c>
      <c r="B56" s="1" t="s">
        <v>49</v>
      </c>
      <c r="C56" s="1" t="s">
        <v>17</v>
      </c>
      <c r="D56" s="1" t="s">
        <v>18</v>
      </c>
      <c r="E56" s="1" t="s">
        <v>17</v>
      </c>
      <c r="F56">
        <v>2478</v>
      </c>
      <c r="G56" s="1" t="s">
        <v>19</v>
      </c>
      <c r="H56" s="1" t="s">
        <v>201</v>
      </c>
      <c r="I56" s="1" t="s">
        <v>202</v>
      </c>
      <c r="J56" s="1" t="s">
        <v>203</v>
      </c>
      <c r="K56" s="1" t="s">
        <v>204</v>
      </c>
      <c r="L56">
        <v>69.900000000000006</v>
      </c>
      <c r="M56" s="1" t="s">
        <v>24</v>
      </c>
      <c r="N56" s="2">
        <v>45341.368460775462</v>
      </c>
      <c r="O56" s="1" t="s">
        <v>25</v>
      </c>
      <c r="P56" s="1" t="s">
        <v>26</v>
      </c>
      <c r="Q56" s="1"/>
      <c r="R56" s="1"/>
      <c r="S56" s="1" t="str">
        <f>IF(M56="USD","DOLLAR",M56)</f>
        <v>DOLLAR</v>
      </c>
      <c r="T56" s="1" t="str">
        <f>IF(zara[[#This Row],[terms]]="jackets","jacket",IF(O56="shoes","shoe",O56))</f>
        <v>jacket</v>
      </c>
      <c r="U56" s="1">
        <f>SUMIF(O:O,zara[[#This Row],[terms]],L:L)</f>
        <v>14806.109999999982</v>
      </c>
      <c r="V56" s="1">
        <f>SUMIFS(L:L,O:O,O56)</f>
        <v>14806.109999999982</v>
      </c>
      <c r="W56" s="1" t="str">
        <f>VLOOKUP(zara[[#This Row],[price]],L:P,5,FALSE)</f>
        <v>MAN</v>
      </c>
      <c r="X56" s="1" t="str">
        <f>INDEX(O:O,MATCH(zara[[#This Row],[price]],L:L,0))</f>
        <v>jeans</v>
      </c>
      <c r="Y56" s="1" t="str">
        <f>INDEX(P:P,MATCH(zara[[#This Row],[price]],L:L,0))</f>
        <v>MAN</v>
      </c>
      <c r="Z56" s="1" t="str">
        <f>INDEX(P:P,MATCH(zara[[#This Row],[price]],L:L,0))</f>
        <v>MAN</v>
      </c>
      <c r="AA56" s="1">
        <f>SUMIFS(L:L,O:O,zara[[#This Row],[terms]])</f>
        <v>14806.109999999982</v>
      </c>
    </row>
    <row r="57" spans="1:27" hidden="1" x14ac:dyDescent="0.3">
      <c r="A57">
        <v>110805</v>
      </c>
      <c r="B57" s="1" t="s">
        <v>49</v>
      </c>
      <c r="C57" s="1" t="s">
        <v>32</v>
      </c>
      <c r="D57" s="1" t="s">
        <v>18</v>
      </c>
      <c r="E57" s="1" t="s">
        <v>17</v>
      </c>
      <c r="F57">
        <v>2477</v>
      </c>
      <c r="G57" s="1" t="s">
        <v>19</v>
      </c>
      <c r="H57" s="1" t="s">
        <v>141</v>
      </c>
      <c r="I57" s="1" t="s">
        <v>142</v>
      </c>
      <c r="J57" s="1" t="s">
        <v>143</v>
      </c>
      <c r="K57" s="1" t="s">
        <v>144</v>
      </c>
      <c r="L57">
        <v>159</v>
      </c>
      <c r="M57" s="1" t="s">
        <v>24</v>
      </c>
      <c r="N57" s="2">
        <v>45341.36831888889</v>
      </c>
      <c r="O57" s="1" t="s">
        <v>25</v>
      </c>
      <c r="P57" s="1" t="s">
        <v>26</v>
      </c>
      <c r="Q57" s="1"/>
      <c r="R57" s="1"/>
      <c r="S57" s="1" t="str">
        <f>IF(M57="USD","DOLLAR",M57)</f>
        <v>DOLLAR</v>
      </c>
      <c r="T57" s="1" t="str">
        <f>IF(zara[[#This Row],[terms]]="jackets","jacket",IF(O57="shoes","shoe",O57))</f>
        <v>jacket</v>
      </c>
      <c r="U57" s="1">
        <f>SUMIF(O:O,zara[[#This Row],[terms]],L:L)</f>
        <v>14806.109999999982</v>
      </c>
      <c r="V57" s="1">
        <f>SUMIFS(L:L,O:O,O57)</f>
        <v>14806.109999999982</v>
      </c>
      <c r="W57" s="1" t="str">
        <f>VLOOKUP(zara[[#This Row],[price]],L:P,5,FALSE)</f>
        <v>MAN</v>
      </c>
      <c r="X57" s="1" t="str">
        <f>INDEX(O:O,MATCH(zara[[#This Row],[price]],L:L,0))</f>
        <v>jackets</v>
      </c>
      <c r="Y57" s="1" t="str">
        <f>INDEX(P:P,MATCH(zara[[#This Row],[price]],L:L,0))</f>
        <v>MAN</v>
      </c>
      <c r="Z57" s="1" t="str">
        <f>INDEX(P:P,MATCH(zara[[#This Row],[price]],L:L,0))</f>
        <v>MAN</v>
      </c>
      <c r="AA57" s="1">
        <f>SUMIFS(L:L,O:O,zara[[#This Row],[terms]])</f>
        <v>14806.109999999982</v>
      </c>
    </row>
    <row r="58" spans="1:27" hidden="1" x14ac:dyDescent="0.3">
      <c r="A58">
        <v>154224</v>
      </c>
      <c r="B58" s="1" t="s">
        <v>31</v>
      </c>
      <c r="C58" s="1" t="s">
        <v>32</v>
      </c>
      <c r="D58" s="1" t="s">
        <v>18</v>
      </c>
      <c r="E58" s="1" t="s">
        <v>17</v>
      </c>
      <c r="F58">
        <v>2474</v>
      </c>
      <c r="G58" s="1" t="s">
        <v>19</v>
      </c>
      <c r="H58" s="1" t="s">
        <v>443</v>
      </c>
      <c r="I58" s="1" t="s">
        <v>444</v>
      </c>
      <c r="J58" s="1" t="s">
        <v>445</v>
      </c>
      <c r="K58" s="1" t="s">
        <v>446</v>
      </c>
      <c r="L58">
        <v>89.9</v>
      </c>
      <c r="M58" s="1" t="s">
        <v>24</v>
      </c>
      <c r="N58" s="2">
        <v>45341.369143969911</v>
      </c>
      <c r="O58" s="1" t="s">
        <v>25</v>
      </c>
      <c r="P58" s="1" t="s">
        <v>26</v>
      </c>
      <c r="Q58" s="1"/>
      <c r="R58" s="1"/>
      <c r="S58" s="1" t="str">
        <f>IF(M58="USD","DOLLAR",M58)</f>
        <v>DOLLAR</v>
      </c>
      <c r="T58" s="1" t="str">
        <f>IF(zara[[#This Row],[terms]]="jackets","jacket",IF(O58="shoes","shoe",O58))</f>
        <v>jacket</v>
      </c>
      <c r="U58" s="1">
        <f>SUMIF(O:O,zara[[#This Row],[terms]],L:L)</f>
        <v>14806.109999999982</v>
      </c>
      <c r="V58" s="1">
        <f>SUMIFS(L:L,O:O,O58)</f>
        <v>14806.109999999982</v>
      </c>
      <c r="W58" s="1" t="str">
        <f>VLOOKUP(zara[[#This Row],[price]],L:P,5,FALSE)</f>
        <v>MAN</v>
      </c>
      <c r="X58" s="1" t="str">
        <f>INDEX(O:O,MATCH(zara[[#This Row],[price]],L:L,0))</f>
        <v>jackets</v>
      </c>
      <c r="Y58" s="1" t="str">
        <f>INDEX(P:P,MATCH(zara[[#This Row],[price]],L:L,0))</f>
        <v>MAN</v>
      </c>
      <c r="Z58" s="1" t="str">
        <f>INDEX(P:P,MATCH(zara[[#This Row],[price]],L:L,0))</f>
        <v>MAN</v>
      </c>
      <c r="AA58" s="1">
        <f>SUMIFS(L:L,O:O,zara[[#This Row],[terms]])</f>
        <v>14806.109999999982</v>
      </c>
    </row>
    <row r="59" spans="1:27" x14ac:dyDescent="0.3">
      <c r="A59">
        <v>163610</v>
      </c>
      <c r="B59" s="1" t="s">
        <v>49</v>
      </c>
      <c r="C59" s="1" t="s">
        <v>32</v>
      </c>
      <c r="D59" s="1" t="s">
        <v>18</v>
      </c>
      <c r="E59" s="1" t="s">
        <v>17</v>
      </c>
      <c r="F59">
        <v>2466</v>
      </c>
      <c r="G59" s="1" t="s">
        <v>19</v>
      </c>
      <c r="H59" s="1" t="s">
        <v>566</v>
      </c>
      <c r="I59" s="1" t="s">
        <v>567</v>
      </c>
      <c r="J59" s="1" t="s">
        <v>568</v>
      </c>
      <c r="K59" s="1" t="s">
        <v>569</v>
      </c>
      <c r="L59">
        <v>89.9</v>
      </c>
      <c r="M59" s="1" t="s">
        <v>24</v>
      </c>
      <c r="N59" s="2">
        <v>45341.375447118058</v>
      </c>
      <c r="O59" s="1" t="s">
        <v>517</v>
      </c>
      <c r="P59" s="1" t="s">
        <v>26</v>
      </c>
      <c r="Q59" s="1"/>
      <c r="R59" s="1"/>
      <c r="S59" s="1" t="str">
        <f>IF(M59="USD","DOLLAR",M59)</f>
        <v>DOLLAR</v>
      </c>
      <c r="T59" s="1" t="str">
        <f>IF(zara[[#This Row],[terms]]="jackets","jacket",IF(O59="shoes","shoe",O59))</f>
        <v>shoe</v>
      </c>
      <c r="U59" s="1">
        <f>SUMIF(O:O,zara[[#This Row],[terms]],L:L)</f>
        <v>2011.0800000000013</v>
      </c>
      <c r="V59" s="1">
        <f>SUMIFS(L:L,O:O,O59)</f>
        <v>2011.0800000000013</v>
      </c>
      <c r="W59" s="1" t="str">
        <f>VLOOKUP(zara[[#This Row],[price]],L:P,5,FALSE)</f>
        <v>MAN</v>
      </c>
      <c r="X59" s="1" t="str">
        <f>INDEX(O:O,MATCH(zara[[#This Row],[price]],L:L,0))</f>
        <v>jackets</v>
      </c>
      <c r="Y59" s="1" t="str">
        <f>INDEX(P:P,MATCH(zara[[#This Row],[price]],L:L,0))</f>
        <v>MAN</v>
      </c>
      <c r="Z59" s="1" t="str">
        <f>INDEX(P:P,MATCH(zara[[#This Row],[price]],L:L,0))</f>
        <v>MAN</v>
      </c>
      <c r="AA59" s="1">
        <f>SUMIFS(L:L,O:O,zara[[#This Row],[terms]])</f>
        <v>2011.0800000000013</v>
      </c>
    </row>
    <row r="60" spans="1:27" hidden="1" x14ac:dyDescent="0.3">
      <c r="A60">
        <v>158781</v>
      </c>
      <c r="B60" s="1" t="s">
        <v>31</v>
      </c>
      <c r="C60" s="1" t="s">
        <v>32</v>
      </c>
      <c r="D60" s="1" t="s">
        <v>18</v>
      </c>
      <c r="E60" s="1" t="s">
        <v>32</v>
      </c>
      <c r="F60">
        <v>2443</v>
      </c>
      <c r="G60" s="1" t="s">
        <v>19</v>
      </c>
      <c r="H60" s="1" t="s">
        <v>454</v>
      </c>
      <c r="I60" s="1" t="s">
        <v>455</v>
      </c>
      <c r="J60" s="1" t="s">
        <v>456</v>
      </c>
      <c r="K60" s="1" t="s">
        <v>457</v>
      </c>
      <c r="L60">
        <v>69.900000000000006</v>
      </c>
      <c r="M60" s="1" t="s">
        <v>24</v>
      </c>
      <c r="N60" s="2">
        <v>45341.369165289354</v>
      </c>
      <c r="O60" s="1" t="s">
        <v>25</v>
      </c>
      <c r="P60" s="1" t="s">
        <v>26</v>
      </c>
      <c r="Q60" s="1"/>
      <c r="R60" s="1"/>
      <c r="S60" s="1" t="str">
        <f>IF(M60="USD","DOLLAR",M60)</f>
        <v>DOLLAR</v>
      </c>
      <c r="T60" s="1" t="str">
        <f>IF(zara[[#This Row],[terms]]="jackets","jacket",IF(O60="shoes","shoe",O60))</f>
        <v>jacket</v>
      </c>
      <c r="U60" s="1">
        <f>SUMIF(O:O,zara[[#This Row],[terms]],L:L)</f>
        <v>14806.109999999982</v>
      </c>
      <c r="V60" s="1">
        <f>SUMIFS(L:L,O:O,O60)</f>
        <v>14806.109999999982</v>
      </c>
      <c r="W60" s="1" t="str">
        <f>VLOOKUP(zara[[#This Row],[price]],L:P,5,FALSE)</f>
        <v>MAN</v>
      </c>
      <c r="X60" s="1" t="str">
        <f>INDEX(O:O,MATCH(zara[[#This Row],[price]],L:L,0))</f>
        <v>jeans</v>
      </c>
      <c r="Y60" s="1" t="str">
        <f>INDEX(P:P,MATCH(zara[[#This Row],[price]],L:L,0))</f>
        <v>MAN</v>
      </c>
      <c r="Z60" s="1" t="str">
        <f>INDEX(P:P,MATCH(zara[[#This Row],[price]],L:L,0))</f>
        <v>MAN</v>
      </c>
      <c r="AA60" s="1">
        <f>SUMIFS(L:L,O:O,zara[[#This Row],[terms]])</f>
        <v>14806.109999999982</v>
      </c>
    </row>
    <row r="61" spans="1:27" hidden="1" x14ac:dyDescent="0.3">
      <c r="A61">
        <v>183537</v>
      </c>
      <c r="B61" s="1" t="s">
        <v>49</v>
      </c>
      <c r="C61" s="1" t="s">
        <v>32</v>
      </c>
      <c r="D61" s="1" t="s">
        <v>18</v>
      </c>
      <c r="E61" s="1" t="s">
        <v>32</v>
      </c>
      <c r="F61">
        <v>2434</v>
      </c>
      <c r="G61" s="1" t="s">
        <v>19</v>
      </c>
      <c r="H61" s="1" t="s">
        <v>486</v>
      </c>
      <c r="I61" s="1" t="s">
        <v>487</v>
      </c>
      <c r="J61" s="1" t="s">
        <v>488</v>
      </c>
      <c r="K61" s="1" t="s">
        <v>489</v>
      </c>
      <c r="L61">
        <v>19.989999999999998</v>
      </c>
      <c r="M61" s="1" t="s">
        <v>24</v>
      </c>
      <c r="N61" s="2">
        <v>45341.369214351849</v>
      </c>
      <c r="O61" s="1" t="s">
        <v>25</v>
      </c>
      <c r="P61" s="1" t="s">
        <v>26</v>
      </c>
      <c r="Q61" s="1"/>
      <c r="R61" s="1"/>
      <c r="S61" s="1" t="str">
        <f>IF(M61="USD","DOLLAR",M61)</f>
        <v>DOLLAR</v>
      </c>
      <c r="T61" s="1" t="str">
        <f>IF(zara[[#This Row],[terms]]="jackets","jacket",IF(O61="shoes","shoe",O61))</f>
        <v>jacket</v>
      </c>
      <c r="U61" s="1">
        <f>SUMIF(O:O,zara[[#This Row],[terms]],L:L)</f>
        <v>14806.109999999982</v>
      </c>
      <c r="V61" s="1">
        <f>SUMIFS(L:L,O:O,O61)</f>
        <v>14806.109999999982</v>
      </c>
      <c r="W61" s="1" t="str">
        <f>VLOOKUP(zara[[#This Row],[price]],L:P,5,FALSE)</f>
        <v>MAN</v>
      </c>
      <c r="X61" s="1" t="str">
        <f>INDEX(O:O,MATCH(zara[[#This Row],[price]],L:L,0))</f>
        <v>jackets</v>
      </c>
      <c r="Y61" s="1" t="str">
        <f>INDEX(P:P,MATCH(zara[[#This Row],[price]],L:L,0))</f>
        <v>MAN</v>
      </c>
      <c r="Z61" s="1" t="str">
        <f>INDEX(P:P,MATCH(zara[[#This Row],[price]],L:L,0))</f>
        <v>MAN</v>
      </c>
      <c r="AA61" s="1">
        <f>SUMIFS(L:L,O:O,zara[[#This Row],[terms]])</f>
        <v>14806.109999999982</v>
      </c>
    </row>
    <row r="62" spans="1:27" hidden="1" x14ac:dyDescent="0.3">
      <c r="A62">
        <v>150953</v>
      </c>
      <c r="B62" s="1" t="s">
        <v>49</v>
      </c>
      <c r="C62" s="1" t="s">
        <v>32</v>
      </c>
      <c r="D62" s="1" t="s">
        <v>18</v>
      </c>
      <c r="E62" s="1" t="s">
        <v>32</v>
      </c>
      <c r="F62">
        <v>2434</v>
      </c>
      <c r="G62" s="1" t="s">
        <v>19</v>
      </c>
      <c r="H62" s="1" t="s">
        <v>726</v>
      </c>
      <c r="I62" s="1" t="s">
        <v>727</v>
      </c>
      <c r="J62" s="1" t="s">
        <v>728</v>
      </c>
      <c r="K62" s="1" t="s">
        <v>729</v>
      </c>
      <c r="L62">
        <v>35.9</v>
      </c>
      <c r="M62" s="1" t="s">
        <v>24</v>
      </c>
      <c r="N62" s="2">
        <v>45341.382478252315</v>
      </c>
      <c r="O62" s="1" t="s">
        <v>636</v>
      </c>
      <c r="P62" s="1" t="s">
        <v>637</v>
      </c>
      <c r="Q62" s="1"/>
      <c r="R62" s="1"/>
      <c r="S62" s="1" t="str">
        <f>IF(M62="USD","DOLLAR",M62)</f>
        <v>DOLLAR</v>
      </c>
      <c r="T62" s="1" t="str">
        <f>IF(zara[[#This Row],[terms]]="jackets","jacket",IF(O62="shoes","shoe",O62))</f>
        <v>sweaters</v>
      </c>
      <c r="U62" s="1">
        <f>SUMIF(O:O,zara[[#This Row],[terms]],L:L)</f>
        <v>2249.3700000000013</v>
      </c>
      <c r="V62" s="1">
        <f>SUMIFS(L:L,O:O,O62)</f>
        <v>2249.3700000000013</v>
      </c>
      <c r="W62" s="1" t="str">
        <f>VLOOKUP(zara[[#This Row],[price]],L:P,5,FALSE)</f>
        <v>WOMAN</v>
      </c>
      <c r="X62" s="1" t="str">
        <f>INDEX(O:O,MATCH(zara[[#This Row],[price]],L:L,0))</f>
        <v>sweaters</v>
      </c>
      <c r="Y62" s="1" t="str">
        <f>INDEX(P:P,MATCH(zara[[#This Row],[price]],L:L,0))</f>
        <v>WOMAN</v>
      </c>
      <c r="Z62" s="1" t="str">
        <f>INDEX(P:P,MATCH(zara[[#This Row],[price]],L:L,0))</f>
        <v>WOMAN</v>
      </c>
      <c r="AA62" s="1">
        <f>SUMIFS(L:L,O:O,zara[[#This Row],[terms]])</f>
        <v>2249.3700000000013</v>
      </c>
    </row>
    <row r="63" spans="1:27" hidden="1" x14ac:dyDescent="0.3">
      <c r="A63">
        <v>182157</v>
      </c>
      <c r="B63" s="1" t="s">
        <v>16</v>
      </c>
      <c r="C63" s="1" t="s">
        <v>17</v>
      </c>
      <c r="D63" s="1" t="s">
        <v>18</v>
      </c>
      <c r="E63" s="1" t="s">
        <v>17</v>
      </c>
      <c r="F63">
        <v>2421</v>
      </c>
      <c r="G63" s="1" t="s">
        <v>19</v>
      </c>
      <c r="H63" s="1" t="s">
        <v>54</v>
      </c>
      <c r="I63" s="1" t="s">
        <v>55</v>
      </c>
      <c r="J63" s="1" t="s">
        <v>56</v>
      </c>
      <c r="K63" s="1" t="s">
        <v>57</v>
      </c>
      <c r="L63">
        <v>159</v>
      </c>
      <c r="M63" s="1" t="s">
        <v>24</v>
      </c>
      <c r="N63" s="2">
        <v>45341.36817361111</v>
      </c>
      <c r="O63" s="1" t="s">
        <v>25</v>
      </c>
      <c r="P63" s="1" t="s">
        <v>26</v>
      </c>
      <c r="Q63" s="1"/>
      <c r="R63" s="1"/>
      <c r="S63" s="1" t="str">
        <f>IF(M63="USD","DOLLAR",M63)</f>
        <v>DOLLAR</v>
      </c>
      <c r="T63" s="1" t="str">
        <f>IF(zara[[#This Row],[terms]]="jackets","jacket",IF(O63="shoes","shoe",O63))</f>
        <v>jacket</v>
      </c>
      <c r="U63" s="1">
        <f>SUMIF(O:O,zara[[#This Row],[terms]],L:L)</f>
        <v>14806.109999999982</v>
      </c>
      <c r="V63" s="1">
        <f>SUMIFS(L:L,O:O,O63)</f>
        <v>14806.109999999982</v>
      </c>
      <c r="W63" s="1" t="str">
        <f>VLOOKUP(zara[[#This Row],[price]],L:P,5,FALSE)</f>
        <v>MAN</v>
      </c>
      <c r="X63" s="1" t="str">
        <f>INDEX(O:O,MATCH(zara[[#This Row],[price]],L:L,0))</f>
        <v>jackets</v>
      </c>
      <c r="Y63" s="1" t="str">
        <f>INDEX(P:P,MATCH(zara[[#This Row],[price]],L:L,0))</f>
        <v>MAN</v>
      </c>
      <c r="Z63" s="1" t="str">
        <f>INDEX(P:P,MATCH(zara[[#This Row],[price]],L:L,0))</f>
        <v>MAN</v>
      </c>
      <c r="AA63" s="1">
        <f>SUMIFS(L:L,O:O,zara[[#This Row],[terms]])</f>
        <v>14806.109999999982</v>
      </c>
    </row>
    <row r="64" spans="1:27" hidden="1" x14ac:dyDescent="0.3">
      <c r="A64">
        <v>126806</v>
      </c>
      <c r="B64" s="1" t="s">
        <v>31</v>
      </c>
      <c r="C64" s="1" t="s">
        <v>32</v>
      </c>
      <c r="D64" s="1" t="s">
        <v>18</v>
      </c>
      <c r="E64" s="1" t="s">
        <v>32</v>
      </c>
      <c r="F64">
        <v>2404</v>
      </c>
      <c r="G64" s="1" t="s">
        <v>19</v>
      </c>
      <c r="H64" s="1" t="s">
        <v>465</v>
      </c>
      <c r="I64" s="1" t="s">
        <v>466</v>
      </c>
      <c r="J64" s="1" t="s">
        <v>346</v>
      </c>
      <c r="K64" s="1" t="s">
        <v>467</v>
      </c>
      <c r="L64">
        <v>109</v>
      </c>
      <c r="M64" s="1" t="s">
        <v>24</v>
      </c>
      <c r="N64" s="2">
        <v>45341.369181666669</v>
      </c>
      <c r="O64" s="1" t="s">
        <v>25</v>
      </c>
      <c r="P64" s="1" t="s">
        <v>26</v>
      </c>
      <c r="Q64" s="1"/>
      <c r="R64" s="1"/>
      <c r="S64" s="1" t="str">
        <f>IF(M64="USD","DOLLAR",M64)</f>
        <v>DOLLAR</v>
      </c>
      <c r="T64" s="1" t="str">
        <f>IF(zara[[#This Row],[terms]]="jackets","jacket",IF(O64="shoes","shoe",O64))</f>
        <v>jacket</v>
      </c>
      <c r="U64" s="1">
        <f>SUMIF(O:O,zara[[#This Row],[terms]],L:L)</f>
        <v>14806.109999999982</v>
      </c>
      <c r="V64" s="1">
        <f>SUMIFS(L:L,O:O,O64)</f>
        <v>14806.109999999982</v>
      </c>
      <c r="W64" s="1" t="str">
        <f>VLOOKUP(zara[[#This Row],[price]],L:P,5,FALSE)</f>
        <v>MAN</v>
      </c>
      <c r="X64" s="1" t="str">
        <f>INDEX(O:O,MATCH(zara[[#This Row],[price]],L:L,0))</f>
        <v>t-shirts</v>
      </c>
      <c r="Y64" s="1" t="str">
        <f>INDEX(P:P,MATCH(zara[[#This Row],[price]],L:L,0))</f>
        <v>MAN</v>
      </c>
      <c r="Z64" s="1" t="str">
        <f>INDEX(P:P,MATCH(zara[[#This Row],[price]],L:L,0))</f>
        <v>MAN</v>
      </c>
      <c r="AA64" s="1">
        <f>SUMIFS(L:L,O:O,zara[[#This Row],[terms]])</f>
        <v>14806.109999999982</v>
      </c>
    </row>
    <row r="65" spans="1:27" x14ac:dyDescent="0.3">
      <c r="A65">
        <v>110329</v>
      </c>
      <c r="B65" s="1" t="s">
        <v>49</v>
      </c>
      <c r="C65" s="1" t="s">
        <v>17</v>
      </c>
      <c r="D65" s="1" t="s">
        <v>18</v>
      </c>
      <c r="E65" s="1" t="s">
        <v>32</v>
      </c>
      <c r="F65">
        <v>2397</v>
      </c>
      <c r="G65" s="1" t="s">
        <v>19</v>
      </c>
      <c r="H65" s="1" t="s">
        <v>617</v>
      </c>
      <c r="I65" s="1" t="s">
        <v>618</v>
      </c>
      <c r="J65" s="1" t="s">
        <v>619</v>
      </c>
      <c r="K65" s="1" t="s">
        <v>620</v>
      </c>
      <c r="L65">
        <v>69.900000000000006</v>
      </c>
      <c r="M65" s="1" t="s">
        <v>24</v>
      </c>
      <c r="N65" s="2">
        <v>45341.375565486109</v>
      </c>
      <c r="O65" s="1" t="s">
        <v>517</v>
      </c>
      <c r="P65" s="1" t="s">
        <v>26</v>
      </c>
      <c r="Q65" s="1"/>
      <c r="R65" s="1"/>
      <c r="S65" s="1" t="str">
        <f>IF(M65="USD","DOLLAR",M65)</f>
        <v>DOLLAR</v>
      </c>
      <c r="T65" s="1" t="str">
        <f>IF(zara[[#This Row],[terms]]="jackets","jacket",IF(O65="shoes","shoe",O65))</f>
        <v>shoe</v>
      </c>
      <c r="U65" s="1">
        <f>SUMIF(O:O,zara[[#This Row],[terms]],L:L)</f>
        <v>2011.0800000000013</v>
      </c>
      <c r="V65" s="1">
        <f>SUMIFS(L:L,O:O,O65)</f>
        <v>2011.0800000000013</v>
      </c>
      <c r="W65" s="1" t="str">
        <f>VLOOKUP(zara[[#This Row],[price]],L:P,5,FALSE)</f>
        <v>MAN</v>
      </c>
      <c r="X65" s="1" t="str">
        <f>INDEX(O:O,MATCH(zara[[#This Row],[price]],L:L,0))</f>
        <v>jeans</v>
      </c>
      <c r="Y65" s="1" t="str">
        <f>INDEX(P:P,MATCH(zara[[#This Row],[price]],L:L,0))</f>
        <v>MAN</v>
      </c>
      <c r="Z65" s="1" t="str">
        <f>INDEX(P:P,MATCH(zara[[#This Row],[price]],L:L,0))</f>
        <v>MAN</v>
      </c>
      <c r="AA65" s="1">
        <f>SUMIFS(L:L,O:O,zara[[#This Row],[terms]])</f>
        <v>2011.0800000000013</v>
      </c>
    </row>
    <row r="66" spans="1:27" x14ac:dyDescent="0.3">
      <c r="A66">
        <v>129247</v>
      </c>
      <c r="B66" s="1" t="s">
        <v>49</v>
      </c>
      <c r="C66" s="1" t="s">
        <v>32</v>
      </c>
      <c r="D66" s="1" t="s">
        <v>18</v>
      </c>
      <c r="E66" s="1" t="s">
        <v>17</v>
      </c>
      <c r="F66">
        <v>2386</v>
      </c>
      <c r="G66" s="1" t="s">
        <v>19</v>
      </c>
      <c r="H66" s="1" t="s">
        <v>582</v>
      </c>
      <c r="I66" s="1" t="s">
        <v>583</v>
      </c>
      <c r="J66" s="1" t="s">
        <v>584</v>
      </c>
      <c r="K66" s="1" t="s">
        <v>585</v>
      </c>
      <c r="L66">
        <v>69.900000000000006</v>
      </c>
      <c r="M66" s="1" t="s">
        <v>24</v>
      </c>
      <c r="N66" s="2">
        <v>45341.37549046296</v>
      </c>
      <c r="O66" s="1" t="s">
        <v>517</v>
      </c>
      <c r="P66" s="1" t="s">
        <v>26</v>
      </c>
      <c r="Q66" s="1"/>
      <c r="R66" s="1"/>
      <c r="S66" s="1" t="str">
        <f>IF(M66="USD","DOLLAR",M66)</f>
        <v>DOLLAR</v>
      </c>
      <c r="T66" s="1" t="str">
        <f>IF(zara[[#This Row],[terms]]="jackets","jacket",IF(O66="shoes","shoe",O66))</f>
        <v>shoe</v>
      </c>
      <c r="U66" s="1">
        <f>SUMIF(O:O,zara[[#This Row],[terms]],L:L)</f>
        <v>2011.0800000000013</v>
      </c>
      <c r="V66" s="1">
        <f>SUMIFS(L:L,O:O,O66)</f>
        <v>2011.0800000000013</v>
      </c>
      <c r="W66" s="1" t="str">
        <f>VLOOKUP(zara[[#This Row],[price]],L:P,5,FALSE)</f>
        <v>MAN</v>
      </c>
      <c r="X66" s="1" t="str">
        <f>INDEX(O:O,MATCH(zara[[#This Row],[price]],L:L,0))</f>
        <v>jeans</v>
      </c>
      <c r="Y66" s="1" t="str">
        <f>INDEX(P:P,MATCH(zara[[#This Row],[price]],L:L,0))</f>
        <v>MAN</v>
      </c>
      <c r="Z66" s="1" t="str">
        <f>INDEX(P:P,MATCH(zara[[#This Row],[price]],L:L,0))</f>
        <v>MAN</v>
      </c>
      <c r="AA66" s="1">
        <f>SUMIFS(L:L,O:O,zara[[#This Row],[terms]])</f>
        <v>2011.0800000000013</v>
      </c>
    </row>
    <row r="67" spans="1:27" hidden="1" x14ac:dyDescent="0.3">
      <c r="A67">
        <v>154016</v>
      </c>
      <c r="B67" s="1" t="s">
        <v>31</v>
      </c>
      <c r="C67" s="1" t="s">
        <v>32</v>
      </c>
      <c r="D67" s="1" t="s">
        <v>18</v>
      </c>
      <c r="E67" s="1" t="s">
        <v>32</v>
      </c>
      <c r="F67">
        <v>2366</v>
      </c>
      <c r="G67" s="1" t="s">
        <v>19</v>
      </c>
      <c r="H67" s="1" t="s">
        <v>284</v>
      </c>
      <c r="I67" s="1" t="s">
        <v>285</v>
      </c>
      <c r="J67" s="1" t="s">
        <v>286</v>
      </c>
      <c r="K67" s="1" t="s">
        <v>287</v>
      </c>
      <c r="L67">
        <v>189</v>
      </c>
      <c r="M67" s="1" t="s">
        <v>24</v>
      </c>
      <c r="N67" s="2">
        <v>45341.368619120367</v>
      </c>
      <c r="O67" s="1" t="s">
        <v>25</v>
      </c>
      <c r="P67" s="1" t="s">
        <v>26</v>
      </c>
      <c r="Q67" s="1"/>
      <c r="R67" s="1"/>
      <c r="S67" s="1" t="str">
        <f>IF(M67="USD","DOLLAR",M67)</f>
        <v>DOLLAR</v>
      </c>
      <c r="T67" s="1" t="str">
        <f>IF(zara[[#This Row],[terms]]="jackets","jacket",IF(O67="shoes","shoe",O67))</f>
        <v>jacket</v>
      </c>
      <c r="U67" s="1">
        <f>SUMIF(O:O,zara[[#This Row],[terms]],L:L)</f>
        <v>14806.109999999982</v>
      </c>
      <c r="V67" s="1">
        <f>SUMIFS(L:L,O:O,O67)</f>
        <v>14806.109999999982</v>
      </c>
      <c r="W67" s="1" t="str">
        <f>VLOOKUP(zara[[#This Row],[price]],L:P,5,FALSE)</f>
        <v>MAN</v>
      </c>
      <c r="X67" s="1" t="str">
        <f>INDEX(O:O,MATCH(zara[[#This Row],[price]],L:L,0))</f>
        <v>jackets</v>
      </c>
      <c r="Y67" s="1" t="str">
        <f>INDEX(P:P,MATCH(zara[[#This Row],[price]],L:L,0))</f>
        <v>MAN</v>
      </c>
      <c r="Z67" s="1" t="str">
        <f>INDEX(P:P,MATCH(zara[[#This Row],[price]],L:L,0))</f>
        <v>MAN</v>
      </c>
      <c r="AA67" s="1">
        <f>SUMIFS(L:L,O:O,zara[[#This Row],[terms]])</f>
        <v>14806.109999999982</v>
      </c>
    </row>
    <row r="68" spans="1:27" hidden="1" x14ac:dyDescent="0.3">
      <c r="A68">
        <v>129152</v>
      </c>
      <c r="B68" s="1" t="s">
        <v>31</v>
      </c>
      <c r="C68" s="1" t="s">
        <v>17</v>
      </c>
      <c r="D68" s="1" t="s">
        <v>18</v>
      </c>
      <c r="E68" s="1" t="s">
        <v>17</v>
      </c>
      <c r="F68">
        <v>2356</v>
      </c>
      <c r="G68" s="1" t="s">
        <v>19</v>
      </c>
      <c r="H68" s="1" t="s">
        <v>117</v>
      </c>
      <c r="I68" s="1" t="s">
        <v>118</v>
      </c>
      <c r="J68" s="1" t="s">
        <v>119</v>
      </c>
      <c r="K68" s="1" t="s">
        <v>120</v>
      </c>
      <c r="L68">
        <v>49.9</v>
      </c>
      <c r="M68" s="1" t="s">
        <v>24</v>
      </c>
      <c r="N68" s="2">
        <v>45341.368280150462</v>
      </c>
      <c r="O68" s="1" t="s">
        <v>25</v>
      </c>
      <c r="P68" s="1" t="s">
        <v>26</v>
      </c>
      <c r="Q68" s="1"/>
      <c r="R68" s="1"/>
      <c r="S68" s="1" t="str">
        <f>IF(M68="USD","DOLLAR",M68)</f>
        <v>DOLLAR</v>
      </c>
      <c r="T68" s="1" t="str">
        <f>IF(zara[[#This Row],[terms]]="jackets","jacket",IF(O68="shoes","shoe",O68))</f>
        <v>jacket</v>
      </c>
      <c r="U68" s="1">
        <f>SUMIF(O:O,zara[[#This Row],[terms]],L:L)</f>
        <v>14806.109999999982</v>
      </c>
      <c r="V68" s="1">
        <f>SUMIFS(L:L,O:O,O68)</f>
        <v>14806.109999999982</v>
      </c>
      <c r="W68" s="1" t="str">
        <f>VLOOKUP(zara[[#This Row],[price]],L:P,5,FALSE)</f>
        <v>MAN</v>
      </c>
      <c r="X68" s="1" t="str">
        <f>INDEX(O:O,MATCH(zara[[#This Row],[price]],L:L,0))</f>
        <v>jackets</v>
      </c>
      <c r="Y68" s="1" t="str">
        <f>INDEX(P:P,MATCH(zara[[#This Row],[price]],L:L,0))</f>
        <v>MAN</v>
      </c>
      <c r="Z68" s="1" t="str">
        <f>INDEX(P:P,MATCH(zara[[#This Row],[price]],L:L,0))</f>
        <v>MAN</v>
      </c>
      <c r="AA68" s="1">
        <f>SUMIFS(L:L,O:O,zara[[#This Row],[terms]])</f>
        <v>14806.109999999982</v>
      </c>
    </row>
    <row r="69" spans="1:27" hidden="1" x14ac:dyDescent="0.3">
      <c r="A69">
        <v>120228</v>
      </c>
      <c r="B69" s="1" t="s">
        <v>31</v>
      </c>
      <c r="C69" s="1" t="s">
        <v>17</v>
      </c>
      <c r="D69" s="1" t="s">
        <v>18</v>
      </c>
      <c r="E69" s="1" t="s">
        <v>17</v>
      </c>
      <c r="F69">
        <v>2347</v>
      </c>
      <c r="G69" s="1" t="s">
        <v>19</v>
      </c>
      <c r="H69" s="1" t="s">
        <v>393</v>
      </c>
      <c r="I69" s="1" t="s">
        <v>394</v>
      </c>
      <c r="J69" s="1" t="s">
        <v>64</v>
      </c>
      <c r="K69" s="1" t="s">
        <v>395</v>
      </c>
      <c r="L69">
        <v>89.9</v>
      </c>
      <c r="M69" s="1" t="s">
        <v>24</v>
      </c>
      <c r="N69" s="2">
        <v>45341.368855034721</v>
      </c>
      <c r="O69" s="1" t="s">
        <v>25</v>
      </c>
      <c r="P69" s="1" t="s">
        <v>26</v>
      </c>
      <c r="Q69" s="1"/>
      <c r="R69" s="1"/>
      <c r="S69" s="1" t="str">
        <f>IF(M69="USD","DOLLAR",M69)</f>
        <v>DOLLAR</v>
      </c>
      <c r="T69" s="1" t="str">
        <f>IF(zara[[#This Row],[terms]]="jackets","jacket",IF(O69="shoes","shoe",O69))</f>
        <v>jacket</v>
      </c>
      <c r="U69" s="1">
        <f>SUMIF(O:O,zara[[#This Row],[terms]],L:L)</f>
        <v>14806.109999999982</v>
      </c>
      <c r="V69" s="1">
        <f>SUMIFS(L:L,O:O,O69)</f>
        <v>14806.109999999982</v>
      </c>
      <c r="W69" s="1" t="str">
        <f>VLOOKUP(zara[[#This Row],[price]],L:P,5,FALSE)</f>
        <v>MAN</v>
      </c>
      <c r="X69" s="1" t="str">
        <f>INDEX(O:O,MATCH(zara[[#This Row],[price]],L:L,0))</f>
        <v>jackets</v>
      </c>
      <c r="Y69" s="1" t="str">
        <f>INDEX(P:P,MATCH(zara[[#This Row],[price]],L:L,0))</f>
        <v>MAN</v>
      </c>
      <c r="Z69" s="1" t="str">
        <f>INDEX(P:P,MATCH(zara[[#This Row],[price]],L:L,0))</f>
        <v>MAN</v>
      </c>
      <c r="AA69" s="1">
        <f>SUMIFS(L:L,O:O,zara[[#This Row],[terms]])</f>
        <v>14806.109999999982</v>
      </c>
    </row>
    <row r="70" spans="1:27" hidden="1" x14ac:dyDescent="0.3">
      <c r="A70">
        <v>195879</v>
      </c>
      <c r="B70" s="1" t="s">
        <v>49</v>
      </c>
      <c r="C70" s="1" t="s">
        <v>32</v>
      </c>
      <c r="D70" s="1" t="s">
        <v>18</v>
      </c>
      <c r="E70" s="1" t="s">
        <v>32</v>
      </c>
      <c r="F70">
        <v>2339</v>
      </c>
      <c r="G70" s="1" t="s">
        <v>19</v>
      </c>
      <c r="H70" s="1" t="s">
        <v>94</v>
      </c>
      <c r="I70" s="1" t="s">
        <v>95</v>
      </c>
      <c r="J70" s="1" t="s">
        <v>96</v>
      </c>
      <c r="K70" s="1" t="s">
        <v>97</v>
      </c>
      <c r="L70">
        <v>129</v>
      </c>
      <c r="M70" s="1" t="s">
        <v>24</v>
      </c>
      <c r="N70" s="2">
        <v>45341.368239525465</v>
      </c>
      <c r="O70" s="1" t="s">
        <v>25</v>
      </c>
      <c r="P70" s="1" t="s">
        <v>26</v>
      </c>
      <c r="Q70" s="1"/>
      <c r="R70" s="1"/>
      <c r="S70" s="1" t="str">
        <f>IF(M70="USD","DOLLAR",M70)</f>
        <v>DOLLAR</v>
      </c>
      <c r="T70" s="1" t="str">
        <f>IF(zara[[#This Row],[terms]]="jackets","jacket",IF(O70="shoes","shoe",O70))</f>
        <v>jacket</v>
      </c>
      <c r="U70" s="1">
        <f>SUMIF(O:O,zara[[#This Row],[terms]],L:L)</f>
        <v>14806.109999999982</v>
      </c>
      <c r="V70" s="1">
        <f>SUMIFS(L:L,O:O,O70)</f>
        <v>14806.109999999982</v>
      </c>
      <c r="W70" s="1" t="str">
        <f>VLOOKUP(zara[[#This Row],[price]],L:P,5,FALSE)</f>
        <v>MAN</v>
      </c>
      <c r="X70" s="1" t="str">
        <f>INDEX(O:O,MATCH(zara[[#This Row],[price]],L:L,0))</f>
        <v>jackets</v>
      </c>
      <c r="Y70" s="1" t="str">
        <f>INDEX(P:P,MATCH(zara[[#This Row],[price]],L:L,0))</f>
        <v>MAN</v>
      </c>
      <c r="Z70" s="1" t="str">
        <f>INDEX(P:P,MATCH(zara[[#This Row],[price]],L:L,0))</f>
        <v>MAN</v>
      </c>
      <c r="AA70" s="1">
        <f>SUMIFS(L:L,O:O,zara[[#This Row],[terms]])</f>
        <v>14806.109999999982</v>
      </c>
    </row>
    <row r="71" spans="1:27" hidden="1" x14ac:dyDescent="0.3">
      <c r="A71">
        <v>120266</v>
      </c>
      <c r="B71" s="1" t="s">
        <v>49</v>
      </c>
      <c r="C71" s="1" t="s">
        <v>17</v>
      </c>
      <c r="D71" s="1" t="s">
        <v>18</v>
      </c>
      <c r="E71" s="1" t="s">
        <v>17</v>
      </c>
      <c r="F71">
        <v>2328</v>
      </c>
      <c r="G71" s="1" t="s">
        <v>19</v>
      </c>
      <c r="H71" s="1" t="s">
        <v>472</v>
      </c>
      <c r="I71" s="1" t="s">
        <v>473</v>
      </c>
      <c r="J71" s="1" t="s">
        <v>438</v>
      </c>
      <c r="K71" s="1" t="s">
        <v>474</v>
      </c>
      <c r="L71">
        <v>59.9</v>
      </c>
      <c r="M71" s="1" t="s">
        <v>24</v>
      </c>
      <c r="N71" s="2">
        <v>45341.369192500002</v>
      </c>
      <c r="O71" s="1" t="s">
        <v>25</v>
      </c>
      <c r="P71" s="1" t="s">
        <v>26</v>
      </c>
      <c r="Q71" s="1"/>
      <c r="R71" s="1"/>
      <c r="S71" s="1" t="str">
        <f>IF(M71="USD","DOLLAR",M71)</f>
        <v>DOLLAR</v>
      </c>
      <c r="T71" s="1" t="str">
        <f>IF(zara[[#This Row],[terms]]="jackets","jacket",IF(O71="shoes","shoe",O71))</f>
        <v>jacket</v>
      </c>
      <c r="U71" s="1">
        <f>SUMIF(O:O,zara[[#This Row],[terms]],L:L)</f>
        <v>14806.109999999982</v>
      </c>
      <c r="V71" s="1">
        <f>SUMIFS(L:L,O:O,O71)</f>
        <v>14806.109999999982</v>
      </c>
      <c r="W71" s="1" t="str">
        <f>VLOOKUP(zara[[#This Row],[price]],L:P,5,FALSE)</f>
        <v>WOMAN</v>
      </c>
      <c r="X71" s="1" t="str">
        <f>INDEX(O:O,MATCH(zara[[#This Row],[price]],L:L,0))</f>
        <v>sweaters</v>
      </c>
      <c r="Y71" s="1" t="str">
        <f>INDEX(P:P,MATCH(zara[[#This Row],[price]],L:L,0))</f>
        <v>WOMAN</v>
      </c>
      <c r="Z71" s="1" t="str">
        <f>INDEX(P:P,MATCH(zara[[#This Row],[price]],L:L,0))</f>
        <v>WOMAN</v>
      </c>
      <c r="AA71" s="1">
        <f>SUMIFS(L:L,O:O,zara[[#This Row],[terms]])</f>
        <v>14806.109999999982</v>
      </c>
    </row>
    <row r="72" spans="1:27" hidden="1" x14ac:dyDescent="0.3">
      <c r="A72">
        <v>147051</v>
      </c>
      <c r="B72" s="1" t="s">
        <v>49</v>
      </c>
      <c r="C72" s="1" t="s">
        <v>17</v>
      </c>
      <c r="D72" s="1" t="s">
        <v>18</v>
      </c>
      <c r="E72" s="1" t="s">
        <v>17</v>
      </c>
      <c r="F72">
        <v>2325</v>
      </c>
      <c r="G72" s="1" t="s">
        <v>19</v>
      </c>
      <c r="H72" s="1" t="s">
        <v>502</v>
      </c>
      <c r="I72" s="1" t="s">
        <v>503</v>
      </c>
      <c r="J72" s="1" t="s">
        <v>504</v>
      </c>
      <c r="K72" s="1" t="s">
        <v>505</v>
      </c>
      <c r="L72">
        <v>109</v>
      </c>
      <c r="M72" s="1" t="s">
        <v>24</v>
      </c>
      <c r="N72" s="2">
        <v>45341.369237939813</v>
      </c>
      <c r="O72" s="1" t="s">
        <v>25</v>
      </c>
      <c r="P72" s="1" t="s">
        <v>26</v>
      </c>
      <c r="Q72" s="1"/>
      <c r="R72" s="1"/>
      <c r="S72" s="1" t="str">
        <f>IF(M72="USD","DOLLAR",M72)</f>
        <v>DOLLAR</v>
      </c>
      <c r="T72" s="1" t="str">
        <f>IF(zara[[#This Row],[terms]]="jackets","jacket",IF(O72="shoes","shoe",O72))</f>
        <v>jacket</v>
      </c>
      <c r="U72" s="1">
        <f>SUMIF(O:O,zara[[#This Row],[terms]],L:L)</f>
        <v>14806.109999999982</v>
      </c>
      <c r="V72" s="1">
        <f>SUMIFS(L:L,O:O,O72)</f>
        <v>14806.109999999982</v>
      </c>
      <c r="W72" s="1" t="str">
        <f>VLOOKUP(zara[[#This Row],[price]],L:P,5,FALSE)</f>
        <v>MAN</v>
      </c>
      <c r="X72" s="1" t="str">
        <f>INDEX(O:O,MATCH(zara[[#This Row],[price]],L:L,0))</f>
        <v>t-shirts</v>
      </c>
      <c r="Y72" s="1" t="str">
        <f>INDEX(P:P,MATCH(zara[[#This Row],[price]],L:L,0))</f>
        <v>MAN</v>
      </c>
      <c r="Z72" s="1" t="str">
        <f>INDEX(P:P,MATCH(zara[[#This Row],[price]],L:L,0))</f>
        <v>MAN</v>
      </c>
      <c r="AA72" s="1">
        <f>SUMIFS(L:L,O:O,zara[[#This Row],[terms]])</f>
        <v>14806.109999999982</v>
      </c>
    </row>
    <row r="73" spans="1:27" hidden="1" x14ac:dyDescent="0.3">
      <c r="A73">
        <v>155050</v>
      </c>
      <c r="B73" s="1" t="s">
        <v>16</v>
      </c>
      <c r="C73" s="1" t="s">
        <v>17</v>
      </c>
      <c r="D73" s="1" t="s">
        <v>18</v>
      </c>
      <c r="E73" s="1" t="s">
        <v>32</v>
      </c>
      <c r="F73">
        <v>2321</v>
      </c>
      <c r="G73" s="1" t="s">
        <v>19</v>
      </c>
      <c r="H73" s="1" t="s">
        <v>98</v>
      </c>
      <c r="I73" s="1" t="s">
        <v>99</v>
      </c>
      <c r="J73" s="1" t="s">
        <v>100</v>
      </c>
      <c r="K73" s="1" t="s">
        <v>101</v>
      </c>
      <c r="L73">
        <v>129</v>
      </c>
      <c r="M73" s="1" t="s">
        <v>24</v>
      </c>
      <c r="N73" s="2">
        <v>45341.368247453705</v>
      </c>
      <c r="O73" s="1" t="s">
        <v>25</v>
      </c>
      <c r="P73" s="1" t="s">
        <v>26</v>
      </c>
      <c r="Q73" s="1"/>
      <c r="R73" s="1"/>
      <c r="S73" s="1" t="str">
        <f>IF(M73="USD","DOLLAR",M73)</f>
        <v>DOLLAR</v>
      </c>
      <c r="T73" s="1" t="str">
        <f>IF(zara[[#This Row],[terms]]="jackets","jacket",IF(O73="shoes","shoe",O73))</f>
        <v>jacket</v>
      </c>
      <c r="U73" s="1">
        <f>SUMIF(O:O,zara[[#This Row],[terms]],L:L)</f>
        <v>14806.109999999982</v>
      </c>
      <c r="V73" s="1">
        <f>SUMIFS(L:L,O:O,O73)</f>
        <v>14806.109999999982</v>
      </c>
      <c r="W73" s="1" t="str">
        <f>VLOOKUP(zara[[#This Row],[price]],L:P,5,FALSE)</f>
        <v>MAN</v>
      </c>
      <c r="X73" s="1" t="str">
        <f>INDEX(O:O,MATCH(zara[[#This Row],[price]],L:L,0))</f>
        <v>jackets</v>
      </c>
      <c r="Y73" s="1" t="str">
        <f>INDEX(P:P,MATCH(zara[[#This Row],[price]],L:L,0))</f>
        <v>MAN</v>
      </c>
      <c r="Z73" s="1" t="str">
        <f>INDEX(P:P,MATCH(zara[[#This Row],[price]],L:L,0))</f>
        <v>MAN</v>
      </c>
      <c r="AA73" s="1">
        <f>SUMIFS(L:L,O:O,zara[[#This Row],[terms]])</f>
        <v>14806.109999999982</v>
      </c>
    </row>
    <row r="74" spans="1:27" hidden="1" x14ac:dyDescent="0.3">
      <c r="A74">
        <v>123824</v>
      </c>
      <c r="B74" s="1" t="s">
        <v>16</v>
      </c>
      <c r="C74" s="1" t="s">
        <v>32</v>
      </c>
      <c r="D74" s="1" t="s">
        <v>18</v>
      </c>
      <c r="E74" s="1" t="s">
        <v>17</v>
      </c>
      <c r="F74">
        <v>2277</v>
      </c>
      <c r="G74" s="1" t="s">
        <v>19</v>
      </c>
      <c r="H74" s="1" t="s">
        <v>360</v>
      </c>
      <c r="I74" s="1" t="s">
        <v>361</v>
      </c>
      <c r="J74" s="1" t="s">
        <v>362</v>
      </c>
      <c r="K74" s="1" t="s">
        <v>363</v>
      </c>
      <c r="L74">
        <v>169</v>
      </c>
      <c r="M74" s="1" t="s">
        <v>24</v>
      </c>
      <c r="N74" s="2">
        <v>45341.368800706019</v>
      </c>
      <c r="O74" s="1" t="s">
        <v>25</v>
      </c>
      <c r="P74" s="1" t="s">
        <v>26</v>
      </c>
      <c r="Q74" s="1"/>
      <c r="R74" s="1"/>
      <c r="S74" s="1" t="str">
        <f>IF(M74="USD","DOLLAR",M74)</f>
        <v>DOLLAR</v>
      </c>
      <c r="T74" s="1" t="str">
        <f>IF(zara[[#This Row],[terms]]="jackets","jacket",IF(O74="shoes","shoe",O74))</f>
        <v>jacket</v>
      </c>
      <c r="U74" s="1">
        <f>SUMIF(O:O,zara[[#This Row],[terms]],L:L)</f>
        <v>14806.109999999982</v>
      </c>
      <c r="V74" s="1">
        <f>SUMIFS(L:L,O:O,O74)</f>
        <v>14806.109999999982</v>
      </c>
      <c r="W74" s="1" t="str">
        <f>VLOOKUP(zara[[#This Row],[price]],L:P,5,FALSE)</f>
        <v>MAN</v>
      </c>
      <c r="X74" s="1" t="str">
        <f>INDEX(O:O,MATCH(zara[[#This Row],[price]],L:L,0))</f>
        <v>jackets</v>
      </c>
      <c r="Y74" s="1" t="str">
        <f>INDEX(P:P,MATCH(zara[[#This Row],[price]],L:L,0))</f>
        <v>MAN</v>
      </c>
      <c r="Z74" s="1" t="str">
        <f>INDEX(P:P,MATCH(zara[[#This Row],[price]],L:L,0))</f>
        <v>MAN</v>
      </c>
      <c r="AA74" s="1">
        <f>SUMIFS(L:L,O:O,zara[[#This Row],[terms]])</f>
        <v>14806.109999999982</v>
      </c>
    </row>
    <row r="75" spans="1:27" hidden="1" x14ac:dyDescent="0.3">
      <c r="A75">
        <v>174171</v>
      </c>
      <c r="B75" s="1" t="s">
        <v>49</v>
      </c>
      <c r="C75" s="1" t="s">
        <v>32</v>
      </c>
      <c r="D75" s="1" t="s">
        <v>18</v>
      </c>
      <c r="E75" s="1" t="s">
        <v>32</v>
      </c>
      <c r="F75">
        <v>2273</v>
      </c>
      <c r="G75" s="1" t="s">
        <v>19</v>
      </c>
      <c r="H75" s="1" t="s">
        <v>340</v>
      </c>
      <c r="I75" s="1" t="s">
        <v>341</v>
      </c>
      <c r="J75" s="1" t="s">
        <v>342</v>
      </c>
      <c r="K75" s="1" t="s">
        <v>343</v>
      </c>
      <c r="L75">
        <v>89.9</v>
      </c>
      <c r="M75" s="1" t="s">
        <v>24</v>
      </c>
      <c r="N75" s="2">
        <v>45341.368749062502</v>
      </c>
      <c r="O75" s="1" t="s">
        <v>25</v>
      </c>
      <c r="P75" s="1" t="s">
        <v>26</v>
      </c>
      <c r="Q75" s="1"/>
      <c r="R75" s="1"/>
      <c r="S75" s="1" t="str">
        <f>IF(M75="USD","DOLLAR",M75)</f>
        <v>DOLLAR</v>
      </c>
      <c r="T75" s="1" t="str">
        <f>IF(zara[[#This Row],[terms]]="jackets","jacket",IF(O75="shoes","shoe",O75))</f>
        <v>jacket</v>
      </c>
      <c r="U75" s="1">
        <f>SUMIF(O:O,zara[[#This Row],[terms]],L:L)</f>
        <v>14806.109999999982</v>
      </c>
      <c r="V75" s="1">
        <f>SUMIFS(L:L,O:O,O75)</f>
        <v>14806.109999999982</v>
      </c>
      <c r="W75" s="1" t="str">
        <f>VLOOKUP(zara[[#This Row],[price]],L:P,5,FALSE)</f>
        <v>MAN</v>
      </c>
      <c r="X75" s="1" t="str">
        <f>INDEX(O:O,MATCH(zara[[#This Row],[price]],L:L,0))</f>
        <v>jackets</v>
      </c>
      <c r="Y75" s="1" t="str">
        <f>INDEX(P:P,MATCH(zara[[#This Row],[price]],L:L,0))</f>
        <v>MAN</v>
      </c>
      <c r="Z75" s="1" t="str">
        <f>INDEX(P:P,MATCH(zara[[#This Row],[price]],L:L,0))</f>
        <v>MAN</v>
      </c>
      <c r="AA75" s="1">
        <f>SUMIFS(L:L,O:O,zara[[#This Row],[terms]])</f>
        <v>14806.109999999982</v>
      </c>
    </row>
    <row r="76" spans="1:27" hidden="1" x14ac:dyDescent="0.3">
      <c r="A76">
        <v>132889</v>
      </c>
      <c r="B76" s="1" t="s">
        <v>16</v>
      </c>
      <c r="C76" s="1" t="s">
        <v>32</v>
      </c>
      <c r="D76" s="1" t="s">
        <v>18</v>
      </c>
      <c r="E76" s="1" t="s">
        <v>32</v>
      </c>
      <c r="F76">
        <v>2265</v>
      </c>
      <c r="G76" s="1" t="s">
        <v>19</v>
      </c>
      <c r="H76" s="1" t="s">
        <v>82</v>
      </c>
      <c r="I76" s="1" t="s">
        <v>83</v>
      </c>
      <c r="J76" s="1" t="s">
        <v>84</v>
      </c>
      <c r="K76" s="1" t="s">
        <v>85</v>
      </c>
      <c r="L76">
        <v>99.9</v>
      </c>
      <c r="M76" s="1" t="s">
        <v>24</v>
      </c>
      <c r="N76" s="2">
        <v>45341.368220509263</v>
      </c>
      <c r="O76" s="1" t="s">
        <v>25</v>
      </c>
      <c r="P76" s="1" t="s">
        <v>26</v>
      </c>
      <c r="Q76" s="1"/>
      <c r="R76" s="1"/>
      <c r="S76" s="1" t="str">
        <f>IF(M76="USD","DOLLAR",M76)</f>
        <v>DOLLAR</v>
      </c>
      <c r="T76" s="1" t="str">
        <f>IF(zara[[#This Row],[terms]]="jackets","jacket",IF(O76="shoes","shoe",O76))</f>
        <v>jacket</v>
      </c>
      <c r="U76" s="1">
        <f>SUMIF(O:O,zara[[#This Row],[terms]],L:L)</f>
        <v>14806.109999999982</v>
      </c>
      <c r="V76" s="1">
        <f>SUMIFS(L:L,O:O,O76)</f>
        <v>14806.109999999982</v>
      </c>
      <c r="W76" s="1" t="str">
        <f>VLOOKUP(zara[[#This Row],[price]],L:P,5,FALSE)</f>
        <v>MAN</v>
      </c>
      <c r="X76" s="1" t="str">
        <f>INDEX(O:O,MATCH(zara[[#This Row],[price]],L:L,0))</f>
        <v>jackets</v>
      </c>
      <c r="Y76" s="1" t="str">
        <f>INDEX(P:P,MATCH(zara[[#This Row],[price]],L:L,0))</f>
        <v>MAN</v>
      </c>
      <c r="Z76" s="1" t="str">
        <f>INDEX(P:P,MATCH(zara[[#This Row],[price]],L:L,0))</f>
        <v>MAN</v>
      </c>
      <c r="AA76" s="1">
        <f>SUMIFS(L:L,O:O,zara[[#This Row],[terms]])</f>
        <v>14806.109999999982</v>
      </c>
    </row>
    <row r="77" spans="1:27" hidden="1" x14ac:dyDescent="0.3">
      <c r="A77">
        <v>134927</v>
      </c>
      <c r="B77" s="1" t="s">
        <v>16</v>
      </c>
      <c r="C77" s="1" t="s">
        <v>32</v>
      </c>
      <c r="D77" s="1" t="s">
        <v>18</v>
      </c>
      <c r="E77" s="1" t="s">
        <v>32</v>
      </c>
      <c r="F77">
        <v>2252</v>
      </c>
      <c r="G77" s="1" t="s">
        <v>19</v>
      </c>
      <c r="H77" s="1" t="s">
        <v>149</v>
      </c>
      <c r="I77" s="1" t="s">
        <v>150</v>
      </c>
      <c r="J77" s="1" t="s">
        <v>131</v>
      </c>
      <c r="K77" s="1" t="s">
        <v>151</v>
      </c>
      <c r="L77">
        <v>129</v>
      </c>
      <c r="M77" s="1" t="s">
        <v>24</v>
      </c>
      <c r="N77" s="2">
        <v>45341.368332511571</v>
      </c>
      <c r="O77" s="1" t="s">
        <v>25</v>
      </c>
      <c r="P77" s="1" t="s">
        <v>26</v>
      </c>
      <c r="Q77" s="1"/>
      <c r="R77" s="1"/>
      <c r="S77" s="1" t="str">
        <f>IF(M77="USD","DOLLAR",M77)</f>
        <v>DOLLAR</v>
      </c>
      <c r="T77" s="1" t="str">
        <f>IF(zara[[#This Row],[terms]]="jackets","jacket",IF(O77="shoes","shoe",O77))</f>
        <v>jacket</v>
      </c>
      <c r="U77" s="1">
        <f>SUMIF(O:O,zara[[#This Row],[terms]],L:L)</f>
        <v>14806.109999999982</v>
      </c>
      <c r="V77" s="1">
        <f>SUMIFS(L:L,O:O,O77)</f>
        <v>14806.109999999982</v>
      </c>
      <c r="W77" s="1" t="str">
        <f>VLOOKUP(zara[[#This Row],[price]],L:P,5,FALSE)</f>
        <v>MAN</v>
      </c>
      <c r="X77" s="1" t="str">
        <f>INDEX(O:O,MATCH(zara[[#This Row],[price]],L:L,0))</f>
        <v>jackets</v>
      </c>
      <c r="Y77" s="1" t="str">
        <f>INDEX(P:P,MATCH(zara[[#This Row],[price]],L:L,0))</f>
        <v>MAN</v>
      </c>
      <c r="Z77" s="1" t="str">
        <f>INDEX(P:P,MATCH(zara[[#This Row],[price]],L:L,0))</f>
        <v>MAN</v>
      </c>
      <c r="AA77" s="1">
        <f>SUMIFS(L:L,O:O,zara[[#This Row],[terms]])</f>
        <v>14806.109999999982</v>
      </c>
    </row>
    <row r="78" spans="1:27" x14ac:dyDescent="0.3">
      <c r="A78">
        <v>123985</v>
      </c>
      <c r="B78" s="1" t="s">
        <v>31</v>
      </c>
      <c r="C78" s="1" t="s">
        <v>17</v>
      </c>
      <c r="D78" s="1" t="s">
        <v>18</v>
      </c>
      <c r="E78" s="1" t="s">
        <v>17</v>
      </c>
      <c r="F78">
        <v>2240</v>
      </c>
      <c r="G78" s="1" t="s">
        <v>19</v>
      </c>
      <c r="H78" s="1" t="s">
        <v>526</v>
      </c>
      <c r="I78" s="1" t="s">
        <v>527</v>
      </c>
      <c r="J78" s="1" t="s">
        <v>528</v>
      </c>
      <c r="K78" s="1" t="s">
        <v>529</v>
      </c>
      <c r="L78">
        <v>69.900000000000006</v>
      </c>
      <c r="M78" s="1" t="s">
        <v>24</v>
      </c>
      <c r="N78" s="2">
        <v>45341.37535746528</v>
      </c>
      <c r="O78" s="1" t="s">
        <v>517</v>
      </c>
      <c r="P78" s="1" t="s">
        <v>26</v>
      </c>
      <c r="Q78" s="1"/>
      <c r="R78" s="1"/>
      <c r="S78" s="1" t="str">
        <f>IF(M78="USD","DOLLAR",M78)</f>
        <v>DOLLAR</v>
      </c>
      <c r="T78" s="1" t="str">
        <f>IF(zara[[#This Row],[terms]]="jackets","jacket",IF(O78="shoes","shoe",O78))</f>
        <v>shoe</v>
      </c>
      <c r="U78" s="1">
        <f>SUMIF(O:O,zara[[#This Row],[terms]],L:L)</f>
        <v>2011.0800000000013</v>
      </c>
      <c r="V78" s="1">
        <f>SUMIFS(L:L,O:O,O78)</f>
        <v>2011.0800000000013</v>
      </c>
      <c r="W78" s="1" t="str">
        <f>VLOOKUP(zara[[#This Row],[price]],L:P,5,FALSE)</f>
        <v>MAN</v>
      </c>
      <c r="X78" s="1" t="str">
        <f>INDEX(O:O,MATCH(zara[[#This Row],[price]],L:L,0))</f>
        <v>jeans</v>
      </c>
      <c r="Y78" s="1" t="str">
        <f>INDEX(P:P,MATCH(zara[[#This Row],[price]],L:L,0))</f>
        <v>MAN</v>
      </c>
      <c r="Z78" s="1" t="str">
        <f>INDEX(P:P,MATCH(zara[[#This Row],[price]],L:L,0))</f>
        <v>MAN</v>
      </c>
      <c r="AA78" s="1">
        <f>SUMIFS(L:L,O:O,zara[[#This Row],[terms]])</f>
        <v>2011.0800000000013</v>
      </c>
    </row>
    <row r="79" spans="1:27" hidden="1" x14ac:dyDescent="0.3">
      <c r="A79">
        <v>197524</v>
      </c>
      <c r="B79" s="1" t="s">
        <v>16</v>
      </c>
      <c r="C79" s="1" t="s">
        <v>32</v>
      </c>
      <c r="D79" s="1" t="s">
        <v>18</v>
      </c>
      <c r="E79" s="1" t="s">
        <v>32</v>
      </c>
      <c r="F79">
        <v>2231</v>
      </c>
      <c r="G79" s="1" t="s">
        <v>19</v>
      </c>
      <c r="H79" s="1" t="s">
        <v>510</v>
      </c>
      <c r="I79" s="1" t="s">
        <v>511</v>
      </c>
      <c r="J79" s="1" t="s">
        <v>438</v>
      </c>
      <c r="K79" s="1" t="s">
        <v>512</v>
      </c>
      <c r="L79">
        <v>49.9</v>
      </c>
      <c r="M79" s="1" t="s">
        <v>24</v>
      </c>
      <c r="N79" s="2">
        <v>45341.369249930554</v>
      </c>
      <c r="O79" s="1" t="s">
        <v>25</v>
      </c>
      <c r="P79" s="1" t="s">
        <v>26</v>
      </c>
      <c r="Q79" s="1"/>
      <c r="R79" s="1"/>
      <c r="S79" s="1" t="str">
        <f>IF(M79="USD","DOLLAR",M79)</f>
        <v>DOLLAR</v>
      </c>
      <c r="T79" s="1" t="str">
        <f>IF(zara[[#This Row],[terms]]="jackets","jacket",IF(O79="shoes","shoe",O79))</f>
        <v>jacket</v>
      </c>
      <c r="U79" s="1">
        <f>SUMIF(O:O,zara[[#This Row],[terms]],L:L)</f>
        <v>14806.109999999982</v>
      </c>
      <c r="V79" s="1">
        <f>SUMIFS(L:L,O:O,O79)</f>
        <v>14806.109999999982</v>
      </c>
      <c r="W79" s="1" t="str">
        <f>VLOOKUP(zara[[#This Row],[price]],L:P,5,FALSE)</f>
        <v>MAN</v>
      </c>
      <c r="X79" s="1" t="str">
        <f>INDEX(O:O,MATCH(zara[[#This Row],[price]],L:L,0))</f>
        <v>jackets</v>
      </c>
      <c r="Y79" s="1" t="str">
        <f>INDEX(P:P,MATCH(zara[[#This Row],[price]],L:L,0))</f>
        <v>MAN</v>
      </c>
      <c r="Z79" s="1" t="str">
        <f>INDEX(P:P,MATCH(zara[[#This Row],[price]],L:L,0))</f>
        <v>MAN</v>
      </c>
      <c r="AA79" s="1">
        <f>SUMIFS(L:L,O:O,zara[[#This Row],[terms]])</f>
        <v>14806.109999999982</v>
      </c>
    </row>
    <row r="80" spans="1:27" hidden="1" x14ac:dyDescent="0.3">
      <c r="A80">
        <v>196752</v>
      </c>
      <c r="B80" s="1" t="s">
        <v>31</v>
      </c>
      <c r="C80" s="1" t="s">
        <v>17</v>
      </c>
      <c r="D80" s="1" t="s">
        <v>18</v>
      </c>
      <c r="E80" s="1" t="s">
        <v>17</v>
      </c>
      <c r="F80">
        <v>2227</v>
      </c>
      <c r="G80" s="1" t="s">
        <v>19</v>
      </c>
      <c r="H80" s="1" t="s">
        <v>900</v>
      </c>
      <c r="I80" s="1" t="s">
        <v>901</v>
      </c>
      <c r="J80" s="1" t="s">
        <v>871</v>
      </c>
      <c r="K80" s="1" t="s">
        <v>872</v>
      </c>
      <c r="L80">
        <v>45.9</v>
      </c>
      <c r="M80" s="1" t="s">
        <v>24</v>
      </c>
      <c r="N80" s="2">
        <v>45341.372638715278</v>
      </c>
      <c r="O80" s="1" t="s">
        <v>836</v>
      </c>
      <c r="P80" s="1" t="s">
        <v>26</v>
      </c>
      <c r="Q80" s="1"/>
      <c r="R80" s="1"/>
      <c r="S80" s="1" t="str">
        <f>IF(M80="USD","DOLLAR",M80)</f>
        <v>DOLLAR</v>
      </c>
      <c r="T80" s="1" t="str">
        <f>IF(zara[[#This Row],[terms]]="jackets","jacket",IF(O80="shoes","shoe",O80))</f>
        <v>t-shirts</v>
      </c>
      <c r="U80" s="1">
        <f>SUMIF(O:O,zara[[#This Row],[terms]],L:L)</f>
        <v>2157.6900000000005</v>
      </c>
      <c r="V80" s="1">
        <f>SUMIFS(L:L,O:O,O80)</f>
        <v>2157.6900000000005</v>
      </c>
      <c r="W80" s="1" t="str">
        <f>VLOOKUP(zara[[#This Row],[price]],L:P,5,FALSE)</f>
        <v>MAN</v>
      </c>
      <c r="X80" s="1" t="str">
        <f>INDEX(O:O,MATCH(zara[[#This Row],[price]],L:L,0))</f>
        <v>shoes</v>
      </c>
      <c r="Y80" s="1" t="str">
        <f>INDEX(P:P,MATCH(zara[[#This Row],[price]],L:L,0))</f>
        <v>MAN</v>
      </c>
      <c r="Z80" s="1" t="str">
        <f>INDEX(P:P,MATCH(zara[[#This Row],[price]],L:L,0))</f>
        <v>MAN</v>
      </c>
      <c r="AA80" s="1">
        <f>SUMIFS(L:L,O:O,zara[[#This Row],[terms]])</f>
        <v>2157.6900000000005</v>
      </c>
    </row>
    <row r="81" spans="1:27" hidden="1" x14ac:dyDescent="0.3">
      <c r="A81">
        <v>152174</v>
      </c>
      <c r="B81" s="1" t="s">
        <v>31</v>
      </c>
      <c r="C81" s="1" t="s">
        <v>17</v>
      </c>
      <c r="D81" s="1" t="s">
        <v>18</v>
      </c>
      <c r="E81" s="1" t="s">
        <v>17</v>
      </c>
      <c r="F81">
        <v>2226</v>
      </c>
      <c r="G81" s="1" t="s">
        <v>19</v>
      </c>
      <c r="H81" s="1" t="s">
        <v>86</v>
      </c>
      <c r="I81" s="1" t="s">
        <v>87</v>
      </c>
      <c r="J81" s="1" t="s">
        <v>88</v>
      </c>
      <c r="K81" s="1" t="s">
        <v>89</v>
      </c>
      <c r="L81">
        <v>99.9</v>
      </c>
      <c r="M81" s="1" t="s">
        <v>24</v>
      </c>
      <c r="N81" s="2">
        <v>45341.368227465275</v>
      </c>
      <c r="O81" s="1" t="s">
        <v>25</v>
      </c>
      <c r="P81" s="1" t="s">
        <v>26</v>
      </c>
      <c r="Q81" s="1"/>
      <c r="R81" s="1"/>
      <c r="S81" s="1" t="str">
        <f>IF(M81="USD","DOLLAR",M81)</f>
        <v>DOLLAR</v>
      </c>
      <c r="T81" s="1" t="str">
        <f>IF(zara[[#This Row],[terms]]="jackets","jacket",IF(O81="shoes","shoe",O81))</f>
        <v>jacket</v>
      </c>
      <c r="U81" s="1">
        <f>SUMIF(O:O,zara[[#This Row],[terms]],L:L)</f>
        <v>14806.109999999982</v>
      </c>
      <c r="V81" s="1">
        <f>SUMIFS(L:L,O:O,O81)</f>
        <v>14806.109999999982</v>
      </c>
      <c r="W81" s="1" t="str">
        <f>VLOOKUP(zara[[#This Row],[price]],L:P,5,FALSE)</f>
        <v>MAN</v>
      </c>
      <c r="X81" s="1" t="str">
        <f>INDEX(O:O,MATCH(zara[[#This Row],[price]],L:L,0))</f>
        <v>jackets</v>
      </c>
      <c r="Y81" s="1" t="str">
        <f>INDEX(P:P,MATCH(zara[[#This Row],[price]],L:L,0))</f>
        <v>MAN</v>
      </c>
      <c r="Z81" s="1" t="str">
        <f>INDEX(P:P,MATCH(zara[[#This Row],[price]],L:L,0))</f>
        <v>MAN</v>
      </c>
      <c r="AA81" s="1">
        <f>SUMIFS(L:L,O:O,zara[[#This Row],[terms]])</f>
        <v>14806.109999999982</v>
      </c>
    </row>
    <row r="82" spans="1:27" hidden="1" x14ac:dyDescent="0.3">
      <c r="A82">
        <v>199233</v>
      </c>
      <c r="B82" s="1" t="s">
        <v>16</v>
      </c>
      <c r="C82" s="1" t="s">
        <v>32</v>
      </c>
      <c r="D82" s="1" t="s">
        <v>18</v>
      </c>
      <c r="E82" s="1" t="s">
        <v>17</v>
      </c>
      <c r="F82">
        <v>2222</v>
      </c>
      <c r="G82" s="1" t="s">
        <v>19</v>
      </c>
      <c r="H82" s="1" t="s">
        <v>754</v>
      </c>
      <c r="I82" s="1" t="s">
        <v>511</v>
      </c>
      <c r="J82" s="1" t="s">
        <v>147</v>
      </c>
      <c r="K82" s="1" t="s">
        <v>144</v>
      </c>
      <c r="L82">
        <v>159</v>
      </c>
      <c r="M82" s="1" t="s">
        <v>24</v>
      </c>
      <c r="N82" s="2">
        <v>45341.382459062501</v>
      </c>
      <c r="O82" s="1" t="s">
        <v>25</v>
      </c>
      <c r="P82" s="1" t="s">
        <v>26</v>
      </c>
      <c r="Q82" s="1"/>
      <c r="R82" s="1"/>
      <c r="S82" s="1" t="str">
        <f>IF(M82="USD","DOLLAR",M82)</f>
        <v>DOLLAR</v>
      </c>
      <c r="T82" s="1" t="str">
        <f>IF(zara[[#This Row],[terms]]="jackets","jacket",IF(O82="shoes","shoe",O82))</f>
        <v>jacket</v>
      </c>
      <c r="U82" s="1">
        <f>SUMIF(O:O,zara[[#This Row],[terms]],L:L)</f>
        <v>14806.109999999982</v>
      </c>
      <c r="V82" s="1">
        <f>SUMIFS(L:L,O:O,O82)</f>
        <v>14806.109999999982</v>
      </c>
      <c r="W82" s="1" t="str">
        <f>VLOOKUP(zara[[#This Row],[price]],L:P,5,FALSE)</f>
        <v>MAN</v>
      </c>
      <c r="X82" s="1" t="str">
        <f>INDEX(O:O,MATCH(zara[[#This Row],[price]],L:L,0))</f>
        <v>jackets</v>
      </c>
      <c r="Y82" s="1" t="str">
        <f>INDEX(P:P,MATCH(zara[[#This Row],[price]],L:L,0))</f>
        <v>MAN</v>
      </c>
      <c r="Z82" s="1" t="str">
        <f>INDEX(P:P,MATCH(zara[[#This Row],[price]],L:L,0))</f>
        <v>MAN</v>
      </c>
      <c r="AA82" s="1">
        <f>SUMIFS(L:L,O:O,zara[[#This Row],[terms]])</f>
        <v>14806.109999999982</v>
      </c>
    </row>
    <row r="83" spans="1:27" hidden="1" x14ac:dyDescent="0.3">
      <c r="A83">
        <v>180176</v>
      </c>
      <c r="B83" s="1" t="s">
        <v>31</v>
      </c>
      <c r="C83" s="1" t="s">
        <v>32</v>
      </c>
      <c r="D83" s="1" t="s">
        <v>18</v>
      </c>
      <c r="E83" s="1" t="s">
        <v>32</v>
      </c>
      <c r="F83">
        <v>2220</v>
      </c>
      <c r="G83" s="1" t="s">
        <v>19</v>
      </c>
      <c r="H83" s="1" t="s">
        <v>33</v>
      </c>
      <c r="I83" s="1" t="s">
        <v>34</v>
      </c>
      <c r="J83" s="1" t="s">
        <v>35</v>
      </c>
      <c r="K83" s="1" t="s">
        <v>36</v>
      </c>
      <c r="L83">
        <v>129</v>
      </c>
      <c r="M83" s="1" t="s">
        <v>24</v>
      </c>
      <c r="N83" s="2">
        <v>45341.368140057872</v>
      </c>
      <c r="O83" s="1" t="s">
        <v>25</v>
      </c>
      <c r="P83" s="1" t="s">
        <v>26</v>
      </c>
      <c r="Q83" s="1">
        <f>MIN(F:F)</f>
        <v>529</v>
      </c>
      <c r="R83" s="1" t="s">
        <v>906</v>
      </c>
      <c r="S83" s="1" t="str">
        <f>IF(M83="USD","DOLLAR",M83)</f>
        <v>DOLLAR</v>
      </c>
      <c r="T83" s="1" t="str">
        <f>IF(zara[[#This Row],[terms]]="jackets","jacket",IF(O83="shoes","shoe",O83))</f>
        <v>jacket</v>
      </c>
      <c r="U83" s="1">
        <f>SUMIF(O:O,zara[[#This Row],[terms]],L:L)</f>
        <v>14806.109999999982</v>
      </c>
      <c r="V83" s="1">
        <f>SUMIFS(L:L,O:O,O83)</f>
        <v>14806.109999999982</v>
      </c>
      <c r="W83" s="1" t="str">
        <f>VLOOKUP(zara[[#This Row],[price]],L:P,5,FALSE)</f>
        <v>MAN</v>
      </c>
      <c r="X83" s="1" t="str">
        <f>INDEX(O:O,MATCH(zara[[#This Row],[price]],L:L,0))</f>
        <v>jackets</v>
      </c>
      <c r="Y83" s="1" t="str">
        <f>INDEX(P:P,MATCH(zara[[#This Row],[price]],L:L,0))</f>
        <v>MAN</v>
      </c>
      <c r="Z83" s="1" t="str">
        <f>INDEX(P:P,MATCH(zara[[#This Row],[price]],L:L,0))</f>
        <v>MAN</v>
      </c>
      <c r="AA83" s="1">
        <f>SUMIFS(L:L,O:O,zara[[#This Row],[terms]])</f>
        <v>14806.109999999982</v>
      </c>
    </row>
    <row r="84" spans="1:27" hidden="1" x14ac:dyDescent="0.3">
      <c r="A84">
        <v>125408</v>
      </c>
      <c r="B84" s="1" t="s">
        <v>31</v>
      </c>
      <c r="C84" s="1" t="s">
        <v>32</v>
      </c>
      <c r="D84" s="1" t="s">
        <v>18</v>
      </c>
      <c r="E84" s="1" t="s">
        <v>32</v>
      </c>
      <c r="F84">
        <v>2220</v>
      </c>
      <c r="G84" s="1" t="s">
        <v>19</v>
      </c>
      <c r="H84" s="1" t="s">
        <v>319</v>
      </c>
      <c r="I84" s="1" t="s">
        <v>320</v>
      </c>
      <c r="J84" s="1" t="s">
        <v>147</v>
      </c>
      <c r="K84" s="1" t="s">
        <v>148</v>
      </c>
      <c r="L84">
        <v>89.9</v>
      </c>
      <c r="M84" s="1" t="s">
        <v>24</v>
      </c>
      <c r="N84" s="2">
        <v>45341.368712777781</v>
      </c>
      <c r="O84" s="1" t="s">
        <v>25</v>
      </c>
      <c r="P84" s="1" t="s">
        <v>26</v>
      </c>
      <c r="Q84" s="1"/>
      <c r="R84" s="1"/>
      <c r="S84" s="1" t="str">
        <f>IF(M84="USD","DOLLAR",M84)</f>
        <v>DOLLAR</v>
      </c>
      <c r="T84" s="1" t="str">
        <f>IF(zara[[#This Row],[terms]]="jackets","jacket",IF(O84="shoes","shoe",O84))</f>
        <v>jacket</v>
      </c>
      <c r="U84" s="1">
        <f>SUMIF(O:O,zara[[#This Row],[terms]],L:L)</f>
        <v>14806.109999999982</v>
      </c>
      <c r="V84" s="1">
        <f>SUMIFS(L:L,O:O,O84)</f>
        <v>14806.109999999982</v>
      </c>
      <c r="W84" s="1" t="str">
        <f>VLOOKUP(zara[[#This Row],[price]],L:P,5,FALSE)</f>
        <v>MAN</v>
      </c>
      <c r="X84" s="1" t="str">
        <f>INDEX(O:O,MATCH(zara[[#This Row],[price]],L:L,0))</f>
        <v>jackets</v>
      </c>
      <c r="Y84" s="1" t="str">
        <f>INDEX(P:P,MATCH(zara[[#This Row],[price]],L:L,0))</f>
        <v>MAN</v>
      </c>
      <c r="Z84" s="1" t="str">
        <f>INDEX(P:P,MATCH(zara[[#This Row],[price]],L:L,0))</f>
        <v>MAN</v>
      </c>
      <c r="AA84" s="1">
        <f>SUMIFS(L:L,O:O,zara[[#This Row],[terms]])</f>
        <v>14806.109999999982</v>
      </c>
    </row>
    <row r="85" spans="1:27" x14ac:dyDescent="0.3">
      <c r="A85">
        <v>148823</v>
      </c>
      <c r="B85" s="1" t="s">
        <v>16</v>
      </c>
      <c r="C85" s="1" t="s">
        <v>17</v>
      </c>
      <c r="D85" s="1" t="s">
        <v>18</v>
      </c>
      <c r="E85" s="1" t="s">
        <v>32</v>
      </c>
      <c r="F85">
        <v>2211</v>
      </c>
      <c r="G85" s="1" t="s">
        <v>19</v>
      </c>
      <c r="H85" s="1" t="s">
        <v>513</v>
      </c>
      <c r="I85" s="1" t="s">
        <v>514</v>
      </c>
      <c r="J85" s="1" t="s">
        <v>515</v>
      </c>
      <c r="K85" s="1" t="s">
        <v>516</v>
      </c>
      <c r="L85">
        <v>89.9</v>
      </c>
      <c r="M85" s="1" t="s">
        <v>24</v>
      </c>
      <c r="N85" s="2">
        <v>45341.37532900463</v>
      </c>
      <c r="O85" s="1" t="s">
        <v>517</v>
      </c>
      <c r="P85" s="1" t="s">
        <v>26</v>
      </c>
      <c r="Q85" s="1"/>
      <c r="R85" s="1"/>
      <c r="S85" s="1" t="str">
        <f>IF(M85="USD","DOLLAR",M85)</f>
        <v>DOLLAR</v>
      </c>
      <c r="T85" s="1" t="str">
        <f>IF(zara[[#This Row],[terms]]="jackets","jacket",IF(O85="shoes","shoe",O85))</f>
        <v>shoe</v>
      </c>
      <c r="U85" s="1">
        <f>SUMIF(O:O,zara[[#This Row],[terms]],L:L)</f>
        <v>2011.0800000000013</v>
      </c>
      <c r="V85" s="1">
        <f>SUMIFS(L:L,O:O,O85)</f>
        <v>2011.0800000000013</v>
      </c>
      <c r="W85" s="1" t="str">
        <f>VLOOKUP(zara[[#This Row],[price]],L:P,5,FALSE)</f>
        <v>MAN</v>
      </c>
      <c r="X85" s="1" t="str">
        <f>INDEX(O:O,MATCH(zara[[#This Row],[price]],L:L,0))</f>
        <v>jackets</v>
      </c>
      <c r="Y85" s="1" t="str">
        <f>INDEX(P:P,MATCH(zara[[#This Row],[price]],L:L,0))</f>
        <v>MAN</v>
      </c>
      <c r="Z85" s="1" t="str">
        <f>INDEX(P:P,MATCH(zara[[#This Row],[price]],L:L,0))</f>
        <v>MAN</v>
      </c>
      <c r="AA85" s="1">
        <f>SUMIFS(L:L,O:O,zara[[#This Row],[terms]])</f>
        <v>2011.0800000000013</v>
      </c>
    </row>
    <row r="86" spans="1:27" hidden="1" x14ac:dyDescent="0.3">
      <c r="A86">
        <v>198375</v>
      </c>
      <c r="B86" s="1" t="s">
        <v>31</v>
      </c>
      <c r="C86" s="1" t="s">
        <v>17</v>
      </c>
      <c r="D86" s="1" t="s">
        <v>18</v>
      </c>
      <c r="E86" s="1" t="s">
        <v>17</v>
      </c>
      <c r="F86">
        <v>2202</v>
      </c>
      <c r="G86" s="1" t="s">
        <v>19</v>
      </c>
      <c r="H86" s="1" t="s">
        <v>196</v>
      </c>
      <c r="I86" s="1" t="s">
        <v>197</v>
      </c>
      <c r="J86" s="1" t="s">
        <v>88</v>
      </c>
      <c r="K86" s="1" t="s">
        <v>198</v>
      </c>
      <c r="L86">
        <v>69.900000000000006</v>
      </c>
      <c r="M86" s="1" t="s">
        <v>24</v>
      </c>
      <c r="N86" s="2">
        <v>45341.368445879627</v>
      </c>
      <c r="O86" s="1" t="s">
        <v>25</v>
      </c>
      <c r="P86" s="1" t="s">
        <v>26</v>
      </c>
      <c r="Q86" s="1"/>
      <c r="R86" s="1"/>
      <c r="S86" s="1" t="str">
        <f>IF(M86="USD","DOLLAR",M86)</f>
        <v>DOLLAR</v>
      </c>
      <c r="T86" s="1" t="str">
        <f>IF(zara[[#This Row],[terms]]="jackets","jacket",IF(O86="shoes","shoe",O86))</f>
        <v>jacket</v>
      </c>
      <c r="U86" s="1">
        <f>SUMIF(O:O,zara[[#This Row],[terms]],L:L)</f>
        <v>14806.109999999982</v>
      </c>
      <c r="V86" s="1">
        <f>SUMIFS(L:L,O:O,O86)</f>
        <v>14806.109999999982</v>
      </c>
      <c r="W86" s="1" t="str">
        <f>VLOOKUP(zara[[#This Row],[price]],L:P,5,FALSE)</f>
        <v>MAN</v>
      </c>
      <c r="X86" s="1" t="str">
        <f>INDEX(O:O,MATCH(zara[[#This Row],[price]],L:L,0))</f>
        <v>jeans</v>
      </c>
      <c r="Y86" s="1" t="str">
        <f>INDEX(P:P,MATCH(zara[[#This Row],[price]],L:L,0))</f>
        <v>MAN</v>
      </c>
      <c r="Z86" s="1" t="str">
        <f>INDEX(P:P,MATCH(zara[[#This Row],[price]],L:L,0))</f>
        <v>MAN</v>
      </c>
      <c r="AA86" s="1">
        <f>SUMIFS(L:L,O:O,zara[[#This Row],[terms]])</f>
        <v>14806.109999999982</v>
      </c>
    </row>
    <row r="87" spans="1:27" x14ac:dyDescent="0.3">
      <c r="A87">
        <v>144848</v>
      </c>
      <c r="B87" s="1" t="s">
        <v>49</v>
      </c>
      <c r="C87" s="1" t="s">
        <v>17</v>
      </c>
      <c r="D87" s="1" t="s">
        <v>18</v>
      </c>
      <c r="E87" s="1" t="s">
        <v>17</v>
      </c>
      <c r="F87">
        <v>2193</v>
      </c>
      <c r="G87" s="1" t="s">
        <v>19</v>
      </c>
      <c r="H87" s="1" t="s">
        <v>598</v>
      </c>
      <c r="I87" s="1" t="s">
        <v>599</v>
      </c>
      <c r="J87" s="1" t="s">
        <v>600</v>
      </c>
      <c r="K87" s="1" t="s">
        <v>601</v>
      </c>
      <c r="L87">
        <v>89.9</v>
      </c>
      <c r="M87" s="1" t="s">
        <v>24</v>
      </c>
      <c r="N87" s="2">
        <v>45341.375531655096</v>
      </c>
      <c r="O87" s="1" t="s">
        <v>517</v>
      </c>
      <c r="P87" s="1" t="s">
        <v>26</v>
      </c>
      <c r="Q87" s="1"/>
      <c r="R87" s="1"/>
      <c r="S87" s="1" t="str">
        <f>IF(M87="USD","DOLLAR",M87)</f>
        <v>DOLLAR</v>
      </c>
      <c r="T87" s="1" t="str">
        <f>IF(zara[[#This Row],[terms]]="jackets","jacket",IF(O87="shoes","shoe",O87))</f>
        <v>shoe</v>
      </c>
      <c r="U87" s="1">
        <f>SUMIF(O:O,zara[[#This Row],[terms]],L:L)</f>
        <v>2011.0800000000013</v>
      </c>
      <c r="V87" s="1">
        <f>SUMIFS(L:L,O:O,O87)</f>
        <v>2011.0800000000013</v>
      </c>
      <c r="W87" s="1" t="str">
        <f>VLOOKUP(zara[[#This Row],[price]],L:P,5,FALSE)</f>
        <v>MAN</v>
      </c>
      <c r="X87" s="1" t="str">
        <f>INDEX(O:O,MATCH(zara[[#This Row],[price]],L:L,0))</f>
        <v>jackets</v>
      </c>
      <c r="Y87" s="1" t="str">
        <f>INDEX(P:P,MATCH(zara[[#This Row],[price]],L:L,0))</f>
        <v>MAN</v>
      </c>
      <c r="Z87" s="1" t="str">
        <f>INDEX(P:P,MATCH(zara[[#This Row],[price]],L:L,0))</f>
        <v>MAN</v>
      </c>
      <c r="AA87" s="1">
        <f>SUMIFS(L:L,O:O,zara[[#This Row],[terms]])</f>
        <v>2011.0800000000013</v>
      </c>
    </row>
    <row r="88" spans="1:27" hidden="1" x14ac:dyDescent="0.3">
      <c r="A88">
        <v>112194</v>
      </c>
      <c r="B88" s="1" t="s">
        <v>16</v>
      </c>
      <c r="C88" s="1" t="s">
        <v>32</v>
      </c>
      <c r="D88" s="1" t="s">
        <v>18</v>
      </c>
      <c r="E88" s="1" t="s">
        <v>32</v>
      </c>
      <c r="F88">
        <v>2187</v>
      </c>
      <c r="G88" s="1" t="s">
        <v>19</v>
      </c>
      <c r="H88" s="1" t="s">
        <v>742</v>
      </c>
      <c r="I88" s="1" t="s">
        <v>499</v>
      </c>
      <c r="J88" s="1" t="s">
        <v>135</v>
      </c>
      <c r="K88" s="1" t="s">
        <v>132</v>
      </c>
      <c r="L88">
        <v>109</v>
      </c>
      <c r="M88" s="1" t="s">
        <v>24</v>
      </c>
      <c r="N88" s="2">
        <v>45341.382437418979</v>
      </c>
      <c r="O88" s="1" t="s">
        <v>25</v>
      </c>
      <c r="P88" s="1" t="s">
        <v>26</v>
      </c>
      <c r="Q88" s="1"/>
      <c r="R88" s="1"/>
      <c r="S88" s="1" t="str">
        <f>IF(M88="USD","DOLLAR",M88)</f>
        <v>DOLLAR</v>
      </c>
      <c r="T88" s="1" t="str">
        <f>IF(zara[[#This Row],[terms]]="jackets","jacket",IF(O88="shoes","shoe",O88))</f>
        <v>jacket</v>
      </c>
      <c r="U88" s="1">
        <f>SUMIF(O:O,zara[[#This Row],[terms]],L:L)</f>
        <v>14806.109999999982</v>
      </c>
      <c r="V88" s="1">
        <f>SUMIFS(L:L,O:O,O88)</f>
        <v>14806.109999999982</v>
      </c>
      <c r="W88" s="1" t="str">
        <f>VLOOKUP(zara[[#This Row],[price]],L:P,5,FALSE)</f>
        <v>MAN</v>
      </c>
      <c r="X88" s="1" t="str">
        <f>INDEX(O:O,MATCH(zara[[#This Row],[price]],L:L,0))</f>
        <v>t-shirts</v>
      </c>
      <c r="Y88" s="1" t="str">
        <f>INDEX(P:P,MATCH(zara[[#This Row],[price]],L:L,0))</f>
        <v>MAN</v>
      </c>
      <c r="Z88" s="1" t="str">
        <f>INDEX(P:P,MATCH(zara[[#This Row],[price]],L:L,0))</f>
        <v>MAN</v>
      </c>
      <c r="AA88" s="1">
        <f>SUMIFS(L:L,O:O,zara[[#This Row],[terms]])</f>
        <v>14806.109999999982</v>
      </c>
    </row>
    <row r="89" spans="1:27" hidden="1" x14ac:dyDescent="0.3">
      <c r="A89">
        <v>110075</v>
      </c>
      <c r="B89" s="1" t="s">
        <v>49</v>
      </c>
      <c r="C89" s="1" t="s">
        <v>32</v>
      </c>
      <c r="D89" s="1" t="s">
        <v>18</v>
      </c>
      <c r="E89" s="1" t="s">
        <v>32</v>
      </c>
      <c r="F89">
        <v>2185</v>
      </c>
      <c r="G89" s="1" t="s">
        <v>19</v>
      </c>
      <c r="H89" s="1" t="s">
        <v>416</v>
      </c>
      <c r="I89" s="1" t="s">
        <v>417</v>
      </c>
      <c r="J89" s="1" t="s">
        <v>418</v>
      </c>
      <c r="K89" s="1" t="s">
        <v>419</v>
      </c>
      <c r="L89">
        <v>159</v>
      </c>
      <c r="M89" s="1" t="s">
        <v>24</v>
      </c>
      <c r="N89" s="2">
        <v>45341.368962766202</v>
      </c>
      <c r="O89" s="1" t="s">
        <v>25</v>
      </c>
      <c r="P89" s="1" t="s">
        <v>26</v>
      </c>
      <c r="Q89" s="1"/>
      <c r="R89" s="1"/>
      <c r="S89" s="1" t="str">
        <f>IF(M89="USD","DOLLAR",M89)</f>
        <v>DOLLAR</v>
      </c>
      <c r="T89" s="1" t="str">
        <f>IF(zara[[#This Row],[terms]]="jackets","jacket",IF(O89="shoes","shoe",O89))</f>
        <v>jacket</v>
      </c>
      <c r="U89" s="1">
        <f>SUMIF(O:O,zara[[#This Row],[terms]],L:L)</f>
        <v>14806.109999999982</v>
      </c>
      <c r="V89" s="1">
        <f>SUMIFS(L:L,O:O,O89)</f>
        <v>14806.109999999982</v>
      </c>
      <c r="W89" s="1" t="str">
        <f>VLOOKUP(zara[[#This Row],[price]],L:P,5,FALSE)</f>
        <v>MAN</v>
      </c>
      <c r="X89" s="1" t="str">
        <f>INDEX(O:O,MATCH(zara[[#This Row],[price]],L:L,0))</f>
        <v>jackets</v>
      </c>
      <c r="Y89" s="1" t="str">
        <f>INDEX(P:P,MATCH(zara[[#This Row],[price]],L:L,0))</f>
        <v>MAN</v>
      </c>
      <c r="Z89" s="1" t="str">
        <f>INDEX(P:P,MATCH(zara[[#This Row],[price]],L:L,0))</f>
        <v>MAN</v>
      </c>
      <c r="AA89" s="1">
        <f>SUMIFS(L:L,O:O,zara[[#This Row],[terms]])</f>
        <v>14806.109999999982</v>
      </c>
    </row>
    <row r="90" spans="1:27" hidden="1" x14ac:dyDescent="0.3">
      <c r="A90">
        <v>151925</v>
      </c>
      <c r="B90" s="1" t="s">
        <v>31</v>
      </c>
      <c r="C90" s="1" t="s">
        <v>32</v>
      </c>
      <c r="D90" s="1" t="s">
        <v>18</v>
      </c>
      <c r="E90" s="1" t="s">
        <v>32</v>
      </c>
      <c r="F90">
        <v>2179</v>
      </c>
      <c r="G90" s="1" t="s">
        <v>19</v>
      </c>
      <c r="H90" s="1" t="s">
        <v>256</v>
      </c>
      <c r="I90" s="1" t="s">
        <v>257</v>
      </c>
      <c r="J90" s="1" t="s">
        <v>258</v>
      </c>
      <c r="K90" s="1" t="s">
        <v>259</v>
      </c>
      <c r="L90">
        <v>299</v>
      </c>
      <c r="M90" s="1" t="s">
        <v>24</v>
      </c>
      <c r="N90" s="2">
        <v>45341.368559525465</v>
      </c>
      <c r="O90" s="1" t="s">
        <v>25</v>
      </c>
      <c r="P90" s="1" t="s">
        <v>26</v>
      </c>
      <c r="Q90" s="1"/>
      <c r="R90" s="1"/>
      <c r="S90" s="1" t="str">
        <f>IF(M90="USD","DOLLAR",M90)</f>
        <v>DOLLAR</v>
      </c>
      <c r="T90" s="1" t="str">
        <f>IF(zara[[#This Row],[terms]]="jackets","jacket",IF(O90="shoes","shoe",O90))</f>
        <v>jacket</v>
      </c>
      <c r="U90" s="1">
        <f>SUMIF(O:O,zara[[#This Row],[terms]],L:L)</f>
        <v>14806.109999999982</v>
      </c>
      <c r="V90" s="1">
        <f>SUMIFS(L:L,O:O,O90)</f>
        <v>14806.109999999982</v>
      </c>
      <c r="W90" s="1" t="str">
        <f>VLOOKUP(zara[[#This Row],[price]],L:P,5,FALSE)</f>
        <v>MAN</v>
      </c>
      <c r="X90" s="1" t="str">
        <f>INDEX(O:O,MATCH(zara[[#This Row],[price]],L:L,0))</f>
        <v>jackets</v>
      </c>
      <c r="Y90" s="1" t="str">
        <f>INDEX(P:P,MATCH(zara[[#This Row],[price]],L:L,0))</f>
        <v>MAN</v>
      </c>
      <c r="Z90" s="1" t="str">
        <f>INDEX(P:P,MATCH(zara[[#This Row],[price]],L:L,0))</f>
        <v>MAN</v>
      </c>
      <c r="AA90" s="1">
        <f>SUMIFS(L:L,O:O,zara[[#This Row],[terms]])</f>
        <v>14806.109999999982</v>
      </c>
    </row>
    <row r="91" spans="1:27" hidden="1" x14ac:dyDescent="0.3">
      <c r="A91">
        <v>134788</v>
      </c>
      <c r="B91" s="1" t="s">
        <v>49</v>
      </c>
      <c r="C91" s="1" t="s">
        <v>17</v>
      </c>
      <c r="D91" s="1" t="s">
        <v>18</v>
      </c>
      <c r="E91" s="1" t="s">
        <v>17</v>
      </c>
      <c r="F91">
        <v>2179</v>
      </c>
      <c r="G91" s="1" t="s">
        <v>19</v>
      </c>
      <c r="H91" s="1" t="s">
        <v>758</v>
      </c>
      <c r="I91" s="1" t="s">
        <v>759</v>
      </c>
      <c r="J91" s="1" t="s">
        <v>760</v>
      </c>
      <c r="K91" s="1" t="s">
        <v>761</v>
      </c>
      <c r="L91">
        <v>45.9</v>
      </c>
      <c r="M91" s="1" t="s">
        <v>24</v>
      </c>
      <c r="N91" s="2">
        <v>45341.382536909725</v>
      </c>
      <c r="O91" s="1" t="s">
        <v>636</v>
      </c>
      <c r="P91" s="1" t="s">
        <v>637</v>
      </c>
      <c r="Q91" s="1"/>
      <c r="R91" s="1"/>
      <c r="S91" s="1" t="str">
        <f>IF(M91="USD","DOLLAR",M91)</f>
        <v>DOLLAR</v>
      </c>
      <c r="T91" s="1" t="str">
        <f>IF(zara[[#This Row],[terms]]="jackets","jacket",IF(O91="shoes","shoe",O91))</f>
        <v>sweaters</v>
      </c>
      <c r="U91" s="1">
        <f>SUMIF(O:O,zara[[#This Row],[terms]],L:L)</f>
        <v>2249.3700000000013</v>
      </c>
      <c r="V91" s="1">
        <f>SUMIFS(L:L,O:O,O91)</f>
        <v>2249.3700000000013</v>
      </c>
      <c r="W91" s="1" t="str">
        <f>VLOOKUP(zara[[#This Row],[price]],L:P,5,FALSE)</f>
        <v>MAN</v>
      </c>
      <c r="X91" s="1" t="str">
        <f>INDEX(O:O,MATCH(zara[[#This Row],[price]],L:L,0))</f>
        <v>shoes</v>
      </c>
      <c r="Y91" s="1" t="str">
        <f>INDEX(P:P,MATCH(zara[[#This Row],[price]],L:L,0))</f>
        <v>MAN</v>
      </c>
      <c r="Z91" s="1" t="str">
        <f>INDEX(P:P,MATCH(zara[[#This Row],[price]],L:L,0))</f>
        <v>MAN</v>
      </c>
      <c r="AA91" s="1">
        <f>SUMIFS(L:L,O:O,zara[[#This Row],[terms]])</f>
        <v>2249.3700000000013</v>
      </c>
    </row>
    <row r="92" spans="1:27" hidden="1" x14ac:dyDescent="0.3">
      <c r="A92">
        <v>175059</v>
      </c>
      <c r="B92" s="1" t="s">
        <v>16</v>
      </c>
      <c r="C92" s="1" t="s">
        <v>32</v>
      </c>
      <c r="D92" s="1" t="s">
        <v>18</v>
      </c>
      <c r="E92" s="1" t="s">
        <v>17</v>
      </c>
      <c r="F92">
        <v>2170</v>
      </c>
      <c r="G92" s="1" t="s">
        <v>19</v>
      </c>
      <c r="H92" s="1" t="s">
        <v>306</v>
      </c>
      <c r="I92" s="1" t="s">
        <v>307</v>
      </c>
      <c r="J92" s="1" t="s">
        <v>119</v>
      </c>
      <c r="K92" s="1" t="s">
        <v>120</v>
      </c>
      <c r="L92">
        <v>49.9</v>
      </c>
      <c r="M92" s="1" t="s">
        <v>24</v>
      </c>
      <c r="N92" s="2">
        <v>45341.368691284719</v>
      </c>
      <c r="O92" s="1" t="s">
        <v>25</v>
      </c>
      <c r="P92" s="1" t="s">
        <v>26</v>
      </c>
      <c r="Q92" s="1"/>
      <c r="R92" s="1"/>
      <c r="S92" s="1" t="str">
        <f>IF(M92="USD","DOLLAR",M92)</f>
        <v>DOLLAR</v>
      </c>
      <c r="T92" s="1" t="str">
        <f>IF(zara[[#This Row],[terms]]="jackets","jacket",IF(O92="shoes","shoe",O92))</f>
        <v>jacket</v>
      </c>
      <c r="U92" s="1">
        <f>SUMIF(O:O,zara[[#This Row],[terms]],L:L)</f>
        <v>14806.109999999982</v>
      </c>
      <c r="V92" s="1">
        <f>SUMIFS(L:L,O:O,O92)</f>
        <v>14806.109999999982</v>
      </c>
      <c r="W92" s="1" t="str">
        <f>VLOOKUP(zara[[#This Row],[price]],L:P,5,FALSE)</f>
        <v>MAN</v>
      </c>
      <c r="X92" s="1" t="str">
        <f>INDEX(O:O,MATCH(zara[[#This Row],[price]],L:L,0))</f>
        <v>jackets</v>
      </c>
      <c r="Y92" s="1" t="str">
        <f>INDEX(P:P,MATCH(zara[[#This Row],[price]],L:L,0))</f>
        <v>MAN</v>
      </c>
      <c r="Z92" s="1" t="str">
        <f>INDEX(P:P,MATCH(zara[[#This Row],[price]],L:L,0))</f>
        <v>MAN</v>
      </c>
      <c r="AA92" s="1">
        <f>SUMIFS(L:L,O:O,zara[[#This Row],[terms]])</f>
        <v>14806.109999999982</v>
      </c>
    </row>
    <row r="93" spans="1:27" hidden="1" x14ac:dyDescent="0.3">
      <c r="A93">
        <v>168516</v>
      </c>
      <c r="B93" s="1" t="s">
        <v>49</v>
      </c>
      <c r="C93" s="1" t="s">
        <v>32</v>
      </c>
      <c r="D93" s="1" t="s">
        <v>18</v>
      </c>
      <c r="E93" s="1" t="s">
        <v>17</v>
      </c>
      <c r="F93">
        <v>2168</v>
      </c>
      <c r="G93" s="1" t="s">
        <v>19</v>
      </c>
      <c r="H93" s="1" t="s">
        <v>726</v>
      </c>
      <c r="I93" s="1" t="s">
        <v>483</v>
      </c>
      <c r="J93" s="1" t="s">
        <v>119</v>
      </c>
      <c r="K93" s="1" t="s">
        <v>339</v>
      </c>
      <c r="L93">
        <v>89.9</v>
      </c>
      <c r="M93" s="1" t="s">
        <v>24</v>
      </c>
      <c r="N93" s="2">
        <v>45341.382406377314</v>
      </c>
      <c r="O93" s="1" t="s">
        <v>836</v>
      </c>
      <c r="P93" s="1" t="s">
        <v>26</v>
      </c>
      <c r="Q93" s="1"/>
      <c r="R93" s="1"/>
      <c r="S93" s="1" t="str">
        <f>IF(M93="USD","DOLLAR",M93)</f>
        <v>DOLLAR</v>
      </c>
      <c r="T93" s="1" t="str">
        <f>IF(zara[[#This Row],[terms]]="jackets","jacket",IF(O93="shoes","shoe",O93))</f>
        <v>t-shirts</v>
      </c>
      <c r="U93" s="1">
        <f>SUMIF(O:O,zara[[#This Row],[terms]],L:L)</f>
        <v>2157.6900000000005</v>
      </c>
      <c r="V93" s="1">
        <f>SUMIFS(L:L,O:O,O93)</f>
        <v>2157.6900000000005</v>
      </c>
      <c r="W93" s="1" t="str">
        <f>VLOOKUP(zara[[#This Row],[price]],L:P,5,FALSE)</f>
        <v>MAN</v>
      </c>
      <c r="X93" s="1" t="str">
        <f>INDEX(O:O,MATCH(zara[[#This Row],[price]],L:L,0))</f>
        <v>jackets</v>
      </c>
      <c r="Y93" s="1" t="str">
        <f>INDEX(P:P,MATCH(zara[[#This Row],[price]],L:L,0))</f>
        <v>MAN</v>
      </c>
      <c r="Z93" s="1" t="str">
        <f>INDEX(P:P,MATCH(zara[[#This Row],[price]],L:L,0))</f>
        <v>MAN</v>
      </c>
      <c r="AA93" s="1">
        <f>SUMIFS(L:L,O:O,zara[[#This Row],[terms]])</f>
        <v>2157.6900000000005</v>
      </c>
    </row>
    <row r="94" spans="1:27" x14ac:dyDescent="0.3">
      <c r="A94">
        <v>111957</v>
      </c>
      <c r="B94" s="1" t="s">
        <v>16</v>
      </c>
      <c r="C94" s="1" t="s">
        <v>32</v>
      </c>
      <c r="D94" s="1" t="s">
        <v>18</v>
      </c>
      <c r="E94" s="1" t="s">
        <v>17</v>
      </c>
      <c r="F94">
        <v>2164</v>
      </c>
      <c r="G94" s="1" t="s">
        <v>19</v>
      </c>
      <c r="H94" s="1" t="s">
        <v>602</v>
      </c>
      <c r="I94" s="1" t="s">
        <v>603</v>
      </c>
      <c r="J94" s="1" t="s">
        <v>604</v>
      </c>
      <c r="K94" s="1" t="s">
        <v>605</v>
      </c>
      <c r="L94">
        <v>89.9</v>
      </c>
      <c r="M94" s="1" t="s">
        <v>24</v>
      </c>
      <c r="N94" s="2">
        <v>45341.375539687499</v>
      </c>
      <c r="O94" s="1" t="s">
        <v>517</v>
      </c>
      <c r="P94" s="1" t="s">
        <v>26</v>
      </c>
      <c r="Q94" s="1"/>
      <c r="R94" s="1"/>
      <c r="S94" s="1" t="str">
        <f>IF(M94="USD","DOLLAR",M94)</f>
        <v>DOLLAR</v>
      </c>
      <c r="T94" s="1" t="str">
        <f>IF(zara[[#This Row],[terms]]="jackets","jacket",IF(O94="shoes","shoe",O94))</f>
        <v>shoe</v>
      </c>
      <c r="U94" s="1">
        <f>SUMIF(O:O,zara[[#This Row],[terms]],L:L)</f>
        <v>2011.0800000000013</v>
      </c>
      <c r="V94" s="1">
        <f>SUMIFS(L:L,O:O,O94)</f>
        <v>2011.0800000000013</v>
      </c>
      <c r="W94" s="1" t="str">
        <f>VLOOKUP(zara[[#This Row],[price]],L:P,5,FALSE)</f>
        <v>MAN</v>
      </c>
      <c r="X94" s="1" t="str">
        <f>INDEX(O:O,MATCH(zara[[#This Row],[price]],L:L,0))</f>
        <v>jackets</v>
      </c>
      <c r="Y94" s="1" t="str">
        <f>INDEX(P:P,MATCH(zara[[#This Row],[price]],L:L,0))</f>
        <v>MAN</v>
      </c>
      <c r="Z94" s="1" t="str">
        <f>INDEX(P:P,MATCH(zara[[#This Row],[price]],L:L,0))</f>
        <v>MAN</v>
      </c>
      <c r="AA94" s="1">
        <f>SUMIFS(L:L,O:O,zara[[#This Row],[terms]])</f>
        <v>2011.0800000000013</v>
      </c>
    </row>
    <row r="95" spans="1:27" hidden="1" x14ac:dyDescent="0.3">
      <c r="A95">
        <v>126979</v>
      </c>
      <c r="B95" s="1" t="s">
        <v>49</v>
      </c>
      <c r="C95" s="1" t="s">
        <v>17</v>
      </c>
      <c r="D95" s="1" t="s">
        <v>18</v>
      </c>
      <c r="E95" s="1" t="s">
        <v>17</v>
      </c>
      <c r="F95">
        <v>2141</v>
      </c>
      <c r="G95" s="1" t="s">
        <v>19</v>
      </c>
      <c r="H95" s="1" t="s">
        <v>706</v>
      </c>
      <c r="I95" s="1" t="s">
        <v>707</v>
      </c>
      <c r="J95" s="1" t="s">
        <v>708</v>
      </c>
      <c r="K95" s="1" t="s">
        <v>709</v>
      </c>
      <c r="L95">
        <v>49.9</v>
      </c>
      <c r="M95" s="1" t="s">
        <v>24</v>
      </c>
      <c r="N95" s="2">
        <v>45341.382446516203</v>
      </c>
      <c r="O95" s="1" t="s">
        <v>636</v>
      </c>
      <c r="P95" s="1" t="s">
        <v>637</v>
      </c>
      <c r="Q95" s="1"/>
      <c r="R95" s="1"/>
      <c r="S95" s="1" t="str">
        <f>IF(M95="USD","DOLLAR",M95)</f>
        <v>DOLLAR</v>
      </c>
      <c r="T95" s="1" t="str">
        <f>IF(zara[[#This Row],[terms]]="jackets","jacket",IF(O95="shoes","shoe",O95))</f>
        <v>sweaters</v>
      </c>
      <c r="U95" s="1">
        <f>SUMIF(O:O,zara[[#This Row],[terms]],L:L)</f>
        <v>2249.3700000000013</v>
      </c>
      <c r="V95" s="1">
        <f>SUMIFS(L:L,O:O,O95)</f>
        <v>2249.3700000000013</v>
      </c>
      <c r="W95" s="1" t="str">
        <f>VLOOKUP(zara[[#This Row],[price]],L:P,5,FALSE)</f>
        <v>MAN</v>
      </c>
      <c r="X95" s="1" t="str">
        <f>INDEX(O:O,MATCH(zara[[#This Row],[price]],L:L,0))</f>
        <v>jackets</v>
      </c>
      <c r="Y95" s="1" t="str">
        <f>INDEX(P:P,MATCH(zara[[#This Row],[price]],L:L,0))</f>
        <v>MAN</v>
      </c>
      <c r="Z95" s="1" t="str">
        <f>INDEX(P:P,MATCH(zara[[#This Row],[price]],L:L,0))</f>
        <v>MAN</v>
      </c>
      <c r="AA95" s="1">
        <f>SUMIFS(L:L,O:O,zara[[#This Row],[terms]])</f>
        <v>2249.3700000000013</v>
      </c>
    </row>
    <row r="96" spans="1:27" hidden="1" x14ac:dyDescent="0.3">
      <c r="A96">
        <v>132322</v>
      </c>
      <c r="B96" s="1" t="s">
        <v>49</v>
      </c>
      <c r="C96" s="1" t="s">
        <v>32</v>
      </c>
      <c r="D96" s="1" t="s">
        <v>18</v>
      </c>
      <c r="E96" s="1" t="s">
        <v>17</v>
      </c>
      <c r="F96">
        <v>2135</v>
      </c>
      <c r="G96" s="1" t="s">
        <v>19</v>
      </c>
      <c r="H96" s="1" t="s">
        <v>420</v>
      </c>
      <c r="I96" s="1" t="s">
        <v>421</v>
      </c>
      <c r="J96" s="1" t="s">
        <v>422</v>
      </c>
      <c r="K96" s="1" t="s">
        <v>423</v>
      </c>
      <c r="L96">
        <v>12.99</v>
      </c>
      <c r="M96" s="1" t="s">
        <v>24</v>
      </c>
      <c r="N96" s="2">
        <v>45341.369104178244</v>
      </c>
      <c r="O96" s="1" t="s">
        <v>25</v>
      </c>
      <c r="P96" s="1" t="s">
        <v>26</v>
      </c>
      <c r="Q96" s="1"/>
      <c r="R96" s="1"/>
      <c r="S96" s="1" t="str">
        <f>IF(M96="USD","DOLLAR",M96)</f>
        <v>DOLLAR</v>
      </c>
      <c r="T96" s="1" t="str">
        <f>IF(zara[[#This Row],[terms]]="jackets","jacket",IF(O96="shoes","shoe",O96))</f>
        <v>jacket</v>
      </c>
      <c r="U96" s="1">
        <f>SUMIF(O:O,zara[[#This Row],[terms]],L:L)</f>
        <v>14806.109999999982</v>
      </c>
      <c r="V96" s="1">
        <f>SUMIFS(L:L,O:O,O96)</f>
        <v>14806.109999999982</v>
      </c>
      <c r="W96" s="1" t="str">
        <f>VLOOKUP(zara[[#This Row],[price]],L:P,5,FALSE)</f>
        <v>MAN</v>
      </c>
      <c r="X96" s="1" t="str">
        <f>INDEX(O:O,MATCH(zara[[#This Row],[price]],L:L,0))</f>
        <v>sweaters</v>
      </c>
      <c r="Y96" s="1" t="str">
        <f>INDEX(P:P,MATCH(zara[[#This Row],[price]],L:L,0))</f>
        <v>MAN</v>
      </c>
      <c r="Z96" s="1" t="str">
        <f>INDEX(P:P,MATCH(zara[[#This Row],[price]],L:L,0))</f>
        <v>MAN</v>
      </c>
      <c r="AA96" s="1">
        <f>SUMIFS(L:L,O:O,zara[[#This Row],[terms]])</f>
        <v>14806.109999999982</v>
      </c>
    </row>
    <row r="97" spans="1:27" hidden="1" x14ac:dyDescent="0.3">
      <c r="A97">
        <v>131298</v>
      </c>
      <c r="B97" s="1" t="s">
        <v>31</v>
      </c>
      <c r="C97" s="1" t="s">
        <v>32</v>
      </c>
      <c r="D97" s="1" t="s">
        <v>18</v>
      </c>
      <c r="E97" s="1" t="s">
        <v>17</v>
      </c>
      <c r="F97">
        <v>2133</v>
      </c>
      <c r="G97" s="1" t="s">
        <v>19</v>
      </c>
      <c r="H97" s="1" t="s">
        <v>436</v>
      </c>
      <c r="I97" s="1" t="s">
        <v>437</v>
      </c>
      <c r="J97" s="1" t="s">
        <v>438</v>
      </c>
      <c r="K97" s="1" t="s">
        <v>439</v>
      </c>
      <c r="L97">
        <v>69.900000000000006</v>
      </c>
      <c r="M97" s="1" t="s">
        <v>24</v>
      </c>
      <c r="N97" s="2">
        <v>45341.369133969907</v>
      </c>
      <c r="O97" s="1" t="s">
        <v>25</v>
      </c>
      <c r="P97" s="1" t="s">
        <v>26</v>
      </c>
      <c r="Q97" s="1"/>
      <c r="R97" s="1"/>
      <c r="S97" s="1" t="str">
        <f>IF(M97="USD","DOLLAR",M97)</f>
        <v>DOLLAR</v>
      </c>
      <c r="T97" s="1" t="str">
        <f>IF(zara[[#This Row],[terms]]="jackets","jacket",IF(O97="shoes","shoe",O97))</f>
        <v>jacket</v>
      </c>
      <c r="U97" s="1">
        <f>SUMIF(O:O,zara[[#This Row],[terms]],L:L)</f>
        <v>14806.109999999982</v>
      </c>
      <c r="V97" s="1">
        <f>SUMIFS(L:L,O:O,O97)</f>
        <v>14806.109999999982</v>
      </c>
      <c r="W97" s="1" t="str">
        <f>VLOOKUP(zara[[#This Row],[price]],L:P,5,FALSE)</f>
        <v>MAN</v>
      </c>
      <c r="X97" s="1" t="str">
        <f>INDEX(O:O,MATCH(zara[[#This Row],[price]],L:L,0))</f>
        <v>jeans</v>
      </c>
      <c r="Y97" s="1" t="str">
        <f>INDEX(P:P,MATCH(zara[[#This Row],[price]],L:L,0))</f>
        <v>MAN</v>
      </c>
      <c r="Z97" s="1" t="str">
        <f>INDEX(P:P,MATCH(zara[[#This Row],[price]],L:L,0))</f>
        <v>MAN</v>
      </c>
      <c r="AA97" s="1">
        <f>SUMIFS(L:L,O:O,zara[[#This Row],[terms]])</f>
        <v>14806.109999999982</v>
      </c>
    </row>
    <row r="98" spans="1:27" hidden="1" x14ac:dyDescent="0.3">
      <c r="A98">
        <v>134693</v>
      </c>
      <c r="B98" s="1" t="s">
        <v>16</v>
      </c>
      <c r="C98" s="1" t="s">
        <v>32</v>
      </c>
      <c r="D98" s="1" t="s">
        <v>18</v>
      </c>
      <c r="E98" s="1" t="s">
        <v>17</v>
      </c>
      <c r="F98">
        <v>2124</v>
      </c>
      <c r="G98" s="1" t="s">
        <v>19</v>
      </c>
      <c r="H98" s="1" t="s">
        <v>74</v>
      </c>
      <c r="I98" s="1" t="s">
        <v>75</v>
      </c>
      <c r="J98" s="1" t="s">
        <v>76</v>
      </c>
      <c r="K98" s="1" t="s">
        <v>77</v>
      </c>
      <c r="L98">
        <v>169</v>
      </c>
      <c r="M98" s="1" t="s">
        <v>24</v>
      </c>
      <c r="N98" s="2">
        <v>45341.368208449072</v>
      </c>
      <c r="O98" s="1" t="s">
        <v>25</v>
      </c>
      <c r="P98" s="1" t="s">
        <v>26</v>
      </c>
      <c r="Q98" s="1"/>
      <c r="R98" s="1"/>
      <c r="S98" s="1" t="str">
        <f>IF(M98="USD","DOLLAR",M98)</f>
        <v>DOLLAR</v>
      </c>
      <c r="T98" s="1" t="str">
        <f>IF(zara[[#This Row],[terms]]="jackets","jacket",IF(O98="shoes","shoe",O98))</f>
        <v>jacket</v>
      </c>
      <c r="U98" s="1">
        <f>SUMIF(O:O,zara[[#This Row],[terms]],L:L)</f>
        <v>14806.109999999982</v>
      </c>
      <c r="V98" s="1">
        <f>SUMIFS(L:L,O:O,O98)</f>
        <v>14806.109999999982</v>
      </c>
      <c r="W98" s="1" t="str">
        <f>VLOOKUP(zara[[#This Row],[price]],L:P,5,FALSE)</f>
        <v>MAN</v>
      </c>
      <c r="X98" s="1" t="str">
        <f>INDEX(O:O,MATCH(zara[[#This Row],[price]],L:L,0))</f>
        <v>jackets</v>
      </c>
      <c r="Y98" s="1" t="str">
        <f>INDEX(P:P,MATCH(zara[[#This Row],[price]],L:L,0))</f>
        <v>MAN</v>
      </c>
      <c r="Z98" s="1" t="str">
        <f>INDEX(P:P,MATCH(zara[[#This Row],[price]],L:L,0))</f>
        <v>MAN</v>
      </c>
      <c r="AA98" s="1">
        <f>SUMIFS(L:L,O:O,zara[[#This Row],[terms]])</f>
        <v>14806.109999999982</v>
      </c>
    </row>
    <row r="99" spans="1:27" x14ac:dyDescent="0.3">
      <c r="A99">
        <v>114550</v>
      </c>
      <c r="B99" s="1" t="s">
        <v>31</v>
      </c>
      <c r="C99" s="1" t="s">
        <v>17</v>
      </c>
      <c r="D99" s="1" t="s">
        <v>18</v>
      </c>
      <c r="E99" s="1" t="s">
        <v>17</v>
      </c>
      <c r="F99">
        <v>2114</v>
      </c>
      <c r="G99" s="1" t="s">
        <v>19</v>
      </c>
      <c r="H99" s="1" t="s">
        <v>518</v>
      </c>
      <c r="I99" s="1" t="s">
        <v>519</v>
      </c>
      <c r="J99" s="1" t="s">
        <v>520</v>
      </c>
      <c r="K99" s="1" t="s">
        <v>521</v>
      </c>
      <c r="L99">
        <v>69.900000000000006</v>
      </c>
      <c r="M99" s="1" t="s">
        <v>24</v>
      </c>
      <c r="N99" s="2">
        <v>45341.375336168981</v>
      </c>
      <c r="O99" s="1" t="s">
        <v>517</v>
      </c>
      <c r="P99" s="1" t="s">
        <v>26</v>
      </c>
      <c r="Q99" s="1"/>
      <c r="R99" s="1"/>
      <c r="S99" s="1" t="str">
        <f>IF(M99="USD","DOLLAR",M99)</f>
        <v>DOLLAR</v>
      </c>
      <c r="T99" s="1" t="str">
        <f>IF(zara[[#This Row],[terms]]="jackets","jacket",IF(O99="shoes","shoe",O99))</f>
        <v>shoe</v>
      </c>
      <c r="U99" s="1">
        <f>SUMIF(O:O,zara[[#This Row],[terms]],L:L)</f>
        <v>2011.0800000000013</v>
      </c>
      <c r="V99" s="1">
        <f>SUMIFS(L:L,O:O,O99)</f>
        <v>2011.0800000000013</v>
      </c>
      <c r="W99" s="1" t="str">
        <f>VLOOKUP(zara[[#This Row],[price]],L:P,5,FALSE)</f>
        <v>MAN</v>
      </c>
      <c r="X99" s="1" t="str">
        <f>INDEX(O:O,MATCH(zara[[#This Row],[price]],L:L,0))</f>
        <v>jeans</v>
      </c>
      <c r="Y99" s="1" t="str">
        <f>INDEX(P:P,MATCH(zara[[#This Row],[price]],L:L,0))</f>
        <v>MAN</v>
      </c>
      <c r="Z99" s="1" t="str">
        <f>INDEX(P:P,MATCH(zara[[#This Row],[price]],L:L,0))</f>
        <v>MAN</v>
      </c>
      <c r="AA99" s="1">
        <f>SUMIFS(L:L,O:O,zara[[#This Row],[terms]])</f>
        <v>2011.0800000000013</v>
      </c>
    </row>
    <row r="100" spans="1:27" hidden="1" x14ac:dyDescent="0.3">
      <c r="A100">
        <v>182779</v>
      </c>
      <c r="B100" s="1" t="s">
        <v>31</v>
      </c>
      <c r="C100" s="1" t="s">
        <v>32</v>
      </c>
      <c r="D100" s="1" t="s">
        <v>18</v>
      </c>
      <c r="E100" s="1" t="s">
        <v>32</v>
      </c>
      <c r="F100">
        <v>2097</v>
      </c>
      <c r="G100" s="1" t="s">
        <v>19</v>
      </c>
      <c r="H100" s="1" t="s">
        <v>690</v>
      </c>
      <c r="I100" s="1" t="s">
        <v>691</v>
      </c>
      <c r="J100" s="1" t="s">
        <v>692</v>
      </c>
      <c r="K100" s="1" t="s">
        <v>693</v>
      </c>
      <c r="L100">
        <v>35.9</v>
      </c>
      <c r="M100" s="1" t="s">
        <v>24</v>
      </c>
      <c r="N100" s="2">
        <v>45341.38241528935</v>
      </c>
      <c r="O100" s="1" t="s">
        <v>636</v>
      </c>
      <c r="P100" s="1" t="s">
        <v>637</v>
      </c>
      <c r="Q100" s="1"/>
      <c r="R100" s="1"/>
      <c r="S100" s="1" t="str">
        <f>IF(M100="USD","DOLLAR",M100)</f>
        <v>DOLLAR</v>
      </c>
      <c r="T100" s="1" t="str">
        <f>IF(zara[[#This Row],[terms]]="jackets","jacket",IF(O100="shoes","shoe",O100))</f>
        <v>sweaters</v>
      </c>
      <c r="U100" s="1">
        <f>SUMIF(O:O,zara[[#This Row],[terms]],L:L)</f>
        <v>2249.3700000000013</v>
      </c>
      <c r="V100" s="1">
        <f>SUMIFS(L:L,O:O,O100)</f>
        <v>2249.3700000000013</v>
      </c>
      <c r="W100" s="1" t="str">
        <f>VLOOKUP(zara[[#This Row],[price]],L:P,5,FALSE)</f>
        <v>WOMAN</v>
      </c>
      <c r="X100" s="1" t="str">
        <f>INDEX(O:O,MATCH(zara[[#This Row],[price]],L:L,0))</f>
        <v>sweaters</v>
      </c>
      <c r="Y100" s="1" t="str">
        <f>INDEX(P:P,MATCH(zara[[#This Row],[price]],L:L,0))</f>
        <v>WOMAN</v>
      </c>
      <c r="Z100" s="1" t="str">
        <f>INDEX(P:P,MATCH(zara[[#This Row],[price]],L:L,0))</f>
        <v>WOMAN</v>
      </c>
      <c r="AA100" s="1">
        <f>SUMIFS(L:L,O:O,zara[[#This Row],[terms]])</f>
        <v>2249.3700000000013</v>
      </c>
    </row>
    <row r="101" spans="1:27" hidden="1" x14ac:dyDescent="0.3">
      <c r="A101">
        <v>130321</v>
      </c>
      <c r="B101" s="1" t="s">
        <v>31</v>
      </c>
      <c r="C101" s="1" t="s">
        <v>32</v>
      </c>
      <c r="D101" s="1" t="s">
        <v>18</v>
      </c>
      <c r="E101" s="1" t="s">
        <v>17</v>
      </c>
      <c r="F101">
        <v>2093</v>
      </c>
      <c r="G101" s="1" t="s">
        <v>19</v>
      </c>
      <c r="H101" s="1" t="s">
        <v>896</v>
      </c>
      <c r="I101" s="1" t="s">
        <v>897</v>
      </c>
      <c r="J101" s="1" t="s">
        <v>898</v>
      </c>
      <c r="K101" s="1" t="s">
        <v>899</v>
      </c>
      <c r="L101">
        <v>39.9</v>
      </c>
      <c r="M101" s="1" t="s">
        <v>24</v>
      </c>
      <c r="N101" s="2">
        <v>45341.372630266203</v>
      </c>
      <c r="O101" s="1" t="s">
        <v>836</v>
      </c>
      <c r="P101" s="1" t="s">
        <v>26</v>
      </c>
      <c r="Q101" s="1"/>
      <c r="R101" s="1"/>
      <c r="S101" s="1" t="str">
        <f>IF(M101="USD","DOLLAR",M101)</f>
        <v>DOLLAR</v>
      </c>
      <c r="T101" s="1" t="str">
        <f>IF(zara[[#This Row],[terms]]="jackets","jacket",IF(O101="shoes","shoe",O101))</f>
        <v>t-shirts</v>
      </c>
      <c r="U101" s="1">
        <f>SUMIF(O:O,zara[[#This Row],[terms]],L:L)</f>
        <v>2157.6900000000005</v>
      </c>
      <c r="V101" s="1">
        <f>SUMIFS(L:L,O:O,O101)</f>
        <v>2157.6900000000005</v>
      </c>
      <c r="W101" s="1" t="str">
        <f>VLOOKUP(zara[[#This Row],[price]],L:P,5,FALSE)</f>
        <v>MAN</v>
      </c>
      <c r="X101" s="1" t="str">
        <f>INDEX(O:O,MATCH(zara[[#This Row],[price]],L:L,0))</f>
        <v>jackets</v>
      </c>
      <c r="Y101" s="1" t="str">
        <f>INDEX(P:P,MATCH(zara[[#This Row],[price]],L:L,0))</f>
        <v>MAN</v>
      </c>
      <c r="Z101" s="1" t="str">
        <f>INDEX(P:P,MATCH(zara[[#This Row],[price]],L:L,0))</f>
        <v>MAN</v>
      </c>
      <c r="AA101" s="1">
        <f>SUMIFS(L:L,O:O,zara[[#This Row],[terms]])</f>
        <v>2157.6900000000005</v>
      </c>
    </row>
    <row r="102" spans="1:27" hidden="1" x14ac:dyDescent="0.3">
      <c r="A102">
        <v>129906</v>
      </c>
      <c r="B102" s="1" t="s">
        <v>16</v>
      </c>
      <c r="C102" s="1" t="s">
        <v>17</v>
      </c>
      <c r="D102" s="1" t="s">
        <v>18</v>
      </c>
      <c r="E102" s="1" t="s">
        <v>17</v>
      </c>
      <c r="F102">
        <v>2089</v>
      </c>
      <c r="G102" s="1" t="s">
        <v>19</v>
      </c>
      <c r="H102" s="1" t="s">
        <v>90</v>
      </c>
      <c r="I102" s="1" t="s">
        <v>91</v>
      </c>
      <c r="J102" s="1" t="s">
        <v>92</v>
      </c>
      <c r="K102" s="1" t="s">
        <v>93</v>
      </c>
      <c r="L102">
        <v>69.900000000000006</v>
      </c>
      <c r="M102" s="1" t="s">
        <v>24</v>
      </c>
      <c r="N102" s="2">
        <v>45341.368233634261</v>
      </c>
      <c r="O102" s="1" t="s">
        <v>25</v>
      </c>
      <c r="P102" s="1" t="s">
        <v>26</v>
      </c>
      <c r="Q102" s="1"/>
      <c r="R102" s="1"/>
      <c r="S102" s="1" t="str">
        <f>IF(M102="USD","DOLLAR",M102)</f>
        <v>DOLLAR</v>
      </c>
      <c r="T102" s="1" t="str">
        <f>IF(zara[[#This Row],[terms]]="jackets","jacket",IF(O102="shoes","shoe",O102))</f>
        <v>jacket</v>
      </c>
      <c r="U102" s="1">
        <f>SUMIF(O:O,zara[[#This Row],[terms]],L:L)</f>
        <v>14806.109999999982</v>
      </c>
      <c r="V102" s="1">
        <f>SUMIFS(L:L,O:O,O102)</f>
        <v>14806.109999999982</v>
      </c>
      <c r="W102" s="1" t="str">
        <f>VLOOKUP(zara[[#This Row],[price]],L:P,5,FALSE)</f>
        <v>MAN</v>
      </c>
      <c r="X102" s="1" t="str">
        <f>INDEX(O:O,MATCH(zara[[#This Row],[price]],L:L,0))</f>
        <v>jeans</v>
      </c>
      <c r="Y102" s="1" t="str">
        <f>INDEX(P:P,MATCH(zara[[#This Row],[price]],L:L,0))</f>
        <v>MAN</v>
      </c>
      <c r="Z102" s="1" t="str">
        <f>INDEX(P:P,MATCH(zara[[#This Row],[price]],L:L,0))</f>
        <v>MAN</v>
      </c>
      <c r="AA102" s="1">
        <f>SUMIFS(L:L,O:O,zara[[#This Row],[terms]])</f>
        <v>14806.109999999982</v>
      </c>
    </row>
    <row r="103" spans="1:27" hidden="1" x14ac:dyDescent="0.3">
      <c r="A103">
        <v>175584</v>
      </c>
      <c r="B103" s="1" t="s">
        <v>49</v>
      </c>
      <c r="C103" s="1" t="s">
        <v>17</v>
      </c>
      <c r="D103" s="1" t="s">
        <v>18</v>
      </c>
      <c r="E103" s="1" t="s">
        <v>17</v>
      </c>
      <c r="F103">
        <v>2084</v>
      </c>
      <c r="G103" s="1" t="s">
        <v>19</v>
      </c>
      <c r="H103" s="1" t="s">
        <v>781</v>
      </c>
      <c r="I103" s="1" t="s">
        <v>782</v>
      </c>
      <c r="J103" s="1" t="s">
        <v>783</v>
      </c>
      <c r="K103" s="1" t="s">
        <v>784</v>
      </c>
      <c r="L103">
        <v>69.900000000000006</v>
      </c>
      <c r="M103" s="1" t="s">
        <v>24</v>
      </c>
      <c r="N103" s="2">
        <v>45341.371269884257</v>
      </c>
      <c r="O103" s="1" t="s">
        <v>785</v>
      </c>
      <c r="P103" s="1" t="s">
        <v>26</v>
      </c>
      <c r="Q103" s="1"/>
      <c r="R103" s="1"/>
      <c r="S103" s="1" t="str">
        <f>IF(M103="USD","DOLLAR",M103)</f>
        <v>DOLLAR</v>
      </c>
      <c r="T103" s="1" t="str">
        <f>IF(zara[[#This Row],[terms]]="jackets","jacket",IF(O103="shoes","shoe",O103))</f>
        <v>jeans</v>
      </c>
      <c r="U103" s="1">
        <f>SUMIF(O:O,zara[[#This Row],[terms]],L:L)</f>
        <v>511.39</v>
      </c>
      <c r="V103" s="1">
        <f>SUMIFS(L:L,O:O,O103)</f>
        <v>511.39</v>
      </c>
      <c r="W103" s="1" t="str">
        <f>VLOOKUP(zara[[#This Row],[price]],L:P,5,FALSE)</f>
        <v>MAN</v>
      </c>
      <c r="X103" s="1" t="str">
        <f>INDEX(O:O,MATCH(zara[[#This Row],[price]],L:L,0))</f>
        <v>jeans</v>
      </c>
      <c r="Y103" s="1" t="str">
        <f>INDEX(P:P,MATCH(zara[[#This Row],[price]],L:L,0))</f>
        <v>MAN</v>
      </c>
      <c r="Z103" s="1" t="str">
        <f>INDEX(P:P,MATCH(zara[[#This Row],[price]],L:L,0))</f>
        <v>MAN</v>
      </c>
      <c r="AA103" s="1">
        <f>SUMIFS(L:L,O:O,zara[[#This Row],[terms]])</f>
        <v>511.39</v>
      </c>
    </row>
    <row r="104" spans="1:27" x14ac:dyDescent="0.3">
      <c r="A104">
        <v>127314</v>
      </c>
      <c r="B104" s="1" t="s">
        <v>31</v>
      </c>
      <c r="C104" s="1" t="s">
        <v>32</v>
      </c>
      <c r="D104" s="1" t="s">
        <v>18</v>
      </c>
      <c r="E104" s="1" t="s">
        <v>32</v>
      </c>
      <c r="F104">
        <v>2076</v>
      </c>
      <c r="G104" s="1" t="s">
        <v>19</v>
      </c>
      <c r="H104" s="1" t="s">
        <v>586</v>
      </c>
      <c r="I104" s="1" t="s">
        <v>587</v>
      </c>
      <c r="J104" s="1" t="s">
        <v>588</v>
      </c>
      <c r="K104" s="1" t="s">
        <v>589</v>
      </c>
      <c r="L104">
        <v>99.9</v>
      </c>
      <c r="M104" s="1" t="s">
        <v>24</v>
      </c>
      <c r="N104" s="2">
        <v>45341.375499374997</v>
      </c>
      <c r="O104" s="1" t="s">
        <v>517</v>
      </c>
      <c r="P104" s="1" t="s">
        <v>26</v>
      </c>
      <c r="Q104" s="1"/>
      <c r="R104" s="1"/>
      <c r="S104" s="1" t="str">
        <f>IF(M104="USD","DOLLAR",M104)</f>
        <v>DOLLAR</v>
      </c>
      <c r="T104" s="1" t="str">
        <f>IF(zara[[#This Row],[terms]]="jackets","jacket",IF(O104="shoes","shoe",O104))</f>
        <v>shoe</v>
      </c>
      <c r="U104" s="1">
        <f>SUMIF(O:O,zara[[#This Row],[terms]],L:L)</f>
        <v>2011.0800000000013</v>
      </c>
      <c r="V104" s="1">
        <f>SUMIFS(L:L,O:O,O104)</f>
        <v>2011.0800000000013</v>
      </c>
      <c r="W104" s="1" t="str">
        <f>VLOOKUP(zara[[#This Row],[price]],L:P,5,FALSE)</f>
        <v>MAN</v>
      </c>
      <c r="X104" s="1" t="str">
        <f>INDEX(O:O,MATCH(zara[[#This Row],[price]],L:L,0))</f>
        <v>jackets</v>
      </c>
      <c r="Y104" s="1" t="str">
        <f>INDEX(P:P,MATCH(zara[[#This Row],[price]],L:L,0))</f>
        <v>MAN</v>
      </c>
      <c r="Z104" s="1" t="str">
        <f>INDEX(P:P,MATCH(zara[[#This Row],[price]],L:L,0))</f>
        <v>MAN</v>
      </c>
      <c r="AA104" s="1">
        <f>SUMIFS(L:L,O:O,zara[[#This Row],[terms]])</f>
        <v>2011.0800000000013</v>
      </c>
    </row>
    <row r="105" spans="1:27" hidden="1" x14ac:dyDescent="0.3">
      <c r="A105">
        <v>123150</v>
      </c>
      <c r="B105" s="1" t="s">
        <v>31</v>
      </c>
      <c r="C105" s="1" t="s">
        <v>32</v>
      </c>
      <c r="D105" s="1" t="s">
        <v>18</v>
      </c>
      <c r="E105" s="1" t="s">
        <v>17</v>
      </c>
      <c r="F105">
        <v>2074</v>
      </c>
      <c r="G105" s="1" t="s">
        <v>19</v>
      </c>
      <c r="H105" s="1" t="s">
        <v>152</v>
      </c>
      <c r="I105" s="1" t="s">
        <v>153</v>
      </c>
      <c r="J105" s="1" t="s">
        <v>154</v>
      </c>
      <c r="K105" s="1" t="s">
        <v>155</v>
      </c>
      <c r="L105">
        <v>129</v>
      </c>
      <c r="M105" s="1" t="s">
        <v>24</v>
      </c>
      <c r="N105" s="2">
        <v>45341.36833902778</v>
      </c>
      <c r="O105" s="1" t="s">
        <v>25</v>
      </c>
      <c r="P105" s="1" t="s">
        <v>26</v>
      </c>
      <c r="Q105" s="1"/>
      <c r="R105" s="1"/>
      <c r="S105" s="1" t="str">
        <f>IF(M105="USD","DOLLAR",M105)</f>
        <v>DOLLAR</v>
      </c>
      <c r="T105" s="1" t="str">
        <f>IF(zara[[#This Row],[terms]]="jackets","jacket",IF(O105="shoes","shoe",O105))</f>
        <v>jacket</v>
      </c>
      <c r="U105" s="1">
        <f>SUMIF(O:O,zara[[#This Row],[terms]],L:L)</f>
        <v>14806.109999999982</v>
      </c>
      <c r="V105" s="1">
        <f>SUMIFS(L:L,O:O,O105)</f>
        <v>14806.109999999982</v>
      </c>
      <c r="W105" s="1" t="str">
        <f>VLOOKUP(zara[[#This Row],[price]],L:P,5,FALSE)</f>
        <v>MAN</v>
      </c>
      <c r="X105" s="1" t="str">
        <f>INDEX(O:O,MATCH(zara[[#This Row],[price]],L:L,0))</f>
        <v>jackets</v>
      </c>
      <c r="Y105" s="1" t="str">
        <f>INDEX(P:P,MATCH(zara[[#This Row],[price]],L:L,0))</f>
        <v>MAN</v>
      </c>
      <c r="Z105" s="1" t="str">
        <f>INDEX(P:P,MATCH(zara[[#This Row],[price]],L:L,0))</f>
        <v>MAN</v>
      </c>
      <c r="AA105" s="1">
        <f>SUMIFS(L:L,O:O,zara[[#This Row],[terms]])</f>
        <v>14806.109999999982</v>
      </c>
    </row>
    <row r="106" spans="1:27" hidden="1" x14ac:dyDescent="0.3">
      <c r="A106">
        <v>133757</v>
      </c>
      <c r="B106" s="1" t="s">
        <v>16</v>
      </c>
      <c r="C106" s="1" t="s">
        <v>32</v>
      </c>
      <c r="D106" s="1" t="s">
        <v>18</v>
      </c>
      <c r="E106" s="1" t="s">
        <v>17</v>
      </c>
      <c r="F106">
        <v>2071</v>
      </c>
      <c r="G106" s="1" t="s">
        <v>19</v>
      </c>
      <c r="H106" s="1" t="s">
        <v>188</v>
      </c>
      <c r="I106" s="1" t="s">
        <v>189</v>
      </c>
      <c r="J106" s="1" t="s">
        <v>190</v>
      </c>
      <c r="K106" s="1" t="s">
        <v>191</v>
      </c>
      <c r="L106">
        <v>129</v>
      </c>
      <c r="M106" s="1" t="s">
        <v>24</v>
      </c>
      <c r="N106" s="2">
        <v>45341.368432071758</v>
      </c>
      <c r="O106" s="1" t="s">
        <v>25</v>
      </c>
      <c r="P106" s="1" t="s">
        <v>26</v>
      </c>
      <c r="Q106" s="1"/>
      <c r="R106" s="1"/>
      <c r="S106" s="1" t="str">
        <f>IF(M106="USD","DOLLAR",M106)</f>
        <v>DOLLAR</v>
      </c>
      <c r="T106" s="1" t="str">
        <f>IF(zara[[#This Row],[terms]]="jackets","jacket",IF(O106="shoes","shoe",O106))</f>
        <v>jacket</v>
      </c>
      <c r="U106" s="1">
        <f>SUMIF(O:O,zara[[#This Row],[terms]],L:L)</f>
        <v>14806.109999999982</v>
      </c>
      <c r="V106" s="1">
        <f>SUMIFS(L:L,O:O,O106)</f>
        <v>14806.109999999982</v>
      </c>
      <c r="W106" s="1" t="str">
        <f>VLOOKUP(zara[[#This Row],[price]],L:P,5,FALSE)</f>
        <v>MAN</v>
      </c>
      <c r="X106" s="1" t="str">
        <f>INDEX(O:O,MATCH(zara[[#This Row],[price]],L:L,0))</f>
        <v>jackets</v>
      </c>
      <c r="Y106" s="1" t="str">
        <f>INDEX(P:P,MATCH(zara[[#This Row],[price]],L:L,0))</f>
        <v>MAN</v>
      </c>
      <c r="Z106" s="1" t="str">
        <f>INDEX(P:P,MATCH(zara[[#This Row],[price]],L:L,0))</f>
        <v>MAN</v>
      </c>
      <c r="AA106" s="1">
        <f>SUMIFS(L:L,O:O,zara[[#This Row],[terms]])</f>
        <v>14806.109999999982</v>
      </c>
    </row>
    <row r="107" spans="1:27" hidden="1" x14ac:dyDescent="0.3">
      <c r="A107">
        <v>150424</v>
      </c>
      <c r="B107" s="1" t="s">
        <v>49</v>
      </c>
      <c r="C107" s="1" t="s">
        <v>17</v>
      </c>
      <c r="D107" s="1" t="s">
        <v>18</v>
      </c>
      <c r="E107" s="1" t="s">
        <v>32</v>
      </c>
      <c r="F107">
        <v>2067</v>
      </c>
      <c r="G107" s="1" t="s">
        <v>19</v>
      </c>
      <c r="H107" s="1" t="s">
        <v>490</v>
      </c>
      <c r="I107" s="1" t="s">
        <v>491</v>
      </c>
      <c r="J107" s="1" t="s">
        <v>492</v>
      </c>
      <c r="K107" s="1" t="s">
        <v>493</v>
      </c>
      <c r="L107">
        <v>79.900000000000006</v>
      </c>
      <c r="M107" s="1" t="s">
        <v>24</v>
      </c>
      <c r="N107" s="2">
        <v>45341.369220324072</v>
      </c>
      <c r="O107" s="1" t="s">
        <v>25</v>
      </c>
      <c r="P107" s="1" t="s">
        <v>26</v>
      </c>
      <c r="Q107" s="1"/>
      <c r="R107" s="1"/>
      <c r="S107" s="1" t="str">
        <f>IF(M107="USD","DOLLAR",M107)</f>
        <v>DOLLAR</v>
      </c>
      <c r="T107" s="1" t="str">
        <f>IF(zara[[#This Row],[terms]]="jackets","jacket",IF(O107="shoes","shoe",O107))</f>
        <v>jacket</v>
      </c>
      <c r="U107" s="1">
        <f>SUMIF(O:O,zara[[#This Row],[terms]],L:L)</f>
        <v>14806.109999999982</v>
      </c>
      <c r="V107" s="1">
        <f>SUMIFS(L:L,O:O,O107)</f>
        <v>14806.109999999982</v>
      </c>
      <c r="W107" s="1" t="str">
        <f>VLOOKUP(zara[[#This Row],[price]],L:P,5,FALSE)</f>
        <v>MAN</v>
      </c>
      <c r="X107" s="1" t="str">
        <f>INDEX(O:O,MATCH(zara[[#This Row],[price]],L:L,0))</f>
        <v>jackets</v>
      </c>
      <c r="Y107" s="1" t="str">
        <f>INDEX(P:P,MATCH(zara[[#This Row],[price]],L:L,0))</f>
        <v>MAN</v>
      </c>
      <c r="Z107" s="1" t="str">
        <f>INDEX(P:P,MATCH(zara[[#This Row],[price]],L:L,0))</f>
        <v>MAN</v>
      </c>
      <c r="AA107" s="1">
        <f>SUMIFS(L:L,O:O,zara[[#This Row],[terms]])</f>
        <v>14806.109999999982</v>
      </c>
    </row>
    <row r="108" spans="1:27" hidden="1" x14ac:dyDescent="0.3">
      <c r="A108">
        <v>124088</v>
      </c>
      <c r="B108" s="1" t="s">
        <v>31</v>
      </c>
      <c r="C108" s="1" t="s">
        <v>32</v>
      </c>
      <c r="D108" s="1" t="s">
        <v>18</v>
      </c>
      <c r="E108" s="1" t="s">
        <v>32</v>
      </c>
      <c r="F108">
        <v>2065</v>
      </c>
      <c r="G108" s="1" t="s">
        <v>19</v>
      </c>
      <c r="H108" s="1" t="s">
        <v>248</v>
      </c>
      <c r="I108" s="1" t="s">
        <v>249</v>
      </c>
      <c r="J108" s="1" t="s">
        <v>250</v>
      </c>
      <c r="K108" s="1" t="s">
        <v>251</v>
      </c>
      <c r="L108">
        <v>79.900000000000006</v>
      </c>
      <c r="M108" s="1" t="s">
        <v>24</v>
      </c>
      <c r="N108" s="2">
        <v>45341.368548946761</v>
      </c>
      <c r="O108" s="1" t="s">
        <v>25</v>
      </c>
      <c r="P108" s="1" t="s">
        <v>26</v>
      </c>
      <c r="Q108" s="1"/>
      <c r="R108" s="1"/>
      <c r="S108" s="1" t="str">
        <f>IF(M108="USD","DOLLAR",M108)</f>
        <v>DOLLAR</v>
      </c>
      <c r="T108" s="1" t="str">
        <f>IF(zara[[#This Row],[terms]]="jackets","jacket",IF(O108="shoes","shoe",O108))</f>
        <v>jacket</v>
      </c>
      <c r="U108" s="1">
        <f>SUMIF(O:O,zara[[#This Row],[terms]],L:L)</f>
        <v>14806.109999999982</v>
      </c>
      <c r="V108" s="1">
        <f>SUMIFS(L:L,O:O,O108)</f>
        <v>14806.109999999982</v>
      </c>
      <c r="W108" s="1" t="str">
        <f>VLOOKUP(zara[[#This Row],[price]],L:P,5,FALSE)</f>
        <v>MAN</v>
      </c>
      <c r="X108" s="1" t="str">
        <f>INDEX(O:O,MATCH(zara[[#This Row],[price]],L:L,0))</f>
        <v>jackets</v>
      </c>
      <c r="Y108" s="1" t="str">
        <f>INDEX(P:P,MATCH(zara[[#This Row],[price]],L:L,0))</f>
        <v>MAN</v>
      </c>
      <c r="Z108" s="1" t="str">
        <f>INDEX(P:P,MATCH(zara[[#This Row],[price]],L:L,0))</f>
        <v>MAN</v>
      </c>
      <c r="AA108" s="1">
        <f>SUMIFS(L:L,O:O,zara[[#This Row],[terms]])</f>
        <v>14806.109999999982</v>
      </c>
    </row>
    <row r="109" spans="1:27" hidden="1" x14ac:dyDescent="0.3">
      <c r="A109">
        <v>133109</v>
      </c>
      <c r="B109" s="1" t="s">
        <v>49</v>
      </c>
      <c r="C109" s="1" t="s">
        <v>17</v>
      </c>
      <c r="D109" s="1" t="s">
        <v>18</v>
      </c>
      <c r="E109" s="1" t="s">
        <v>32</v>
      </c>
      <c r="F109">
        <v>2063</v>
      </c>
      <c r="G109" s="1" t="s">
        <v>19</v>
      </c>
      <c r="H109" s="1" t="s">
        <v>180</v>
      </c>
      <c r="I109" s="1" t="s">
        <v>181</v>
      </c>
      <c r="J109" s="1" t="s">
        <v>182</v>
      </c>
      <c r="K109" s="1" t="s">
        <v>183</v>
      </c>
      <c r="L109">
        <v>79.900000000000006</v>
      </c>
      <c r="M109" s="1" t="s">
        <v>24</v>
      </c>
      <c r="N109" s="2">
        <v>45341.368419386577</v>
      </c>
      <c r="O109" s="1" t="s">
        <v>25</v>
      </c>
      <c r="P109" s="1" t="s">
        <v>26</v>
      </c>
      <c r="Q109" s="1"/>
      <c r="R109" s="1"/>
      <c r="S109" s="1" t="str">
        <f>IF(M109="USD","DOLLAR",M109)</f>
        <v>DOLLAR</v>
      </c>
      <c r="T109" s="1" t="str">
        <f>IF(zara[[#This Row],[terms]]="jackets","jacket",IF(O109="shoes","shoe",O109))</f>
        <v>jacket</v>
      </c>
      <c r="U109" s="1">
        <f>SUMIF(O:O,zara[[#This Row],[terms]],L:L)</f>
        <v>14806.109999999982</v>
      </c>
      <c r="V109" s="1">
        <f>SUMIFS(L:L,O:O,O109)</f>
        <v>14806.109999999982</v>
      </c>
      <c r="W109" s="1" t="str">
        <f>VLOOKUP(zara[[#This Row],[price]],L:P,5,FALSE)</f>
        <v>MAN</v>
      </c>
      <c r="X109" s="1" t="str">
        <f>INDEX(O:O,MATCH(zara[[#This Row],[price]],L:L,0))</f>
        <v>jackets</v>
      </c>
      <c r="Y109" s="1" t="str">
        <f>INDEX(P:P,MATCH(zara[[#This Row],[price]],L:L,0))</f>
        <v>MAN</v>
      </c>
      <c r="Z109" s="1" t="str">
        <f>INDEX(P:P,MATCH(zara[[#This Row],[price]],L:L,0))</f>
        <v>MAN</v>
      </c>
      <c r="AA109" s="1">
        <f>SUMIFS(L:L,O:O,zara[[#This Row],[terms]])</f>
        <v>14806.109999999982</v>
      </c>
    </row>
    <row r="110" spans="1:27" hidden="1" x14ac:dyDescent="0.3">
      <c r="A110">
        <v>128179</v>
      </c>
      <c r="B110" s="1" t="s">
        <v>31</v>
      </c>
      <c r="C110" s="1" t="s">
        <v>32</v>
      </c>
      <c r="D110" s="1" t="s">
        <v>18</v>
      </c>
      <c r="E110" s="1" t="s">
        <v>17</v>
      </c>
      <c r="F110">
        <v>2060</v>
      </c>
      <c r="G110" s="1" t="s">
        <v>19</v>
      </c>
      <c r="H110" s="1" t="s">
        <v>352</v>
      </c>
      <c r="I110" s="1" t="s">
        <v>353</v>
      </c>
      <c r="J110" s="1" t="s">
        <v>354</v>
      </c>
      <c r="K110" s="1" t="s">
        <v>355</v>
      </c>
      <c r="L110">
        <v>89.9</v>
      </c>
      <c r="M110" s="1" t="s">
        <v>24</v>
      </c>
      <c r="N110" s="2">
        <v>45341.368789074077</v>
      </c>
      <c r="O110" s="1" t="s">
        <v>25</v>
      </c>
      <c r="P110" s="1" t="s">
        <v>26</v>
      </c>
      <c r="Q110" s="1"/>
      <c r="R110" s="1"/>
      <c r="S110" s="1" t="str">
        <f>IF(M110="USD","DOLLAR",M110)</f>
        <v>DOLLAR</v>
      </c>
      <c r="T110" s="1" t="str">
        <f>IF(zara[[#This Row],[terms]]="jackets","jacket",IF(O110="shoes","shoe",O110))</f>
        <v>jacket</v>
      </c>
      <c r="U110" s="1">
        <f>SUMIF(O:O,zara[[#This Row],[terms]],L:L)</f>
        <v>14806.109999999982</v>
      </c>
      <c r="V110" s="1">
        <f>SUMIFS(L:L,O:O,O110)</f>
        <v>14806.109999999982</v>
      </c>
      <c r="W110" s="1" t="str">
        <f>VLOOKUP(zara[[#This Row],[price]],L:P,5,FALSE)</f>
        <v>MAN</v>
      </c>
      <c r="X110" s="1" t="str">
        <f>INDEX(O:O,MATCH(zara[[#This Row],[price]],L:L,0))</f>
        <v>jackets</v>
      </c>
      <c r="Y110" s="1" t="str">
        <f>INDEX(P:P,MATCH(zara[[#This Row],[price]],L:L,0))</f>
        <v>MAN</v>
      </c>
      <c r="Z110" s="1" t="str">
        <f>INDEX(P:P,MATCH(zara[[#This Row],[price]],L:L,0))</f>
        <v>MAN</v>
      </c>
      <c r="AA110" s="1">
        <f>SUMIFS(L:L,O:O,zara[[#This Row],[terms]])</f>
        <v>14806.109999999982</v>
      </c>
    </row>
    <row r="111" spans="1:27" hidden="1" x14ac:dyDescent="0.3">
      <c r="A111">
        <v>134763</v>
      </c>
      <c r="B111" s="1" t="s">
        <v>49</v>
      </c>
      <c r="C111" s="1" t="s">
        <v>17</v>
      </c>
      <c r="D111" s="1" t="s">
        <v>18</v>
      </c>
      <c r="E111" s="1" t="s">
        <v>32</v>
      </c>
      <c r="F111">
        <v>2048</v>
      </c>
      <c r="G111" s="1" t="s">
        <v>19</v>
      </c>
      <c r="H111" s="1" t="s">
        <v>321</v>
      </c>
      <c r="I111" s="1" t="s">
        <v>322</v>
      </c>
      <c r="J111" s="1" t="s">
        <v>323</v>
      </c>
      <c r="K111" s="1" t="s">
        <v>324</v>
      </c>
      <c r="L111">
        <v>89.9</v>
      </c>
      <c r="M111" s="1" t="s">
        <v>24</v>
      </c>
      <c r="N111" s="2">
        <v>45341.368722060186</v>
      </c>
      <c r="O111" s="1" t="s">
        <v>25</v>
      </c>
      <c r="P111" s="1" t="s">
        <v>26</v>
      </c>
      <c r="Q111" s="1"/>
      <c r="R111" s="1"/>
      <c r="S111" s="1" t="str">
        <f>IF(M111="USD","DOLLAR",M111)</f>
        <v>DOLLAR</v>
      </c>
      <c r="T111" s="1" t="str">
        <f>IF(zara[[#This Row],[terms]]="jackets","jacket",IF(O111="shoes","shoe",O111))</f>
        <v>jacket</v>
      </c>
      <c r="U111" s="1">
        <f>SUMIF(O:O,zara[[#This Row],[terms]],L:L)</f>
        <v>14806.109999999982</v>
      </c>
      <c r="V111" s="1">
        <f>SUMIFS(L:L,O:O,O111)</f>
        <v>14806.109999999982</v>
      </c>
      <c r="W111" s="1" t="str">
        <f>VLOOKUP(zara[[#This Row],[price]],L:P,5,FALSE)</f>
        <v>MAN</v>
      </c>
      <c r="X111" s="1" t="str">
        <f>INDEX(O:O,MATCH(zara[[#This Row],[price]],L:L,0))</f>
        <v>jackets</v>
      </c>
      <c r="Y111" s="1" t="str">
        <f>INDEX(P:P,MATCH(zara[[#This Row],[price]],L:L,0))</f>
        <v>MAN</v>
      </c>
      <c r="Z111" s="1" t="str">
        <f>INDEX(P:P,MATCH(zara[[#This Row],[price]],L:L,0))</f>
        <v>MAN</v>
      </c>
      <c r="AA111" s="1">
        <f>SUMIFS(L:L,O:O,zara[[#This Row],[terms]])</f>
        <v>14806.109999999982</v>
      </c>
    </row>
    <row r="112" spans="1:27" hidden="1" x14ac:dyDescent="0.3">
      <c r="A112">
        <v>135857</v>
      </c>
      <c r="B112" s="1" t="s">
        <v>16</v>
      </c>
      <c r="C112" s="1" t="s">
        <v>17</v>
      </c>
      <c r="D112" s="1" t="s">
        <v>18</v>
      </c>
      <c r="E112" s="1" t="s">
        <v>32</v>
      </c>
      <c r="F112">
        <v>2045</v>
      </c>
      <c r="G112" s="1" t="s">
        <v>19</v>
      </c>
      <c r="H112" s="1" t="s">
        <v>888</v>
      </c>
      <c r="I112" s="1" t="s">
        <v>889</v>
      </c>
      <c r="J112" s="1" t="s">
        <v>890</v>
      </c>
      <c r="K112" s="1" t="s">
        <v>891</v>
      </c>
      <c r="L112">
        <v>45.9</v>
      </c>
      <c r="M112" s="1" t="s">
        <v>24</v>
      </c>
      <c r="N112" s="2">
        <v>45341.37261885417</v>
      </c>
      <c r="O112" s="1" t="s">
        <v>836</v>
      </c>
      <c r="P112" s="1" t="s">
        <v>26</v>
      </c>
      <c r="Q112" s="1"/>
      <c r="R112" s="1"/>
      <c r="S112" s="1" t="str">
        <f>IF(M112="USD","DOLLAR",M112)</f>
        <v>DOLLAR</v>
      </c>
      <c r="T112" s="1" t="str">
        <f>IF(zara[[#This Row],[terms]]="jackets","jacket",IF(O112="shoes","shoe",O112))</f>
        <v>t-shirts</v>
      </c>
      <c r="U112" s="1">
        <f>SUMIF(O:O,zara[[#This Row],[terms]],L:L)</f>
        <v>2157.6900000000005</v>
      </c>
      <c r="V112" s="1">
        <f>SUMIFS(L:L,O:O,O112)</f>
        <v>2157.6900000000005</v>
      </c>
      <c r="W112" s="1" t="str">
        <f>VLOOKUP(zara[[#This Row],[price]],L:P,5,FALSE)</f>
        <v>MAN</v>
      </c>
      <c r="X112" s="1" t="str">
        <f>INDEX(O:O,MATCH(zara[[#This Row],[price]],L:L,0))</f>
        <v>shoes</v>
      </c>
      <c r="Y112" s="1" t="str">
        <f>INDEX(P:P,MATCH(zara[[#This Row],[price]],L:L,0))</f>
        <v>MAN</v>
      </c>
      <c r="Z112" s="1" t="str">
        <f>INDEX(P:P,MATCH(zara[[#This Row],[price]],L:L,0))</f>
        <v>MAN</v>
      </c>
      <c r="AA112" s="1">
        <f>SUMIFS(L:L,O:O,zara[[#This Row],[terms]])</f>
        <v>2157.6900000000005</v>
      </c>
    </row>
    <row r="113" spans="1:27" hidden="1" x14ac:dyDescent="0.3">
      <c r="A113">
        <v>125409</v>
      </c>
      <c r="B113" s="1" t="s">
        <v>31</v>
      </c>
      <c r="C113" s="1" t="s">
        <v>32</v>
      </c>
      <c r="D113" s="1" t="s">
        <v>18</v>
      </c>
      <c r="E113" s="1" t="s">
        <v>17</v>
      </c>
      <c r="F113">
        <v>2040</v>
      </c>
      <c r="G113" s="1" t="s">
        <v>19</v>
      </c>
      <c r="H113" s="1" t="s">
        <v>328</v>
      </c>
      <c r="I113" s="1" t="s">
        <v>329</v>
      </c>
      <c r="J113" s="1" t="s">
        <v>330</v>
      </c>
      <c r="K113" s="1" t="s">
        <v>331</v>
      </c>
      <c r="L113">
        <v>89.9</v>
      </c>
      <c r="M113" s="1" t="s">
        <v>24</v>
      </c>
      <c r="N113" s="2">
        <v>45341.368733530093</v>
      </c>
      <c r="O113" s="1" t="s">
        <v>25</v>
      </c>
      <c r="P113" s="1" t="s">
        <v>26</v>
      </c>
      <c r="Q113" s="1"/>
      <c r="R113" s="1"/>
      <c r="S113" s="1" t="str">
        <f>IF(M113="USD","DOLLAR",M113)</f>
        <v>DOLLAR</v>
      </c>
      <c r="T113" s="1" t="str">
        <f>IF(zara[[#This Row],[terms]]="jackets","jacket",IF(O113="shoes","shoe",O113))</f>
        <v>jacket</v>
      </c>
      <c r="U113" s="1">
        <f>SUMIF(O:O,zara[[#This Row],[terms]],L:L)</f>
        <v>14806.109999999982</v>
      </c>
      <c r="V113" s="1">
        <f>SUMIFS(L:L,O:O,O113)</f>
        <v>14806.109999999982</v>
      </c>
      <c r="W113" s="1" t="str">
        <f>VLOOKUP(zara[[#This Row],[price]],L:P,5,FALSE)</f>
        <v>MAN</v>
      </c>
      <c r="X113" s="1" t="str">
        <f>INDEX(O:O,MATCH(zara[[#This Row],[price]],L:L,0))</f>
        <v>jackets</v>
      </c>
      <c r="Y113" s="1" t="str">
        <f>INDEX(P:P,MATCH(zara[[#This Row],[price]],L:L,0))</f>
        <v>MAN</v>
      </c>
      <c r="Z113" s="1" t="str">
        <f>INDEX(P:P,MATCH(zara[[#This Row],[price]],L:L,0))</f>
        <v>MAN</v>
      </c>
      <c r="AA113" s="1">
        <f>SUMIFS(L:L,O:O,zara[[#This Row],[terms]])</f>
        <v>14806.109999999982</v>
      </c>
    </row>
    <row r="114" spans="1:27" hidden="1" x14ac:dyDescent="0.3">
      <c r="A114">
        <v>171061</v>
      </c>
      <c r="B114" s="1" t="s">
        <v>16</v>
      </c>
      <c r="C114" s="1" t="s">
        <v>17</v>
      </c>
      <c r="D114" s="1" t="s">
        <v>18</v>
      </c>
      <c r="E114" s="1" t="s">
        <v>32</v>
      </c>
      <c r="F114">
        <v>2032</v>
      </c>
      <c r="G114" s="1" t="s">
        <v>19</v>
      </c>
      <c r="H114" s="1" t="s">
        <v>447</v>
      </c>
      <c r="I114" s="1" t="s">
        <v>448</v>
      </c>
      <c r="J114" s="1" t="s">
        <v>438</v>
      </c>
      <c r="K114" s="1" t="s">
        <v>449</v>
      </c>
      <c r="L114">
        <v>59.9</v>
      </c>
      <c r="M114" s="1" t="s">
        <v>24</v>
      </c>
      <c r="N114" s="2">
        <v>45341.369148645834</v>
      </c>
      <c r="O114" s="1" t="s">
        <v>25</v>
      </c>
      <c r="P114" s="1" t="s">
        <v>26</v>
      </c>
      <c r="Q114" s="1"/>
      <c r="R114" s="1"/>
      <c r="S114" s="1" t="str">
        <f>IF(M114="USD","DOLLAR",M114)</f>
        <v>DOLLAR</v>
      </c>
      <c r="T114" s="1" t="str">
        <f>IF(zara[[#This Row],[terms]]="jackets","jacket",IF(O114="shoes","shoe",O114))</f>
        <v>jacket</v>
      </c>
      <c r="U114" s="1">
        <f>SUMIF(O:O,zara[[#This Row],[terms]],L:L)</f>
        <v>14806.109999999982</v>
      </c>
      <c r="V114" s="1">
        <f>SUMIFS(L:L,O:O,O114)</f>
        <v>14806.109999999982</v>
      </c>
      <c r="W114" s="1" t="str">
        <f>VLOOKUP(zara[[#This Row],[price]],L:P,5,FALSE)</f>
        <v>WOMAN</v>
      </c>
      <c r="X114" s="1" t="str">
        <f>INDEX(O:O,MATCH(zara[[#This Row],[price]],L:L,0))</f>
        <v>sweaters</v>
      </c>
      <c r="Y114" s="1" t="str">
        <f>INDEX(P:P,MATCH(zara[[#This Row],[price]],L:L,0))</f>
        <v>WOMAN</v>
      </c>
      <c r="Z114" s="1" t="str">
        <f>INDEX(P:P,MATCH(zara[[#This Row],[price]],L:L,0))</f>
        <v>WOMAN</v>
      </c>
      <c r="AA114" s="1">
        <f>SUMIFS(L:L,O:O,zara[[#This Row],[terms]])</f>
        <v>14806.109999999982</v>
      </c>
    </row>
    <row r="115" spans="1:27" hidden="1" x14ac:dyDescent="0.3">
      <c r="A115">
        <v>182362</v>
      </c>
      <c r="B115" s="1" t="s">
        <v>49</v>
      </c>
      <c r="C115" s="1" t="s">
        <v>17</v>
      </c>
      <c r="D115" s="1" t="s">
        <v>18</v>
      </c>
      <c r="E115" s="1" t="s">
        <v>17</v>
      </c>
      <c r="F115">
        <v>2019</v>
      </c>
      <c r="G115" s="1" t="s">
        <v>19</v>
      </c>
      <c r="H115" s="1" t="s">
        <v>292</v>
      </c>
      <c r="I115" s="1" t="s">
        <v>293</v>
      </c>
      <c r="J115" s="1" t="s">
        <v>294</v>
      </c>
      <c r="K115" s="1" t="s">
        <v>295</v>
      </c>
      <c r="L115">
        <v>69.900000000000006</v>
      </c>
      <c r="M115" s="1" t="s">
        <v>24</v>
      </c>
      <c r="N115" s="2">
        <v>45341.368654062499</v>
      </c>
      <c r="O115" s="1" t="s">
        <v>25</v>
      </c>
      <c r="P115" s="1" t="s">
        <v>26</v>
      </c>
      <c r="Q115" s="1"/>
      <c r="R115" s="1"/>
      <c r="S115" s="1" t="str">
        <f>IF(M115="USD","DOLLAR",M115)</f>
        <v>DOLLAR</v>
      </c>
      <c r="T115" s="1" t="str">
        <f>IF(zara[[#This Row],[terms]]="jackets","jacket",IF(O115="shoes","shoe",O115))</f>
        <v>jacket</v>
      </c>
      <c r="U115" s="1">
        <f>SUMIF(O:O,zara[[#This Row],[terms]],L:L)</f>
        <v>14806.109999999982</v>
      </c>
      <c r="V115" s="1">
        <f>SUMIFS(L:L,O:O,O115)</f>
        <v>14806.109999999982</v>
      </c>
      <c r="W115" s="1" t="str">
        <f>VLOOKUP(zara[[#This Row],[price]],L:P,5,FALSE)</f>
        <v>MAN</v>
      </c>
      <c r="X115" s="1" t="str">
        <f>INDEX(O:O,MATCH(zara[[#This Row],[price]],L:L,0))</f>
        <v>jeans</v>
      </c>
      <c r="Y115" s="1" t="str">
        <f>INDEX(P:P,MATCH(zara[[#This Row],[price]],L:L,0))</f>
        <v>MAN</v>
      </c>
      <c r="Z115" s="1" t="str">
        <f>INDEX(P:P,MATCH(zara[[#This Row],[price]],L:L,0))</f>
        <v>MAN</v>
      </c>
      <c r="AA115" s="1">
        <f>SUMIFS(L:L,O:O,zara[[#This Row],[terms]])</f>
        <v>14806.109999999982</v>
      </c>
    </row>
    <row r="116" spans="1:27" x14ac:dyDescent="0.3">
      <c r="A116">
        <v>174041</v>
      </c>
      <c r="B116" s="1" t="s">
        <v>31</v>
      </c>
      <c r="C116" s="1" t="s">
        <v>17</v>
      </c>
      <c r="D116" s="1" t="s">
        <v>18</v>
      </c>
      <c r="E116" s="1" t="s">
        <v>17</v>
      </c>
      <c r="F116">
        <v>2016</v>
      </c>
      <c r="G116" s="1" t="s">
        <v>19</v>
      </c>
      <c r="H116" s="1" t="s">
        <v>542</v>
      </c>
      <c r="I116" s="1" t="s">
        <v>543</v>
      </c>
      <c r="J116" s="1" t="s">
        <v>544</v>
      </c>
      <c r="K116" s="1" t="s">
        <v>545</v>
      </c>
      <c r="L116">
        <v>49.9</v>
      </c>
      <c r="M116" s="1" t="s">
        <v>24</v>
      </c>
      <c r="N116" s="2">
        <v>45341.375386354164</v>
      </c>
      <c r="O116" s="1" t="s">
        <v>517</v>
      </c>
      <c r="P116" s="1" t="s">
        <v>26</v>
      </c>
      <c r="Q116" s="1"/>
      <c r="R116" s="1"/>
      <c r="S116" s="1" t="str">
        <f>IF(M116="USD","DOLLAR",M116)</f>
        <v>DOLLAR</v>
      </c>
      <c r="T116" s="1" t="str">
        <f>IF(zara[[#This Row],[terms]]="jackets","jacket",IF(O116="shoes","shoe",O116))</f>
        <v>shoe</v>
      </c>
      <c r="U116" s="1">
        <f>SUMIF(O:O,zara[[#This Row],[terms]],L:L)</f>
        <v>2011.0800000000013</v>
      </c>
      <c r="V116" s="1">
        <f>SUMIFS(L:L,O:O,O116)</f>
        <v>2011.0800000000013</v>
      </c>
      <c r="W116" s="1" t="str">
        <f>VLOOKUP(zara[[#This Row],[price]],L:P,5,FALSE)</f>
        <v>MAN</v>
      </c>
      <c r="X116" s="1" t="str">
        <f>INDEX(O:O,MATCH(zara[[#This Row],[price]],L:L,0))</f>
        <v>jackets</v>
      </c>
      <c r="Y116" s="1" t="str">
        <f>INDEX(P:P,MATCH(zara[[#This Row],[price]],L:L,0))</f>
        <v>MAN</v>
      </c>
      <c r="Z116" s="1" t="str">
        <f>INDEX(P:P,MATCH(zara[[#This Row],[price]],L:L,0))</f>
        <v>MAN</v>
      </c>
      <c r="AA116" s="1">
        <f>SUMIFS(L:L,O:O,zara[[#This Row],[terms]])</f>
        <v>2011.0800000000013</v>
      </c>
    </row>
    <row r="117" spans="1:27" hidden="1" x14ac:dyDescent="0.3">
      <c r="A117">
        <v>182099</v>
      </c>
      <c r="B117" s="1" t="s">
        <v>16</v>
      </c>
      <c r="C117" s="1" t="s">
        <v>32</v>
      </c>
      <c r="D117" s="1" t="s">
        <v>18</v>
      </c>
      <c r="E117" s="1" t="s">
        <v>17</v>
      </c>
      <c r="F117">
        <v>1978</v>
      </c>
      <c r="G117" s="1" t="s">
        <v>19</v>
      </c>
      <c r="H117" s="1" t="s">
        <v>861</v>
      </c>
      <c r="I117" s="1" t="s">
        <v>862</v>
      </c>
      <c r="J117" s="1" t="s">
        <v>863</v>
      </c>
      <c r="K117" s="1" t="s">
        <v>864</v>
      </c>
      <c r="L117">
        <v>39.9</v>
      </c>
      <c r="M117" s="1" t="s">
        <v>24</v>
      </c>
      <c r="N117" s="2">
        <v>45341.372570046296</v>
      </c>
      <c r="O117" s="1" t="s">
        <v>836</v>
      </c>
      <c r="P117" s="1" t="s">
        <v>26</v>
      </c>
      <c r="Q117" s="1"/>
      <c r="R117" s="1"/>
      <c r="S117" s="1" t="str">
        <f>IF(M117="USD","DOLLAR",M117)</f>
        <v>DOLLAR</v>
      </c>
      <c r="T117" s="1" t="str">
        <f>IF(zara[[#This Row],[terms]]="jackets","jacket",IF(O117="shoes","shoe",O117))</f>
        <v>t-shirts</v>
      </c>
      <c r="U117" s="1">
        <f>SUMIF(O:O,zara[[#This Row],[terms]],L:L)</f>
        <v>2157.6900000000005</v>
      </c>
      <c r="V117" s="1">
        <f>SUMIFS(L:L,O:O,O117)</f>
        <v>2157.6900000000005</v>
      </c>
      <c r="W117" s="1" t="str">
        <f>VLOOKUP(zara[[#This Row],[price]],L:P,5,FALSE)</f>
        <v>MAN</v>
      </c>
      <c r="X117" s="1" t="str">
        <f>INDEX(O:O,MATCH(zara[[#This Row],[price]],L:L,0))</f>
        <v>jackets</v>
      </c>
      <c r="Y117" s="1" t="str">
        <f>INDEX(P:P,MATCH(zara[[#This Row],[price]],L:L,0))</f>
        <v>MAN</v>
      </c>
      <c r="Z117" s="1" t="str">
        <f>INDEX(P:P,MATCH(zara[[#This Row],[price]],L:L,0))</f>
        <v>MAN</v>
      </c>
      <c r="AA117" s="1">
        <f>SUMIFS(L:L,O:O,zara[[#This Row],[terms]])</f>
        <v>2157.6900000000005</v>
      </c>
    </row>
    <row r="118" spans="1:27" hidden="1" x14ac:dyDescent="0.3">
      <c r="A118">
        <v>159816</v>
      </c>
      <c r="B118" s="1" t="s">
        <v>49</v>
      </c>
      <c r="C118" s="1" t="s">
        <v>17</v>
      </c>
      <c r="D118" s="1" t="s">
        <v>18</v>
      </c>
      <c r="E118" s="1" t="s">
        <v>32</v>
      </c>
      <c r="F118">
        <v>1961</v>
      </c>
      <c r="G118" s="1" t="s">
        <v>19</v>
      </c>
      <c r="H118" s="1" t="s">
        <v>865</v>
      </c>
      <c r="I118" s="1" t="s">
        <v>866</v>
      </c>
      <c r="J118" s="1" t="s">
        <v>867</v>
      </c>
      <c r="K118" s="1" t="s">
        <v>868</v>
      </c>
      <c r="L118">
        <v>27.9</v>
      </c>
      <c r="M118" s="1" t="s">
        <v>24</v>
      </c>
      <c r="N118" s="2">
        <v>45341.372576319445</v>
      </c>
      <c r="O118" s="1" t="s">
        <v>836</v>
      </c>
      <c r="P118" s="1" t="s">
        <v>26</v>
      </c>
      <c r="Q118" s="1"/>
      <c r="R118" s="1"/>
      <c r="S118" s="1" t="str">
        <f>IF(M118="USD","DOLLAR",M118)</f>
        <v>DOLLAR</v>
      </c>
      <c r="T118" s="1" t="str">
        <f>IF(zara[[#This Row],[terms]]="jackets","jacket",IF(O118="shoes","shoe",O118))</f>
        <v>t-shirts</v>
      </c>
      <c r="U118" s="1">
        <f>SUMIF(O:O,zara[[#This Row],[terms]],L:L)</f>
        <v>2157.6900000000005</v>
      </c>
      <c r="V118" s="1">
        <f>SUMIFS(L:L,O:O,O118)</f>
        <v>2157.6900000000005</v>
      </c>
      <c r="W118" s="1" t="str">
        <f>VLOOKUP(zara[[#This Row],[price]],L:P,5,FALSE)</f>
        <v>WOMAN</v>
      </c>
      <c r="X118" s="1" t="str">
        <f>INDEX(O:O,MATCH(zara[[#This Row],[price]],L:L,0))</f>
        <v>sweaters</v>
      </c>
      <c r="Y118" s="1" t="str">
        <f>INDEX(P:P,MATCH(zara[[#This Row],[price]],L:L,0))</f>
        <v>WOMAN</v>
      </c>
      <c r="Z118" s="1" t="str">
        <f>INDEX(P:P,MATCH(zara[[#This Row],[price]],L:L,0))</f>
        <v>WOMAN</v>
      </c>
      <c r="AA118" s="1">
        <f>SUMIFS(L:L,O:O,zara[[#This Row],[terms]])</f>
        <v>2157.6900000000005</v>
      </c>
    </row>
    <row r="119" spans="1:27" hidden="1" x14ac:dyDescent="0.3">
      <c r="A119">
        <v>155848</v>
      </c>
      <c r="B119" s="1" t="s">
        <v>31</v>
      </c>
      <c r="C119" s="1" t="s">
        <v>32</v>
      </c>
      <c r="D119" s="1" t="s">
        <v>18</v>
      </c>
      <c r="E119" s="1" t="s">
        <v>17</v>
      </c>
      <c r="F119">
        <v>1942</v>
      </c>
      <c r="G119" s="1" t="s">
        <v>19</v>
      </c>
      <c r="H119" s="1" t="s">
        <v>666</v>
      </c>
      <c r="I119" s="1" t="s">
        <v>667</v>
      </c>
      <c r="J119" s="1" t="s">
        <v>668</v>
      </c>
      <c r="K119" s="1" t="s">
        <v>669</v>
      </c>
      <c r="L119">
        <v>49.9</v>
      </c>
      <c r="M119" s="1" t="s">
        <v>24</v>
      </c>
      <c r="N119" s="2">
        <v>45341.382370821761</v>
      </c>
      <c r="O119" s="1" t="s">
        <v>636</v>
      </c>
      <c r="P119" s="1" t="s">
        <v>637</v>
      </c>
      <c r="Q119" s="1"/>
      <c r="R119" s="1"/>
      <c r="S119" s="1" t="str">
        <f>IF(M119="USD","DOLLAR",M119)</f>
        <v>DOLLAR</v>
      </c>
      <c r="T119" s="1" t="str">
        <f>IF(zara[[#This Row],[terms]]="jackets","jacket",IF(O119="shoes","shoe",O119))</f>
        <v>sweaters</v>
      </c>
      <c r="U119" s="1">
        <f>SUMIF(O:O,zara[[#This Row],[terms]],L:L)</f>
        <v>2249.3700000000013</v>
      </c>
      <c r="V119" s="1">
        <f>SUMIFS(L:L,O:O,O119)</f>
        <v>2249.3700000000013</v>
      </c>
      <c r="W119" s="1" t="str">
        <f>VLOOKUP(zara[[#This Row],[price]],L:P,5,FALSE)</f>
        <v>MAN</v>
      </c>
      <c r="X119" s="1" t="str">
        <f>INDEX(O:O,MATCH(zara[[#This Row],[price]],L:L,0))</f>
        <v>jackets</v>
      </c>
      <c r="Y119" s="1" t="str">
        <f>INDEX(P:P,MATCH(zara[[#This Row],[price]],L:L,0))</f>
        <v>MAN</v>
      </c>
      <c r="Z119" s="1" t="str">
        <f>INDEX(P:P,MATCH(zara[[#This Row],[price]],L:L,0))</f>
        <v>MAN</v>
      </c>
      <c r="AA119" s="1">
        <f>SUMIFS(L:L,O:O,zara[[#This Row],[terms]])</f>
        <v>2249.3700000000013</v>
      </c>
    </row>
    <row r="120" spans="1:27" hidden="1" x14ac:dyDescent="0.3">
      <c r="A120">
        <v>190238</v>
      </c>
      <c r="B120" s="1" t="s">
        <v>49</v>
      </c>
      <c r="C120" s="1" t="s">
        <v>17</v>
      </c>
      <c r="D120" s="1" t="s">
        <v>18</v>
      </c>
      <c r="E120" s="1" t="s">
        <v>32</v>
      </c>
      <c r="F120">
        <v>1917</v>
      </c>
      <c r="G120" s="1" t="s">
        <v>19</v>
      </c>
      <c r="H120" s="1" t="s">
        <v>252</v>
      </c>
      <c r="I120" s="1" t="s">
        <v>253</v>
      </c>
      <c r="J120" s="1" t="s">
        <v>254</v>
      </c>
      <c r="K120" s="1" t="s">
        <v>255</v>
      </c>
      <c r="L120">
        <v>89.9</v>
      </c>
      <c r="M120" s="1" t="s">
        <v>24</v>
      </c>
      <c r="N120" s="2">
        <v>45341.368554016204</v>
      </c>
      <c r="O120" s="1" t="s">
        <v>25</v>
      </c>
      <c r="P120" s="1" t="s">
        <v>26</v>
      </c>
      <c r="Q120" s="1"/>
      <c r="R120" s="1"/>
      <c r="S120" s="1" t="str">
        <f>IF(M120="USD","DOLLAR",M120)</f>
        <v>DOLLAR</v>
      </c>
      <c r="T120" s="1" t="str">
        <f>IF(zara[[#This Row],[terms]]="jackets","jacket",IF(O120="shoes","shoe",O120))</f>
        <v>jacket</v>
      </c>
      <c r="U120" s="1">
        <f>SUMIF(O:O,zara[[#This Row],[terms]],L:L)</f>
        <v>14806.109999999982</v>
      </c>
      <c r="V120" s="1">
        <f>SUMIFS(L:L,O:O,O120)</f>
        <v>14806.109999999982</v>
      </c>
      <c r="W120" s="1" t="str">
        <f>VLOOKUP(zara[[#This Row],[price]],L:P,5,FALSE)</f>
        <v>MAN</v>
      </c>
      <c r="X120" s="1" t="str">
        <f>INDEX(O:O,MATCH(zara[[#This Row],[price]],L:L,0))</f>
        <v>jackets</v>
      </c>
      <c r="Y120" s="1" t="str">
        <f>INDEX(P:P,MATCH(zara[[#This Row],[price]],L:L,0))</f>
        <v>MAN</v>
      </c>
      <c r="Z120" s="1" t="str">
        <f>INDEX(P:P,MATCH(zara[[#This Row],[price]],L:L,0))</f>
        <v>MAN</v>
      </c>
      <c r="AA120" s="1">
        <f>SUMIFS(L:L,O:O,zara[[#This Row],[terms]])</f>
        <v>14806.109999999982</v>
      </c>
    </row>
    <row r="121" spans="1:27" hidden="1" x14ac:dyDescent="0.3">
      <c r="A121">
        <v>141861</v>
      </c>
      <c r="B121" s="1" t="s">
        <v>16</v>
      </c>
      <c r="C121" s="1" t="s">
        <v>32</v>
      </c>
      <c r="D121" s="1" t="s">
        <v>18</v>
      </c>
      <c r="E121" s="1" t="s">
        <v>32</v>
      </c>
      <c r="F121">
        <v>1916</v>
      </c>
      <c r="G121" s="1" t="s">
        <v>19</v>
      </c>
      <c r="H121" s="1" t="s">
        <v>58</v>
      </c>
      <c r="I121" s="1" t="s">
        <v>59</v>
      </c>
      <c r="J121" s="1" t="s">
        <v>60</v>
      </c>
      <c r="K121" s="1" t="s">
        <v>61</v>
      </c>
      <c r="L121">
        <v>169</v>
      </c>
      <c r="M121" s="1" t="s">
        <v>24</v>
      </c>
      <c r="N121" s="2">
        <v>45341.368181481484</v>
      </c>
      <c r="O121" s="1" t="s">
        <v>25</v>
      </c>
      <c r="P121" s="1" t="s">
        <v>26</v>
      </c>
      <c r="Q121" s="1"/>
      <c r="R121" s="1"/>
      <c r="S121" s="1" t="str">
        <f>IF(M121="USD","DOLLAR",M121)</f>
        <v>DOLLAR</v>
      </c>
      <c r="T121" s="1" t="str">
        <f>IF(zara[[#This Row],[terms]]="jackets","jacket",IF(O121="shoes","shoe",O121))</f>
        <v>jacket</v>
      </c>
      <c r="U121" s="1">
        <f>SUMIF(O:O,zara[[#This Row],[terms]],L:L)</f>
        <v>14806.109999999982</v>
      </c>
      <c r="V121" s="1">
        <f>SUMIFS(L:L,O:O,O121)</f>
        <v>14806.109999999982</v>
      </c>
      <c r="W121" s="1" t="str">
        <f>VLOOKUP(zara[[#This Row],[price]],L:P,5,FALSE)</f>
        <v>MAN</v>
      </c>
      <c r="X121" s="1" t="str">
        <f>INDEX(O:O,MATCH(zara[[#This Row],[price]],L:L,0))</f>
        <v>jackets</v>
      </c>
      <c r="Y121" s="1" t="str">
        <f>INDEX(P:P,MATCH(zara[[#This Row],[price]],L:L,0))</f>
        <v>MAN</v>
      </c>
      <c r="Z121" s="1" t="str">
        <f>INDEX(P:P,MATCH(zara[[#This Row],[price]],L:L,0))</f>
        <v>MAN</v>
      </c>
      <c r="AA121" s="1">
        <f>SUMIFS(L:L,O:O,zara[[#This Row],[terms]])</f>
        <v>14806.109999999982</v>
      </c>
    </row>
    <row r="122" spans="1:27" hidden="1" x14ac:dyDescent="0.3">
      <c r="A122">
        <v>141330</v>
      </c>
      <c r="B122" s="1" t="s">
        <v>16</v>
      </c>
      <c r="C122" s="1" t="s">
        <v>17</v>
      </c>
      <c r="D122" s="1" t="s">
        <v>18</v>
      </c>
      <c r="E122" s="1" t="s">
        <v>32</v>
      </c>
      <c r="F122">
        <v>1915</v>
      </c>
      <c r="G122" s="1" t="s">
        <v>19</v>
      </c>
      <c r="H122" s="1" t="s">
        <v>877</v>
      </c>
      <c r="I122" s="1" t="s">
        <v>878</v>
      </c>
      <c r="J122" s="1" t="s">
        <v>879</v>
      </c>
      <c r="K122" s="1" t="s">
        <v>880</v>
      </c>
      <c r="L122">
        <v>39.9</v>
      </c>
      <c r="M122" s="1" t="s">
        <v>24</v>
      </c>
      <c r="N122" s="2">
        <v>45341.372599189817</v>
      </c>
      <c r="O122" s="1" t="s">
        <v>836</v>
      </c>
      <c r="P122" s="1" t="s">
        <v>26</v>
      </c>
      <c r="Q122" s="1"/>
      <c r="R122" s="1"/>
      <c r="S122" s="1" t="str">
        <f>IF(M122="USD","DOLLAR",M122)</f>
        <v>DOLLAR</v>
      </c>
      <c r="T122" s="1" t="str">
        <f>IF(zara[[#This Row],[terms]]="jackets","jacket",IF(O122="shoes","shoe",O122))</f>
        <v>t-shirts</v>
      </c>
      <c r="U122" s="1">
        <f>SUMIF(O:O,zara[[#This Row],[terms]],L:L)</f>
        <v>2157.6900000000005</v>
      </c>
      <c r="V122" s="1">
        <f>SUMIFS(L:L,O:O,O122)</f>
        <v>2157.6900000000005</v>
      </c>
      <c r="W122" s="1" t="str">
        <f>VLOOKUP(zara[[#This Row],[price]],L:P,5,FALSE)</f>
        <v>MAN</v>
      </c>
      <c r="X122" s="1" t="str">
        <f>INDEX(O:O,MATCH(zara[[#This Row],[price]],L:L,0))</f>
        <v>jackets</v>
      </c>
      <c r="Y122" s="1" t="str">
        <f>INDEX(P:P,MATCH(zara[[#This Row],[price]],L:L,0))</f>
        <v>MAN</v>
      </c>
      <c r="Z122" s="1" t="str">
        <f>INDEX(P:P,MATCH(zara[[#This Row],[price]],L:L,0))</f>
        <v>MAN</v>
      </c>
      <c r="AA122" s="1">
        <f>SUMIFS(L:L,O:O,zara[[#This Row],[terms]])</f>
        <v>2157.6900000000005</v>
      </c>
    </row>
    <row r="123" spans="1:27" x14ac:dyDescent="0.3">
      <c r="A123">
        <v>193686</v>
      </c>
      <c r="B123" s="1" t="s">
        <v>16</v>
      </c>
      <c r="C123" s="1" t="s">
        <v>32</v>
      </c>
      <c r="D123" s="1" t="s">
        <v>18</v>
      </c>
      <c r="E123" s="1" t="s">
        <v>17</v>
      </c>
      <c r="F123">
        <v>1899</v>
      </c>
      <c r="G123" s="1" t="s">
        <v>19</v>
      </c>
      <c r="H123" s="1" t="s">
        <v>562</v>
      </c>
      <c r="I123" s="1" t="s">
        <v>563</v>
      </c>
      <c r="J123" s="1" t="s">
        <v>564</v>
      </c>
      <c r="K123" s="1" t="s">
        <v>565</v>
      </c>
      <c r="L123">
        <v>99.9</v>
      </c>
      <c r="M123" s="1" t="s">
        <v>24</v>
      </c>
      <c r="N123" s="2">
        <v>45341.375435532405</v>
      </c>
      <c r="O123" s="1" t="s">
        <v>517</v>
      </c>
      <c r="P123" s="1" t="s">
        <v>26</v>
      </c>
      <c r="Q123" s="1"/>
      <c r="R123" s="1"/>
      <c r="S123" s="1" t="str">
        <f>IF(M123="USD","DOLLAR",M123)</f>
        <v>DOLLAR</v>
      </c>
      <c r="T123" s="1" t="str">
        <f>IF(zara[[#This Row],[terms]]="jackets","jacket",IF(O123="shoes","shoe",O123))</f>
        <v>shoe</v>
      </c>
      <c r="U123" s="1">
        <f>SUMIF(O:O,zara[[#This Row],[terms]],L:L)</f>
        <v>2011.0800000000013</v>
      </c>
      <c r="V123" s="1">
        <f>SUMIFS(L:L,O:O,O123)</f>
        <v>2011.0800000000013</v>
      </c>
      <c r="W123" s="1" t="str">
        <f>VLOOKUP(zara[[#This Row],[price]],L:P,5,FALSE)</f>
        <v>MAN</v>
      </c>
      <c r="X123" s="1" t="str">
        <f>INDEX(O:O,MATCH(zara[[#This Row],[price]],L:L,0))</f>
        <v>jackets</v>
      </c>
      <c r="Y123" s="1" t="str">
        <f>INDEX(P:P,MATCH(zara[[#This Row],[price]],L:L,0))</f>
        <v>MAN</v>
      </c>
      <c r="Z123" s="1" t="str">
        <f>INDEX(P:P,MATCH(zara[[#This Row],[price]],L:L,0))</f>
        <v>MAN</v>
      </c>
      <c r="AA123" s="1">
        <f>SUMIFS(L:L,O:O,zara[[#This Row],[terms]])</f>
        <v>2011.0800000000013</v>
      </c>
    </row>
    <row r="124" spans="1:27" hidden="1" x14ac:dyDescent="0.3">
      <c r="A124">
        <v>129898</v>
      </c>
      <c r="B124" s="1" t="s">
        <v>31</v>
      </c>
      <c r="C124" s="1" t="s">
        <v>17</v>
      </c>
      <c r="D124" s="1" t="s">
        <v>18</v>
      </c>
      <c r="E124" s="1" t="s">
        <v>17</v>
      </c>
      <c r="F124">
        <v>1866</v>
      </c>
      <c r="G124" s="1" t="s">
        <v>19</v>
      </c>
      <c r="H124" s="1" t="s">
        <v>845</v>
      </c>
      <c r="I124" s="1" t="s">
        <v>846</v>
      </c>
      <c r="J124" s="1" t="s">
        <v>847</v>
      </c>
      <c r="K124" s="1" t="s">
        <v>848</v>
      </c>
      <c r="L124">
        <v>39.9</v>
      </c>
      <c r="M124" s="1" t="s">
        <v>24</v>
      </c>
      <c r="N124" s="2">
        <v>45341.372545763887</v>
      </c>
      <c r="O124" s="1" t="s">
        <v>836</v>
      </c>
      <c r="P124" s="1" t="s">
        <v>26</v>
      </c>
      <c r="Q124" s="1"/>
      <c r="R124" s="1"/>
      <c r="S124" s="1" t="str">
        <f>IF(M124="USD","DOLLAR",M124)</f>
        <v>DOLLAR</v>
      </c>
      <c r="T124" s="1" t="str">
        <f>IF(zara[[#This Row],[terms]]="jackets","jacket",IF(O124="shoes","shoe",O124))</f>
        <v>t-shirts</v>
      </c>
      <c r="U124" s="1">
        <f>SUMIF(O:O,zara[[#This Row],[terms]],L:L)</f>
        <v>2157.6900000000005</v>
      </c>
      <c r="V124" s="1">
        <f>SUMIFS(L:L,O:O,O124)</f>
        <v>2157.6900000000005</v>
      </c>
      <c r="W124" s="1" t="str">
        <f>VLOOKUP(zara[[#This Row],[price]],L:P,5,FALSE)</f>
        <v>MAN</v>
      </c>
      <c r="X124" s="1" t="str">
        <f>INDEX(O:O,MATCH(zara[[#This Row],[price]],L:L,0))</f>
        <v>jackets</v>
      </c>
      <c r="Y124" s="1" t="str">
        <f>INDEX(P:P,MATCH(zara[[#This Row],[price]],L:L,0))</f>
        <v>MAN</v>
      </c>
      <c r="Z124" s="1" t="str">
        <f>INDEX(P:P,MATCH(zara[[#This Row],[price]],L:L,0))</f>
        <v>MAN</v>
      </c>
      <c r="AA124" s="1">
        <f>SUMIFS(L:L,O:O,zara[[#This Row],[terms]])</f>
        <v>2157.6900000000005</v>
      </c>
    </row>
    <row r="125" spans="1:27" hidden="1" x14ac:dyDescent="0.3">
      <c r="A125">
        <v>114877</v>
      </c>
      <c r="B125" s="1" t="s">
        <v>16</v>
      </c>
      <c r="C125" s="1" t="s">
        <v>17</v>
      </c>
      <c r="D125" s="1" t="s">
        <v>18</v>
      </c>
      <c r="E125" s="1" t="s">
        <v>17</v>
      </c>
      <c r="F125">
        <v>1860</v>
      </c>
      <c r="G125" s="1" t="s">
        <v>19</v>
      </c>
      <c r="H125" s="1" t="s">
        <v>173</v>
      </c>
      <c r="I125" s="1" t="s">
        <v>174</v>
      </c>
      <c r="J125" s="1" t="s">
        <v>175</v>
      </c>
      <c r="K125" s="1" t="s">
        <v>176</v>
      </c>
      <c r="L125">
        <v>349</v>
      </c>
      <c r="M125" s="1" t="s">
        <v>24</v>
      </c>
      <c r="N125" s="2">
        <v>45341.368396956015</v>
      </c>
      <c r="O125" s="1" t="s">
        <v>25</v>
      </c>
      <c r="P125" s="1" t="s">
        <v>26</v>
      </c>
      <c r="Q125" s="1"/>
      <c r="R125" s="1"/>
      <c r="S125" s="1" t="str">
        <f>IF(M125="USD","DOLLAR",M125)</f>
        <v>DOLLAR</v>
      </c>
      <c r="T125" s="1" t="str">
        <f>IF(zara[[#This Row],[terms]]="jackets","jacket",IF(O125="shoes","shoe",O125))</f>
        <v>jacket</v>
      </c>
      <c r="U125" s="1">
        <f>SUMIF(O:O,zara[[#This Row],[terms]],L:L)</f>
        <v>14806.109999999982</v>
      </c>
      <c r="V125" s="1">
        <f>SUMIFS(L:L,O:O,O125)</f>
        <v>14806.109999999982</v>
      </c>
      <c r="W125" s="1" t="str">
        <f>VLOOKUP(zara[[#This Row],[price]],L:P,5,FALSE)</f>
        <v>MAN</v>
      </c>
      <c r="X125" s="1" t="str">
        <f>INDEX(O:O,MATCH(zara[[#This Row],[price]],L:L,0))</f>
        <v>jackets</v>
      </c>
      <c r="Y125" s="1" t="str">
        <f>INDEX(P:P,MATCH(zara[[#This Row],[price]],L:L,0))</f>
        <v>MAN</v>
      </c>
      <c r="Z125" s="1" t="str">
        <f>INDEX(P:P,MATCH(zara[[#This Row],[price]],L:L,0))</f>
        <v>MAN</v>
      </c>
      <c r="AA125" s="1">
        <f>SUMIFS(L:L,O:O,zara[[#This Row],[terms]])</f>
        <v>14806.109999999982</v>
      </c>
    </row>
    <row r="126" spans="1:27" hidden="1" x14ac:dyDescent="0.3">
      <c r="A126">
        <v>152871</v>
      </c>
      <c r="B126" s="1" t="s">
        <v>31</v>
      </c>
      <c r="C126" s="1" t="s">
        <v>17</v>
      </c>
      <c r="D126" s="1" t="s">
        <v>18</v>
      </c>
      <c r="E126" s="1" t="s">
        <v>32</v>
      </c>
      <c r="F126">
        <v>1847</v>
      </c>
      <c r="G126" s="1" t="s">
        <v>19</v>
      </c>
      <c r="H126" s="1" t="s">
        <v>461</v>
      </c>
      <c r="I126" s="1" t="s">
        <v>462</v>
      </c>
      <c r="J126" s="1" t="s">
        <v>463</v>
      </c>
      <c r="K126" s="1" t="s">
        <v>464</v>
      </c>
      <c r="L126">
        <v>69.900000000000006</v>
      </c>
      <c r="M126" s="1" t="s">
        <v>24</v>
      </c>
      <c r="N126" s="2">
        <v>45341.369175763888</v>
      </c>
      <c r="O126" s="1" t="s">
        <v>25</v>
      </c>
      <c r="P126" s="1" t="s">
        <v>26</v>
      </c>
      <c r="Q126" s="1"/>
      <c r="R126" s="1"/>
      <c r="S126" s="1" t="str">
        <f>IF(M126="USD","DOLLAR",M126)</f>
        <v>DOLLAR</v>
      </c>
      <c r="T126" s="1" t="str">
        <f>IF(zara[[#This Row],[terms]]="jackets","jacket",IF(O126="shoes","shoe",O126))</f>
        <v>jacket</v>
      </c>
      <c r="U126" s="1">
        <f>SUMIF(O:O,zara[[#This Row],[terms]],L:L)</f>
        <v>14806.109999999982</v>
      </c>
      <c r="V126" s="1">
        <f>SUMIFS(L:L,O:O,O126)</f>
        <v>14806.109999999982</v>
      </c>
      <c r="W126" s="1" t="str">
        <f>VLOOKUP(zara[[#This Row],[price]],L:P,5,FALSE)</f>
        <v>MAN</v>
      </c>
      <c r="X126" s="1" t="str">
        <f>INDEX(O:O,MATCH(zara[[#This Row],[price]],L:L,0))</f>
        <v>jeans</v>
      </c>
      <c r="Y126" s="1" t="str">
        <f>INDEX(P:P,MATCH(zara[[#This Row],[price]],L:L,0))</f>
        <v>MAN</v>
      </c>
      <c r="Z126" s="1" t="str">
        <f>INDEX(P:P,MATCH(zara[[#This Row],[price]],L:L,0))</f>
        <v>MAN</v>
      </c>
      <c r="AA126" s="1">
        <f>SUMIFS(L:L,O:O,zara[[#This Row],[terms]])</f>
        <v>14806.109999999982</v>
      </c>
    </row>
    <row r="127" spans="1:27" hidden="1" x14ac:dyDescent="0.3">
      <c r="A127">
        <v>185800</v>
      </c>
      <c r="B127" s="1" t="s">
        <v>31</v>
      </c>
      <c r="C127" s="1" t="s">
        <v>17</v>
      </c>
      <c r="D127" s="1" t="s">
        <v>18</v>
      </c>
      <c r="E127" s="1" t="s">
        <v>32</v>
      </c>
      <c r="F127">
        <v>1841</v>
      </c>
      <c r="G127" s="1" t="s">
        <v>19</v>
      </c>
      <c r="H127" s="1" t="s">
        <v>506</v>
      </c>
      <c r="I127" s="1" t="s">
        <v>507</v>
      </c>
      <c r="J127" s="1" t="s">
        <v>508</v>
      </c>
      <c r="K127" s="1" t="s">
        <v>509</v>
      </c>
      <c r="L127">
        <v>109</v>
      </c>
      <c r="M127" s="1" t="s">
        <v>24</v>
      </c>
      <c r="N127" s="2">
        <v>45341.369243564812</v>
      </c>
      <c r="O127" s="1" t="s">
        <v>25</v>
      </c>
      <c r="P127" s="1" t="s">
        <v>26</v>
      </c>
      <c r="Q127" s="1"/>
      <c r="R127" s="1"/>
      <c r="S127" s="1" t="str">
        <f>IF(M127="USD","DOLLAR",M127)</f>
        <v>DOLLAR</v>
      </c>
      <c r="T127" s="1" t="str">
        <f>IF(zara[[#This Row],[terms]]="jackets","jacket",IF(O127="shoes","shoe",O127))</f>
        <v>jacket</v>
      </c>
      <c r="U127" s="1">
        <f>SUMIF(O:O,zara[[#This Row],[terms]],L:L)</f>
        <v>14806.109999999982</v>
      </c>
      <c r="V127" s="1">
        <f>SUMIFS(L:L,O:O,O127)</f>
        <v>14806.109999999982</v>
      </c>
      <c r="W127" s="1" t="str">
        <f>VLOOKUP(zara[[#This Row],[price]],L:P,5,FALSE)</f>
        <v>MAN</v>
      </c>
      <c r="X127" s="1" t="str">
        <f>INDEX(O:O,MATCH(zara[[#This Row],[price]],L:L,0))</f>
        <v>t-shirts</v>
      </c>
      <c r="Y127" s="1" t="str">
        <f>INDEX(P:P,MATCH(zara[[#This Row],[price]],L:L,0))</f>
        <v>MAN</v>
      </c>
      <c r="Z127" s="1" t="str">
        <f>INDEX(P:P,MATCH(zara[[#This Row],[price]],L:L,0))</f>
        <v>MAN</v>
      </c>
      <c r="AA127" s="1">
        <f>SUMIFS(L:L,O:O,zara[[#This Row],[terms]])</f>
        <v>14806.109999999982</v>
      </c>
    </row>
    <row r="128" spans="1:27" hidden="1" x14ac:dyDescent="0.3">
      <c r="A128">
        <v>173576</v>
      </c>
      <c r="B128" s="1" t="s">
        <v>31</v>
      </c>
      <c r="C128" s="1" t="s">
        <v>32</v>
      </c>
      <c r="D128" s="1" t="s">
        <v>18</v>
      </c>
      <c r="E128" s="1" t="s">
        <v>17</v>
      </c>
      <c r="F128">
        <v>1838</v>
      </c>
      <c r="G128" s="1" t="s">
        <v>19</v>
      </c>
      <c r="H128" s="1" t="s">
        <v>304</v>
      </c>
      <c r="I128" s="1" t="s">
        <v>305</v>
      </c>
      <c r="J128" s="1" t="s">
        <v>259</v>
      </c>
      <c r="K128" s="1" t="s">
        <v>259</v>
      </c>
      <c r="L128">
        <v>129</v>
      </c>
      <c r="M128" s="1" t="s">
        <v>24</v>
      </c>
      <c r="N128" s="2">
        <v>45341.368686064816</v>
      </c>
      <c r="O128" s="1" t="s">
        <v>25</v>
      </c>
      <c r="P128" s="1" t="s">
        <v>26</v>
      </c>
      <c r="Q128" s="1"/>
      <c r="R128" s="1"/>
      <c r="S128" s="1" t="str">
        <f>IF(M128="USD","DOLLAR",M128)</f>
        <v>DOLLAR</v>
      </c>
      <c r="T128" s="1" t="str">
        <f>IF(zara[[#This Row],[terms]]="jackets","jacket",IF(O128="shoes","shoe",O128))</f>
        <v>jacket</v>
      </c>
      <c r="U128" s="1">
        <f>SUMIF(O:O,zara[[#This Row],[terms]],L:L)</f>
        <v>14806.109999999982</v>
      </c>
      <c r="V128" s="1">
        <f>SUMIFS(L:L,O:O,O128)</f>
        <v>14806.109999999982</v>
      </c>
      <c r="W128" s="1" t="str">
        <f>VLOOKUP(zara[[#This Row],[price]],L:P,5,FALSE)</f>
        <v>MAN</v>
      </c>
      <c r="X128" s="1" t="str">
        <f>INDEX(O:O,MATCH(zara[[#This Row],[price]],L:L,0))</f>
        <v>jackets</v>
      </c>
      <c r="Y128" s="1" t="str">
        <f>INDEX(P:P,MATCH(zara[[#This Row],[price]],L:L,0))</f>
        <v>MAN</v>
      </c>
      <c r="Z128" s="1" t="str">
        <f>INDEX(P:P,MATCH(zara[[#This Row],[price]],L:L,0))</f>
        <v>MAN</v>
      </c>
      <c r="AA128" s="1">
        <f>SUMIFS(L:L,O:O,zara[[#This Row],[terms]])</f>
        <v>14806.109999999982</v>
      </c>
    </row>
    <row r="129" spans="1:27" hidden="1" x14ac:dyDescent="0.3">
      <c r="A129">
        <v>124981</v>
      </c>
      <c r="B129" s="1" t="s">
        <v>49</v>
      </c>
      <c r="C129" s="1" t="s">
        <v>17</v>
      </c>
      <c r="D129" s="1" t="s">
        <v>18</v>
      </c>
      <c r="E129" s="1" t="s">
        <v>32</v>
      </c>
      <c r="F129">
        <v>1832</v>
      </c>
      <c r="G129" s="1" t="s">
        <v>19</v>
      </c>
      <c r="H129" s="1" t="s">
        <v>109</v>
      </c>
      <c r="I129" s="1" t="s">
        <v>110</v>
      </c>
      <c r="J129" s="1" t="s">
        <v>111</v>
      </c>
      <c r="K129" s="1" t="s">
        <v>112</v>
      </c>
      <c r="L129">
        <v>89.9</v>
      </c>
      <c r="M129" s="1" t="s">
        <v>24</v>
      </c>
      <c r="N129" s="2">
        <v>45341.368266944446</v>
      </c>
      <c r="O129" s="1" t="s">
        <v>25</v>
      </c>
      <c r="P129" s="1" t="s">
        <v>26</v>
      </c>
      <c r="Q129" s="1"/>
      <c r="R129" s="1"/>
      <c r="S129" s="1" t="str">
        <f>IF(M129="USD","DOLLAR",M129)</f>
        <v>DOLLAR</v>
      </c>
      <c r="T129" s="1" t="str">
        <f>IF(zara[[#This Row],[terms]]="jackets","jacket",IF(O129="shoes","shoe",O129))</f>
        <v>jacket</v>
      </c>
      <c r="U129" s="1">
        <f>SUMIF(O:O,zara[[#This Row],[terms]],L:L)</f>
        <v>14806.109999999982</v>
      </c>
      <c r="V129" s="1">
        <f>SUMIFS(L:L,O:O,O129)</f>
        <v>14806.109999999982</v>
      </c>
      <c r="W129" s="1" t="str">
        <f>VLOOKUP(zara[[#This Row],[price]],L:P,5,FALSE)</f>
        <v>MAN</v>
      </c>
      <c r="X129" s="1" t="str">
        <f>INDEX(O:O,MATCH(zara[[#This Row],[price]],L:L,0))</f>
        <v>jackets</v>
      </c>
      <c r="Y129" s="1" t="str">
        <f>INDEX(P:P,MATCH(zara[[#This Row],[price]],L:L,0))</f>
        <v>MAN</v>
      </c>
      <c r="Z129" s="1" t="str">
        <f>INDEX(P:P,MATCH(zara[[#This Row],[price]],L:L,0))</f>
        <v>MAN</v>
      </c>
      <c r="AA129" s="1">
        <f>SUMIFS(L:L,O:O,zara[[#This Row],[terms]])</f>
        <v>14806.109999999982</v>
      </c>
    </row>
    <row r="130" spans="1:27" hidden="1" x14ac:dyDescent="0.3">
      <c r="A130">
        <v>129134</v>
      </c>
      <c r="B130" s="1" t="s">
        <v>16</v>
      </c>
      <c r="C130" s="1" t="s">
        <v>17</v>
      </c>
      <c r="D130" s="1" t="s">
        <v>18</v>
      </c>
      <c r="E130" s="1" t="s">
        <v>32</v>
      </c>
      <c r="F130">
        <v>1831</v>
      </c>
      <c r="G130" s="1" t="s">
        <v>19</v>
      </c>
      <c r="H130" s="1" t="s">
        <v>841</v>
      </c>
      <c r="I130" s="1" t="s">
        <v>842</v>
      </c>
      <c r="J130" s="1" t="s">
        <v>843</v>
      </c>
      <c r="K130" s="1" t="s">
        <v>844</v>
      </c>
      <c r="L130">
        <v>29.9</v>
      </c>
      <c r="M130" s="1" t="s">
        <v>24</v>
      </c>
      <c r="N130" s="2">
        <v>45341.372540034725</v>
      </c>
      <c r="O130" s="1" t="s">
        <v>836</v>
      </c>
      <c r="P130" s="1" t="s">
        <v>26</v>
      </c>
      <c r="Q130" s="1"/>
      <c r="R130" s="1"/>
      <c r="S130" s="1" t="str">
        <f>IF(M130="USD","DOLLAR",M130)</f>
        <v>DOLLAR</v>
      </c>
      <c r="T130" s="1" t="str">
        <f>IF(zara[[#This Row],[terms]]="jackets","jacket",IF(O130="shoes","shoe",O130))</f>
        <v>t-shirts</v>
      </c>
      <c r="U130" s="1">
        <f>SUMIF(O:O,zara[[#This Row],[terms]],L:L)</f>
        <v>2157.6900000000005</v>
      </c>
      <c r="V130" s="1">
        <f>SUMIFS(L:L,O:O,O130)</f>
        <v>2157.6900000000005</v>
      </c>
      <c r="W130" s="1" t="str">
        <f>VLOOKUP(zara[[#This Row],[price]],L:P,5,FALSE)</f>
        <v>MAN</v>
      </c>
      <c r="X130" s="1" t="str">
        <f>INDEX(O:O,MATCH(zara[[#This Row],[price]],L:L,0))</f>
        <v>t-shirts</v>
      </c>
      <c r="Y130" s="1" t="str">
        <f>INDEX(P:P,MATCH(zara[[#This Row],[price]],L:L,0))</f>
        <v>MAN</v>
      </c>
      <c r="Z130" s="1" t="str">
        <f>INDEX(P:P,MATCH(zara[[#This Row],[price]],L:L,0))</f>
        <v>MAN</v>
      </c>
      <c r="AA130" s="1">
        <f>SUMIFS(L:L,O:O,zara[[#This Row],[terms]])</f>
        <v>2157.6900000000005</v>
      </c>
    </row>
    <row r="131" spans="1:27" hidden="1" x14ac:dyDescent="0.3">
      <c r="A131">
        <v>174412</v>
      </c>
      <c r="B131" s="1" t="s">
        <v>16</v>
      </c>
      <c r="C131" s="1" t="s">
        <v>17</v>
      </c>
      <c r="D131" s="1" t="s">
        <v>18</v>
      </c>
      <c r="E131" s="1" t="s">
        <v>32</v>
      </c>
      <c r="F131">
        <v>1796</v>
      </c>
      <c r="G131" s="1" t="s">
        <v>19</v>
      </c>
      <c r="H131" s="1" t="s">
        <v>170</v>
      </c>
      <c r="I131" s="1" t="s">
        <v>171</v>
      </c>
      <c r="J131" s="1" t="s">
        <v>92</v>
      </c>
      <c r="K131" s="1" t="s">
        <v>172</v>
      </c>
      <c r="L131">
        <v>69.900000000000006</v>
      </c>
      <c r="M131" s="1" t="s">
        <v>24</v>
      </c>
      <c r="N131" s="2">
        <v>45341.368386284725</v>
      </c>
      <c r="O131" s="1" t="s">
        <v>25</v>
      </c>
      <c r="P131" s="1" t="s">
        <v>26</v>
      </c>
      <c r="Q131" s="1"/>
      <c r="R131" s="1"/>
      <c r="S131" s="1" t="str">
        <f>IF(M131="USD","DOLLAR",M131)</f>
        <v>DOLLAR</v>
      </c>
      <c r="T131" s="1" t="str">
        <f>IF(zara[[#This Row],[terms]]="jackets","jacket",IF(O131="shoes","shoe",O131))</f>
        <v>jacket</v>
      </c>
      <c r="U131" s="1">
        <f>SUMIF(O:O,zara[[#This Row],[terms]],L:L)</f>
        <v>14806.109999999982</v>
      </c>
      <c r="V131" s="1">
        <f>SUMIFS(L:L,O:O,O131)</f>
        <v>14806.109999999982</v>
      </c>
      <c r="W131" s="1" t="str">
        <f>VLOOKUP(zara[[#This Row],[price]],L:P,5,FALSE)</f>
        <v>MAN</v>
      </c>
      <c r="X131" s="1" t="str">
        <f>INDEX(O:O,MATCH(zara[[#This Row],[price]],L:L,0))</f>
        <v>jeans</v>
      </c>
      <c r="Y131" s="1" t="str">
        <f>INDEX(P:P,MATCH(zara[[#This Row],[price]],L:L,0))</f>
        <v>MAN</v>
      </c>
      <c r="Z131" s="1" t="str">
        <f>INDEX(P:P,MATCH(zara[[#This Row],[price]],L:L,0))</f>
        <v>MAN</v>
      </c>
      <c r="AA131" s="1">
        <f>SUMIFS(L:L,O:O,zara[[#This Row],[terms]])</f>
        <v>14806.109999999982</v>
      </c>
    </row>
    <row r="132" spans="1:27" hidden="1" x14ac:dyDescent="0.3">
      <c r="A132">
        <v>194915</v>
      </c>
      <c r="B132" s="1" t="s">
        <v>16</v>
      </c>
      <c r="C132" s="1" t="s">
        <v>32</v>
      </c>
      <c r="D132" s="1" t="s">
        <v>18</v>
      </c>
      <c r="E132" s="1" t="s">
        <v>17</v>
      </c>
      <c r="F132">
        <v>1796</v>
      </c>
      <c r="G132" s="1" t="s">
        <v>19</v>
      </c>
      <c r="H132" s="1" t="s">
        <v>432</v>
      </c>
      <c r="I132" s="1" t="s">
        <v>433</v>
      </c>
      <c r="J132" s="1" t="s">
        <v>434</v>
      </c>
      <c r="K132" s="1" t="s">
        <v>435</v>
      </c>
      <c r="L132">
        <v>79.900000000000006</v>
      </c>
      <c r="M132" s="1" t="s">
        <v>24</v>
      </c>
      <c r="N132" s="2">
        <v>45341.369126967591</v>
      </c>
      <c r="O132" s="1" t="s">
        <v>25</v>
      </c>
      <c r="P132" s="1" t="s">
        <v>26</v>
      </c>
      <c r="Q132" s="1"/>
      <c r="R132" s="1"/>
      <c r="S132" s="1" t="str">
        <f>IF(M132="USD","DOLLAR",M132)</f>
        <v>DOLLAR</v>
      </c>
      <c r="T132" s="1" t="str">
        <f>IF(zara[[#This Row],[terms]]="jackets","jacket",IF(O132="shoes","shoe",O132))</f>
        <v>jacket</v>
      </c>
      <c r="U132" s="1">
        <f>SUMIF(O:O,zara[[#This Row],[terms]],L:L)</f>
        <v>14806.109999999982</v>
      </c>
      <c r="V132" s="1">
        <f>SUMIFS(L:L,O:O,O132)</f>
        <v>14806.109999999982</v>
      </c>
      <c r="W132" s="1" t="str">
        <f>VLOOKUP(zara[[#This Row],[price]],L:P,5,FALSE)</f>
        <v>MAN</v>
      </c>
      <c r="X132" s="1" t="str">
        <f>INDEX(O:O,MATCH(zara[[#This Row],[price]],L:L,0))</f>
        <v>jackets</v>
      </c>
      <c r="Y132" s="1" t="str">
        <f>INDEX(P:P,MATCH(zara[[#This Row],[price]],L:L,0))</f>
        <v>MAN</v>
      </c>
      <c r="Z132" s="1" t="str">
        <f>INDEX(P:P,MATCH(zara[[#This Row],[price]],L:L,0))</f>
        <v>MAN</v>
      </c>
      <c r="AA132" s="1">
        <f>SUMIFS(L:L,O:O,zara[[#This Row],[terms]])</f>
        <v>14806.109999999982</v>
      </c>
    </row>
    <row r="133" spans="1:27" hidden="1" x14ac:dyDescent="0.3">
      <c r="A133">
        <v>194339</v>
      </c>
      <c r="B133" s="1" t="s">
        <v>31</v>
      </c>
      <c r="C133" s="1" t="s">
        <v>17</v>
      </c>
      <c r="D133" s="1" t="s">
        <v>18</v>
      </c>
      <c r="E133" s="1" t="s">
        <v>17</v>
      </c>
      <c r="F133">
        <v>1792</v>
      </c>
      <c r="G133" s="1" t="s">
        <v>19</v>
      </c>
      <c r="H133" s="1" t="s">
        <v>166</v>
      </c>
      <c r="I133" s="1" t="s">
        <v>167</v>
      </c>
      <c r="J133" s="1" t="s">
        <v>168</v>
      </c>
      <c r="K133" s="1" t="s">
        <v>169</v>
      </c>
      <c r="L133">
        <v>89.9</v>
      </c>
      <c r="M133" s="1" t="s">
        <v>24</v>
      </c>
      <c r="N133" s="2">
        <v>45341.368379780091</v>
      </c>
      <c r="O133" s="1" t="s">
        <v>25</v>
      </c>
      <c r="P133" s="1" t="s">
        <v>26</v>
      </c>
      <c r="Q133" s="1"/>
      <c r="R133" s="1"/>
      <c r="S133" s="1" t="str">
        <f>IF(M133="USD","DOLLAR",M133)</f>
        <v>DOLLAR</v>
      </c>
      <c r="T133" s="1" t="str">
        <f>IF(zara[[#This Row],[terms]]="jackets","jacket",IF(O133="shoes","shoe",O133))</f>
        <v>jacket</v>
      </c>
      <c r="U133" s="1">
        <f>SUMIF(O:O,zara[[#This Row],[terms]],L:L)</f>
        <v>14806.109999999982</v>
      </c>
      <c r="V133" s="1">
        <f>SUMIFS(L:L,O:O,O133)</f>
        <v>14806.109999999982</v>
      </c>
      <c r="W133" s="1" t="str">
        <f>VLOOKUP(zara[[#This Row],[price]],L:P,5,FALSE)</f>
        <v>MAN</v>
      </c>
      <c r="X133" s="1" t="str">
        <f>INDEX(O:O,MATCH(zara[[#This Row],[price]],L:L,0))</f>
        <v>jackets</v>
      </c>
      <c r="Y133" s="1" t="str">
        <f>INDEX(P:P,MATCH(zara[[#This Row],[price]],L:L,0))</f>
        <v>MAN</v>
      </c>
      <c r="Z133" s="1" t="str">
        <f>INDEX(P:P,MATCH(zara[[#This Row],[price]],L:L,0))</f>
        <v>MAN</v>
      </c>
      <c r="AA133" s="1">
        <f>SUMIFS(L:L,O:O,zara[[#This Row],[terms]])</f>
        <v>14806.109999999982</v>
      </c>
    </row>
    <row r="134" spans="1:27" hidden="1" x14ac:dyDescent="0.3">
      <c r="A134">
        <v>144651</v>
      </c>
      <c r="B134" s="1" t="s">
        <v>16</v>
      </c>
      <c r="C134" s="1" t="s">
        <v>32</v>
      </c>
      <c r="D134" s="1" t="s">
        <v>18</v>
      </c>
      <c r="E134" s="1" t="s">
        <v>17</v>
      </c>
      <c r="F134">
        <v>1791</v>
      </c>
      <c r="G134" s="1" t="s">
        <v>19</v>
      </c>
      <c r="H134" s="1" t="s">
        <v>702</v>
      </c>
      <c r="I134" s="1" t="s">
        <v>462</v>
      </c>
      <c r="J134" s="1" t="s">
        <v>96</v>
      </c>
      <c r="K134" s="1" t="s">
        <v>481</v>
      </c>
      <c r="L134">
        <v>139</v>
      </c>
      <c r="M134" s="1" t="s">
        <v>24</v>
      </c>
      <c r="N134" s="2">
        <v>45341.382362870369</v>
      </c>
      <c r="O134" s="1" t="s">
        <v>836</v>
      </c>
      <c r="P134" s="1" t="s">
        <v>26</v>
      </c>
      <c r="Q134" s="1"/>
      <c r="R134" s="1"/>
      <c r="S134" s="1" t="str">
        <f>IF(M134="USD","DOLLAR",M134)</f>
        <v>DOLLAR</v>
      </c>
      <c r="T134" s="1" t="str">
        <f>IF(zara[[#This Row],[terms]]="jackets","jacket",IF(O134="shoes","shoe",O134))</f>
        <v>t-shirts</v>
      </c>
      <c r="U134" s="1">
        <f>SUMIF(O:O,zara[[#This Row],[terms]],L:L)</f>
        <v>2157.6900000000005</v>
      </c>
      <c r="V134" s="1">
        <f>SUMIFS(L:L,O:O,O134)</f>
        <v>2157.6900000000005</v>
      </c>
      <c r="W134" s="1" t="str">
        <f>VLOOKUP(zara[[#This Row],[price]],L:P,5,FALSE)</f>
        <v>MAN</v>
      </c>
      <c r="X134" s="1" t="str">
        <f>INDEX(O:O,MATCH(zara[[#This Row],[price]],L:L,0))</f>
        <v>jackets</v>
      </c>
      <c r="Y134" s="1" t="str">
        <f>INDEX(P:P,MATCH(zara[[#This Row],[price]],L:L,0))</f>
        <v>MAN</v>
      </c>
      <c r="Z134" s="1" t="str">
        <f>INDEX(P:P,MATCH(zara[[#This Row],[price]],L:L,0))</f>
        <v>MAN</v>
      </c>
      <c r="AA134" s="1">
        <f>SUMIFS(L:L,O:O,zara[[#This Row],[terms]])</f>
        <v>2157.6900000000005</v>
      </c>
    </row>
    <row r="135" spans="1:27" hidden="1" x14ac:dyDescent="0.3">
      <c r="A135">
        <v>168571</v>
      </c>
      <c r="B135" s="1" t="s">
        <v>16</v>
      </c>
      <c r="C135" s="1" t="s">
        <v>17</v>
      </c>
      <c r="D135" s="1" t="s">
        <v>18</v>
      </c>
      <c r="E135" s="1" t="s">
        <v>17</v>
      </c>
      <c r="F135">
        <v>1778</v>
      </c>
      <c r="G135" s="1" t="s">
        <v>19</v>
      </c>
      <c r="H135" s="1" t="s">
        <v>440</v>
      </c>
      <c r="I135" s="1" t="s">
        <v>441</v>
      </c>
      <c r="J135" s="1" t="s">
        <v>346</v>
      </c>
      <c r="K135" s="1" t="s">
        <v>442</v>
      </c>
      <c r="L135">
        <v>89.9</v>
      </c>
      <c r="M135" s="1" t="s">
        <v>24</v>
      </c>
      <c r="N135" s="2">
        <v>45341.369138969909</v>
      </c>
      <c r="O135" s="1" t="s">
        <v>25</v>
      </c>
      <c r="P135" s="1" t="s">
        <v>26</v>
      </c>
      <c r="Q135" s="1"/>
      <c r="R135" s="1"/>
      <c r="S135" s="1" t="str">
        <f>IF(M135="USD","DOLLAR",M135)</f>
        <v>DOLLAR</v>
      </c>
      <c r="T135" s="1" t="str">
        <f>IF(zara[[#This Row],[terms]]="jackets","jacket",IF(O135="shoes","shoe",O135))</f>
        <v>jacket</v>
      </c>
      <c r="U135" s="1">
        <f>SUMIF(O:O,zara[[#This Row],[terms]],L:L)</f>
        <v>14806.109999999982</v>
      </c>
      <c r="V135" s="1">
        <f>SUMIFS(L:L,O:O,O135)</f>
        <v>14806.109999999982</v>
      </c>
      <c r="W135" s="1" t="str">
        <f>VLOOKUP(zara[[#This Row],[price]],L:P,5,FALSE)</f>
        <v>MAN</v>
      </c>
      <c r="X135" s="1" t="str">
        <f>INDEX(O:O,MATCH(zara[[#This Row],[price]],L:L,0))</f>
        <v>jackets</v>
      </c>
      <c r="Y135" s="1" t="str">
        <f>INDEX(P:P,MATCH(zara[[#This Row],[price]],L:L,0))</f>
        <v>MAN</v>
      </c>
      <c r="Z135" s="1" t="str">
        <f>INDEX(P:P,MATCH(zara[[#This Row],[price]],L:L,0))</f>
        <v>MAN</v>
      </c>
      <c r="AA135" s="1">
        <f>SUMIFS(L:L,O:O,zara[[#This Row],[terms]])</f>
        <v>14806.109999999982</v>
      </c>
    </row>
    <row r="136" spans="1:27" hidden="1" x14ac:dyDescent="0.3">
      <c r="A136">
        <v>193227</v>
      </c>
      <c r="B136" s="1" t="s">
        <v>31</v>
      </c>
      <c r="C136" s="1" t="s">
        <v>32</v>
      </c>
      <c r="D136" s="1" t="s">
        <v>18</v>
      </c>
      <c r="E136" s="1" t="s">
        <v>32</v>
      </c>
      <c r="F136">
        <v>1778</v>
      </c>
      <c r="G136" s="1" t="s">
        <v>19</v>
      </c>
      <c r="H136" s="1" t="s">
        <v>820</v>
      </c>
      <c r="I136" s="1" t="s">
        <v>821</v>
      </c>
      <c r="J136" s="1" t="s">
        <v>822</v>
      </c>
      <c r="K136" s="1" t="s">
        <v>823</v>
      </c>
      <c r="L136">
        <v>69.900000000000006</v>
      </c>
      <c r="M136" s="1" t="s">
        <v>24</v>
      </c>
      <c r="N136" s="2">
        <v>45341.371364895836</v>
      </c>
      <c r="O136" s="1" t="s">
        <v>636</v>
      </c>
      <c r="P136" s="1" t="s">
        <v>26</v>
      </c>
      <c r="Q136" s="1"/>
      <c r="R136" s="1"/>
      <c r="S136" s="1" t="str">
        <f>IF(M136="USD","DOLLAR",M136)</f>
        <v>DOLLAR</v>
      </c>
      <c r="T136" s="1" t="str">
        <f>IF(zara[[#This Row],[terms]]="jackets","jacket",IF(O136="shoes","shoe",O136))</f>
        <v>sweaters</v>
      </c>
      <c r="U136" s="1">
        <f>SUMIF(O:O,zara[[#This Row],[terms]],L:L)</f>
        <v>2249.3700000000013</v>
      </c>
      <c r="V136" s="1">
        <f>SUMIFS(L:L,O:O,O136)</f>
        <v>2249.3700000000013</v>
      </c>
      <c r="W136" s="1" t="str">
        <f>VLOOKUP(zara[[#This Row],[price]],L:P,5,FALSE)</f>
        <v>MAN</v>
      </c>
      <c r="X136" s="1" t="str">
        <f>INDEX(O:O,MATCH(zara[[#This Row],[price]],L:L,0))</f>
        <v>jeans</v>
      </c>
      <c r="Y136" s="1" t="str">
        <f>INDEX(P:P,MATCH(zara[[#This Row],[price]],L:L,0))</f>
        <v>MAN</v>
      </c>
      <c r="Z136" s="1" t="str">
        <f>INDEX(P:P,MATCH(zara[[#This Row],[price]],L:L,0))</f>
        <v>MAN</v>
      </c>
      <c r="AA136" s="1">
        <f>SUMIFS(L:L,O:O,zara[[#This Row],[terms]])</f>
        <v>2249.3700000000013</v>
      </c>
    </row>
    <row r="137" spans="1:27" hidden="1" x14ac:dyDescent="0.3">
      <c r="A137">
        <v>183064</v>
      </c>
      <c r="B137" s="1" t="s">
        <v>49</v>
      </c>
      <c r="C137" s="1" t="s">
        <v>32</v>
      </c>
      <c r="D137" s="1" t="s">
        <v>18</v>
      </c>
      <c r="E137" s="1" t="s">
        <v>17</v>
      </c>
      <c r="F137">
        <v>1773</v>
      </c>
      <c r="G137" s="1" t="s">
        <v>19</v>
      </c>
      <c r="H137" s="1" t="s">
        <v>344</v>
      </c>
      <c r="I137" s="1" t="s">
        <v>345</v>
      </c>
      <c r="J137" s="1" t="s">
        <v>346</v>
      </c>
      <c r="K137" s="1" t="s">
        <v>347</v>
      </c>
      <c r="L137">
        <v>89.9</v>
      </c>
      <c r="M137" s="1" t="s">
        <v>24</v>
      </c>
      <c r="N137" s="2">
        <v>45341.368755150463</v>
      </c>
      <c r="O137" s="1" t="s">
        <v>25</v>
      </c>
      <c r="P137" s="1" t="s">
        <v>26</v>
      </c>
      <c r="Q137" s="1"/>
      <c r="R137" s="1"/>
      <c r="S137" s="1" t="str">
        <f>IF(M137="USD","DOLLAR",M137)</f>
        <v>DOLLAR</v>
      </c>
      <c r="T137" s="1" t="str">
        <f>IF(zara[[#This Row],[terms]]="jackets","jacket",IF(O137="shoes","shoe",O137))</f>
        <v>jacket</v>
      </c>
      <c r="U137" s="1">
        <f>SUMIF(O:O,zara[[#This Row],[terms]],L:L)</f>
        <v>14806.109999999982</v>
      </c>
      <c r="V137" s="1">
        <f>SUMIFS(L:L,O:O,O137)</f>
        <v>14806.109999999982</v>
      </c>
      <c r="W137" s="1" t="str">
        <f>VLOOKUP(zara[[#This Row],[price]],L:P,5,FALSE)</f>
        <v>MAN</v>
      </c>
      <c r="X137" s="1" t="str">
        <f>INDEX(O:O,MATCH(zara[[#This Row],[price]],L:L,0))</f>
        <v>jackets</v>
      </c>
      <c r="Y137" s="1" t="str">
        <f>INDEX(P:P,MATCH(zara[[#This Row],[price]],L:L,0))</f>
        <v>MAN</v>
      </c>
      <c r="Z137" s="1" t="str">
        <f>INDEX(P:P,MATCH(zara[[#This Row],[price]],L:L,0))</f>
        <v>MAN</v>
      </c>
      <c r="AA137" s="1">
        <f>SUMIFS(L:L,O:O,zara[[#This Row],[terms]])</f>
        <v>14806.109999999982</v>
      </c>
    </row>
    <row r="138" spans="1:27" hidden="1" x14ac:dyDescent="0.3">
      <c r="A138">
        <v>199279</v>
      </c>
      <c r="B138" s="1" t="s">
        <v>16</v>
      </c>
      <c r="C138" s="1" t="s">
        <v>17</v>
      </c>
      <c r="D138" s="1" t="s">
        <v>18</v>
      </c>
      <c r="E138" s="1" t="s">
        <v>17</v>
      </c>
      <c r="F138">
        <v>1770</v>
      </c>
      <c r="G138" s="1" t="s">
        <v>19</v>
      </c>
      <c r="H138" s="1" t="s">
        <v>368</v>
      </c>
      <c r="I138" s="1" t="s">
        <v>369</v>
      </c>
      <c r="J138" s="1" t="s">
        <v>370</v>
      </c>
      <c r="K138" s="1" t="s">
        <v>371</v>
      </c>
      <c r="L138">
        <v>19.989999999999998</v>
      </c>
      <c r="M138" s="1" t="s">
        <v>24</v>
      </c>
      <c r="N138" s="2">
        <v>45341.368811354165</v>
      </c>
      <c r="O138" s="1" t="s">
        <v>25</v>
      </c>
      <c r="P138" s="1" t="s">
        <v>26</v>
      </c>
      <c r="Q138" s="1"/>
      <c r="R138" s="1"/>
      <c r="S138" s="1" t="str">
        <f>IF(M138="USD","DOLLAR",M138)</f>
        <v>DOLLAR</v>
      </c>
      <c r="T138" s="1" t="str">
        <f>IF(zara[[#This Row],[terms]]="jackets","jacket",IF(O138="shoes","shoe",O138))</f>
        <v>jacket</v>
      </c>
      <c r="U138" s="1">
        <f>SUMIF(O:O,zara[[#This Row],[terms]],L:L)</f>
        <v>14806.109999999982</v>
      </c>
      <c r="V138" s="1">
        <f>SUMIFS(L:L,O:O,O138)</f>
        <v>14806.109999999982</v>
      </c>
      <c r="W138" s="1" t="str">
        <f>VLOOKUP(zara[[#This Row],[price]],L:P,5,FALSE)</f>
        <v>MAN</v>
      </c>
      <c r="X138" s="1" t="str">
        <f>INDEX(O:O,MATCH(zara[[#This Row],[price]],L:L,0))</f>
        <v>jackets</v>
      </c>
      <c r="Y138" s="1" t="str">
        <f>INDEX(P:P,MATCH(zara[[#This Row],[price]],L:L,0))</f>
        <v>MAN</v>
      </c>
      <c r="Z138" s="1" t="str">
        <f>INDEX(P:P,MATCH(zara[[#This Row],[price]],L:L,0))</f>
        <v>MAN</v>
      </c>
      <c r="AA138" s="1">
        <f>SUMIFS(L:L,O:O,zara[[#This Row],[terms]])</f>
        <v>14806.109999999982</v>
      </c>
    </row>
    <row r="139" spans="1:27" hidden="1" x14ac:dyDescent="0.3">
      <c r="A139">
        <v>177771</v>
      </c>
      <c r="B139" s="1" t="s">
        <v>31</v>
      </c>
      <c r="C139" s="1" t="s">
        <v>32</v>
      </c>
      <c r="D139" s="1" t="s">
        <v>18</v>
      </c>
      <c r="E139" s="1" t="s">
        <v>32</v>
      </c>
      <c r="F139">
        <v>1764</v>
      </c>
      <c r="G139" s="1" t="s">
        <v>19</v>
      </c>
      <c r="H139" s="1" t="s">
        <v>730</v>
      </c>
      <c r="I139" s="1" t="s">
        <v>487</v>
      </c>
      <c r="J139" s="1" t="s">
        <v>123</v>
      </c>
      <c r="K139" s="1" t="s">
        <v>343</v>
      </c>
      <c r="L139">
        <v>69.900000000000006</v>
      </c>
      <c r="M139" s="1" t="s">
        <v>24</v>
      </c>
      <c r="N139" s="2">
        <v>45341.38241528935</v>
      </c>
      <c r="O139" s="1" t="s">
        <v>836</v>
      </c>
      <c r="P139" s="1" t="s">
        <v>26</v>
      </c>
      <c r="Q139" s="1"/>
      <c r="R139" s="1"/>
      <c r="S139" s="1" t="str">
        <f>IF(M139="USD","DOLLAR",M139)</f>
        <v>DOLLAR</v>
      </c>
      <c r="T139" s="1" t="str">
        <f>IF(zara[[#This Row],[terms]]="jackets","jacket",IF(O139="shoes","shoe",O139))</f>
        <v>t-shirts</v>
      </c>
      <c r="U139" s="1">
        <f>SUMIF(O:O,zara[[#This Row],[terms]],L:L)</f>
        <v>2157.6900000000005</v>
      </c>
      <c r="V139" s="1">
        <f>SUMIFS(L:L,O:O,O139)</f>
        <v>2157.6900000000005</v>
      </c>
      <c r="W139" s="1" t="str">
        <f>VLOOKUP(zara[[#This Row],[price]],L:P,5,FALSE)</f>
        <v>MAN</v>
      </c>
      <c r="X139" s="1" t="str">
        <f>INDEX(O:O,MATCH(zara[[#This Row],[price]],L:L,0))</f>
        <v>jeans</v>
      </c>
      <c r="Y139" s="1" t="str">
        <f>INDEX(P:P,MATCH(zara[[#This Row],[price]],L:L,0))</f>
        <v>MAN</v>
      </c>
      <c r="Z139" s="1" t="str">
        <f>INDEX(P:P,MATCH(zara[[#This Row],[price]],L:L,0))</f>
        <v>MAN</v>
      </c>
      <c r="AA139" s="1">
        <f>SUMIFS(L:L,O:O,zara[[#This Row],[terms]])</f>
        <v>2157.6900000000005</v>
      </c>
    </row>
    <row r="140" spans="1:27" hidden="1" x14ac:dyDescent="0.3">
      <c r="A140">
        <v>183574</v>
      </c>
      <c r="B140" s="1" t="s">
        <v>16</v>
      </c>
      <c r="C140" s="1" t="s">
        <v>32</v>
      </c>
      <c r="D140" s="1" t="s">
        <v>18</v>
      </c>
      <c r="E140" s="1" t="s">
        <v>32</v>
      </c>
      <c r="F140">
        <v>1752</v>
      </c>
      <c r="G140" s="1" t="s">
        <v>19</v>
      </c>
      <c r="H140" s="1" t="s">
        <v>746</v>
      </c>
      <c r="I140" s="1" t="s">
        <v>747</v>
      </c>
      <c r="J140" s="1" t="s">
        <v>748</v>
      </c>
      <c r="K140" s="1" t="s">
        <v>749</v>
      </c>
      <c r="L140">
        <v>47.9</v>
      </c>
      <c r="M140" s="1" t="s">
        <v>24</v>
      </c>
      <c r="N140" s="2">
        <v>45341.382514872683</v>
      </c>
      <c r="O140" s="1" t="s">
        <v>636</v>
      </c>
      <c r="P140" s="1" t="s">
        <v>637</v>
      </c>
      <c r="Q140" s="1"/>
      <c r="R140" s="1"/>
      <c r="S140" s="1" t="str">
        <f>IF(M140="USD","DOLLAR",M140)</f>
        <v>DOLLAR</v>
      </c>
      <c r="T140" s="1" t="str">
        <f>IF(zara[[#This Row],[terms]]="jackets","jacket",IF(O140="shoes","shoe",O140))</f>
        <v>sweaters</v>
      </c>
      <c r="U140" s="1">
        <f>SUMIF(O:O,zara[[#This Row],[terms]],L:L)</f>
        <v>2249.3700000000013</v>
      </c>
      <c r="V140" s="1">
        <f>SUMIFS(L:L,O:O,O140)</f>
        <v>2249.3700000000013</v>
      </c>
      <c r="W140" s="1" t="str">
        <f>VLOOKUP(zara[[#This Row],[price]],L:P,5,FALSE)</f>
        <v>WOMAN</v>
      </c>
      <c r="X140" s="1" t="str">
        <f>INDEX(O:O,MATCH(zara[[#This Row],[price]],L:L,0))</f>
        <v>sweaters</v>
      </c>
      <c r="Y140" s="1" t="str">
        <f>INDEX(P:P,MATCH(zara[[#This Row],[price]],L:L,0))</f>
        <v>WOMAN</v>
      </c>
      <c r="Z140" s="1" t="str">
        <f>INDEX(P:P,MATCH(zara[[#This Row],[price]],L:L,0))</f>
        <v>WOMAN</v>
      </c>
      <c r="AA140" s="1">
        <f>SUMIFS(L:L,O:O,zara[[#This Row],[terms]])</f>
        <v>2249.3700000000013</v>
      </c>
    </row>
    <row r="141" spans="1:27" hidden="1" x14ac:dyDescent="0.3">
      <c r="A141">
        <v>115153</v>
      </c>
      <c r="B141" s="1" t="s">
        <v>16</v>
      </c>
      <c r="C141" s="1" t="s">
        <v>17</v>
      </c>
      <c r="D141" s="1" t="s">
        <v>18</v>
      </c>
      <c r="E141" s="1" t="s">
        <v>17</v>
      </c>
      <c r="F141">
        <v>1736</v>
      </c>
      <c r="G141" s="1" t="s">
        <v>19</v>
      </c>
      <c r="H141" s="1" t="s">
        <v>674</v>
      </c>
      <c r="I141" s="1" t="s">
        <v>675</v>
      </c>
      <c r="J141" s="1" t="s">
        <v>676</v>
      </c>
      <c r="K141" s="1" t="s">
        <v>677</v>
      </c>
      <c r="L141">
        <v>79.900000000000006</v>
      </c>
      <c r="M141" s="1" t="s">
        <v>24</v>
      </c>
      <c r="N141" s="2">
        <v>45341.382388449078</v>
      </c>
      <c r="O141" s="1" t="s">
        <v>636</v>
      </c>
      <c r="P141" s="1" t="s">
        <v>637</v>
      </c>
      <c r="Q141" s="1"/>
      <c r="R141" s="1"/>
      <c r="S141" s="1" t="str">
        <f>IF(M141="USD","DOLLAR",M141)</f>
        <v>DOLLAR</v>
      </c>
      <c r="T141" s="1" t="str">
        <f>IF(zara[[#This Row],[terms]]="jackets","jacket",IF(O141="shoes","shoe",O141))</f>
        <v>sweaters</v>
      </c>
      <c r="U141" s="1">
        <f>SUMIF(O:O,zara[[#This Row],[terms]],L:L)</f>
        <v>2249.3700000000013</v>
      </c>
      <c r="V141" s="1">
        <f>SUMIFS(L:L,O:O,O141)</f>
        <v>2249.3700000000013</v>
      </c>
      <c r="W141" s="1" t="str">
        <f>VLOOKUP(zara[[#This Row],[price]],L:P,5,FALSE)</f>
        <v>MAN</v>
      </c>
      <c r="X141" s="1" t="str">
        <f>INDEX(O:O,MATCH(zara[[#This Row],[price]],L:L,0))</f>
        <v>jackets</v>
      </c>
      <c r="Y141" s="1" t="str">
        <f>INDEX(P:P,MATCH(zara[[#This Row],[price]],L:L,0))</f>
        <v>MAN</v>
      </c>
      <c r="Z141" s="1" t="str">
        <f>INDEX(P:P,MATCH(zara[[#This Row],[price]],L:L,0))</f>
        <v>MAN</v>
      </c>
      <c r="AA141" s="1">
        <f>SUMIFS(L:L,O:O,zara[[#This Row],[terms]])</f>
        <v>2249.3700000000013</v>
      </c>
    </row>
    <row r="142" spans="1:27" hidden="1" x14ac:dyDescent="0.3">
      <c r="A142">
        <v>177131</v>
      </c>
      <c r="B142" s="1" t="s">
        <v>16</v>
      </c>
      <c r="C142" s="1" t="s">
        <v>32</v>
      </c>
      <c r="D142" s="1" t="s">
        <v>18</v>
      </c>
      <c r="E142" s="1" t="s">
        <v>32</v>
      </c>
      <c r="F142">
        <v>1733</v>
      </c>
      <c r="G142" s="1" t="s">
        <v>19</v>
      </c>
      <c r="H142" s="1" t="s">
        <v>348</v>
      </c>
      <c r="I142" s="1" t="s">
        <v>349</v>
      </c>
      <c r="J142" s="1" t="s">
        <v>350</v>
      </c>
      <c r="K142" s="1" t="s">
        <v>351</v>
      </c>
      <c r="L142">
        <v>69.900000000000006</v>
      </c>
      <c r="M142" s="1" t="s">
        <v>24</v>
      </c>
      <c r="N142" s="2">
        <v>45341.368760520832</v>
      </c>
      <c r="O142" s="1" t="s">
        <v>25</v>
      </c>
      <c r="P142" s="1" t="s">
        <v>26</v>
      </c>
      <c r="Q142" s="1"/>
      <c r="R142" s="1"/>
      <c r="S142" s="1" t="str">
        <f>IF(M142="USD","DOLLAR",M142)</f>
        <v>DOLLAR</v>
      </c>
      <c r="T142" s="1" t="str">
        <f>IF(zara[[#This Row],[terms]]="jackets","jacket",IF(O142="shoes","shoe",O142))</f>
        <v>jacket</v>
      </c>
      <c r="U142" s="1">
        <f>SUMIF(O:O,zara[[#This Row],[terms]],L:L)</f>
        <v>14806.109999999982</v>
      </c>
      <c r="V142" s="1">
        <f>SUMIFS(L:L,O:O,O142)</f>
        <v>14806.109999999982</v>
      </c>
      <c r="W142" s="1" t="str">
        <f>VLOOKUP(zara[[#This Row],[price]],L:P,5,FALSE)</f>
        <v>MAN</v>
      </c>
      <c r="X142" s="1" t="str">
        <f>INDEX(O:O,MATCH(zara[[#This Row],[price]],L:L,0))</f>
        <v>jeans</v>
      </c>
      <c r="Y142" s="1" t="str">
        <f>INDEX(P:P,MATCH(zara[[#This Row],[price]],L:L,0))</f>
        <v>MAN</v>
      </c>
      <c r="Z142" s="1" t="str">
        <f>INDEX(P:P,MATCH(zara[[#This Row],[price]],L:L,0))</f>
        <v>MAN</v>
      </c>
      <c r="AA142" s="1">
        <f>SUMIFS(L:L,O:O,zara[[#This Row],[terms]])</f>
        <v>14806.109999999982</v>
      </c>
    </row>
    <row r="143" spans="1:27" hidden="1" x14ac:dyDescent="0.3">
      <c r="A143">
        <v>186681</v>
      </c>
      <c r="B143" s="1" t="s">
        <v>31</v>
      </c>
      <c r="C143" s="1" t="s">
        <v>17</v>
      </c>
      <c r="D143" s="1" t="s">
        <v>18</v>
      </c>
      <c r="E143" s="1" t="s">
        <v>32</v>
      </c>
      <c r="F143">
        <v>1717</v>
      </c>
      <c r="G143" s="1" t="s">
        <v>19</v>
      </c>
      <c r="H143" s="1" t="s">
        <v>232</v>
      </c>
      <c r="I143" s="1" t="s">
        <v>233</v>
      </c>
      <c r="J143" s="1" t="s">
        <v>234</v>
      </c>
      <c r="K143" s="1" t="s">
        <v>235</v>
      </c>
      <c r="L143">
        <v>19.989999999999998</v>
      </c>
      <c r="M143" s="1" t="s">
        <v>24</v>
      </c>
      <c r="N143" s="2">
        <v>45341.368520983793</v>
      </c>
      <c r="O143" s="1" t="s">
        <v>25</v>
      </c>
      <c r="P143" s="1" t="s">
        <v>26</v>
      </c>
      <c r="Q143" s="1"/>
      <c r="R143" s="1"/>
      <c r="S143" s="1" t="str">
        <f>IF(M143="USD","DOLLAR",M143)</f>
        <v>DOLLAR</v>
      </c>
      <c r="T143" s="1" t="str">
        <f>IF(zara[[#This Row],[terms]]="jackets","jacket",IF(O143="shoes","shoe",O143))</f>
        <v>jacket</v>
      </c>
      <c r="U143" s="1">
        <f>SUMIF(O:O,zara[[#This Row],[terms]],L:L)</f>
        <v>14806.109999999982</v>
      </c>
      <c r="V143" s="1">
        <f>SUMIFS(L:L,O:O,O143)</f>
        <v>14806.109999999982</v>
      </c>
      <c r="W143" s="1" t="str">
        <f>VLOOKUP(zara[[#This Row],[price]],L:P,5,FALSE)</f>
        <v>MAN</v>
      </c>
      <c r="X143" s="1" t="str">
        <f>INDEX(O:O,MATCH(zara[[#This Row],[price]],L:L,0))</f>
        <v>jackets</v>
      </c>
      <c r="Y143" s="1" t="str">
        <f>INDEX(P:P,MATCH(zara[[#This Row],[price]],L:L,0))</f>
        <v>MAN</v>
      </c>
      <c r="Z143" s="1" t="str">
        <f>INDEX(P:P,MATCH(zara[[#This Row],[price]],L:L,0))</f>
        <v>MAN</v>
      </c>
      <c r="AA143" s="1">
        <f>SUMIFS(L:L,O:O,zara[[#This Row],[terms]])</f>
        <v>14806.109999999982</v>
      </c>
    </row>
    <row r="144" spans="1:27" hidden="1" x14ac:dyDescent="0.3">
      <c r="A144">
        <v>141904</v>
      </c>
      <c r="B144" s="1" t="s">
        <v>31</v>
      </c>
      <c r="C144" s="1" t="s">
        <v>32</v>
      </c>
      <c r="D144" s="1" t="s">
        <v>18</v>
      </c>
      <c r="E144" s="1" t="s">
        <v>32</v>
      </c>
      <c r="F144">
        <v>1712</v>
      </c>
      <c r="G144" s="1" t="s">
        <v>19</v>
      </c>
      <c r="H144" s="1" t="s">
        <v>105</v>
      </c>
      <c r="I144" s="1" t="s">
        <v>106</v>
      </c>
      <c r="J144" s="1" t="s">
        <v>107</v>
      </c>
      <c r="K144" s="1" t="s">
        <v>108</v>
      </c>
      <c r="L144">
        <v>109</v>
      </c>
      <c r="M144" s="1" t="s">
        <v>24</v>
      </c>
      <c r="N144" s="2">
        <v>45341.368259710645</v>
      </c>
      <c r="O144" s="1" t="s">
        <v>25</v>
      </c>
      <c r="P144" s="1" t="s">
        <v>26</v>
      </c>
      <c r="Q144" s="1"/>
      <c r="R144" s="1"/>
      <c r="S144" s="1" t="str">
        <f>IF(M144="USD","DOLLAR",M144)</f>
        <v>DOLLAR</v>
      </c>
      <c r="T144" s="1" t="str">
        <f>IF(zara[[#This Row],[terms]]="jackets","jacket",IF(O144="shoes","shoe",O144))</f>
        <v>jacket</v>
      </c>
      <c r="U144" s="1">
        <f>SUMIF(O:O,zara[[#This Row],[terms]],L:L)</f>
        <v>14806.109999999982</v>
      </c>
      <c r="V144" s="1">
        <f>SUMIFS(L:L,O:O,O144)</f>
        <v>14806.109999999982</v>
      </c>
      <c r="W144" s="1" t="str">
        <f>VLOOKUP(zara[[#This Row],[price]],L:P,5,FALSE)</f>
        <v>MAN</v>
      </c>
      <c r="X144" s="1" t="str">
        <f>INDEX(O:O,MATCH(zara[[#This Row],[price]],L:L,0))</f>
        <v>t-shirts</v>
      </c>
      <c r="Y144" s="1" t="str">
        <f>INDEX(P:P,MATCH(zara[[#This Row],[price]],L:L,0))</f>
        <v>MAN</v>
      </c>
      <c r="Z144" s="1" t="str">
        <f>INDEX(P:P,MATCH(zara[[#This Row],[price]],L:L,0))</f>
        <v>MAN</v>
      </c>
      <c r="AA144" s="1">
        <f>SUMIFS(L:L,O:O,zara[[#This Row],[terms]])</f>
        <v>14806.109999999982</v>
      </c>
    </row>
    <row r="145" spans="1:27" hidden="1" x14ac:dyDescent="0.3">
      <c r="A145">
        <v>171776</v>
      </c>
      <c r="B145" s="1" t="s">
        <v>16</v>
      </c>
      <c r="C145" s="1" t="s">
        <v>32</v>
      </c>
      <c r="D145" s="1" t="s">
        <v>18</v>
      </c>
      <c r="E145" s="1" t="s">
        <v>17</v>
      </c>
      <c r="F145">
        <v>1685</v>
      </c>
      <c r="G145" s="1" t="s">
        <v>19</v>
      </c>
      <c r="H145" s="1" t="s">
        <v>804</v>
      </c>
      <c r="I145" s="1" t="s">
        <v>805</v>
      </c>
      <c r="J145" s="1" t="s">
        <v>806</v>
      </c>
      <c r="K145" s="1" t="s">
        <v>807</v>
      </c>
      <c r="L145">
        <v>12.99</v>
      </c>
      <c r="M145" s="1" t="s">
        <v>24</v>
      </c>
      <c r="N145" s="2">
        <v>45341.371309178241</v>
      </c>
      <c r="O145" s="1" t="s">
        <v>785</v>
      </c>
      <c r="P145" s="1" t="s">
        <v>26</v>
      </c>
      <c r="Q145" s="1"/>
      <c r="R145" s="1"/>
      <c r="S145" s="1" t="str">
        <f>IF(M145="USD","DOLLAR",M145)</f>
        <v>DOLLAR</v>
      </c>
      <c r="T145" s="1" t="str">
        <f>IF(zara[[#This Row],[terms]]="jackets","jacket",IF(O145="shoes","shoe",O145))</f>
        <v>jeans</v>
      </c>
      <c r="U145" s="1">
        <f>SUMIF(O:O,zara[[#This Row],[terms]],L:L)</f>
        <v>511.39</v>
      </c>
      <c r="V145" s="1">
        <f>SUMIFS(L:L,O:O,O145)</f>
        <v>511.39</v>
      </c>
      <c r="W145" s="1" t="str">
        <f>VLOOKUP(zara[[#This Row],[price]],L:P,5,FALSE)</f>
        <v>MAN</v>
      </c>
      <c r="X145" s="1" t="str">
        <f>INDEX(O:O,MATCH(zara[[#This Row],[price]],L:L,0))</f>
        <v>sweaters</v>
      </c>
      <c r="Y145" s="1" t="str">
        <f>INDEX(P:P,MATCH(zara[[#This Row],[price]],L:L,0))</f>
        <v>MAN</v>
      </c>
      <c r="Z145" s="1" t="str">
        <f>INDEX(P:P,MATCH(zara[[#This Row],[price]],L:L,0))</f>
        <v>MAN</v>
      </c>
      <c r="AA145" s="1">
        <f>SUMIFS(L:L,O:O,zara[[#This Row],[terms]])</f>
        <v>511.39</v>
      </c>
    </row>
    <row r="146" spans="1:27" x14ac:dyDescent="0.3">
      <c r="A146">
        <v>118578</v>
      </c>
      <c r="B146" s="1" t="s">
        <v>31</v>
      </c>
      <c r="C146" s="1" t="s">
        <v>17</v>
      </c>
      <c r="D146" s="1" t="s">
        <v>18</v>
      </c>
      <c r="E146" s="1" t="s">
        <v>32</v>
      </c>
      <c r="F146">
        <v>1678</v>
      </c>
      <c r="G146" s="1" t="s">
        <v>19</v>
      </c>
      <c r="H146" s="1" t="s">
        <v>538</v>
      </c>
      <c r="I146" s="1" t="s">
        <v>539</v>
      </c>
      <c r="J146" s="1" t="s">
        <v>540</v>
      </c>
      <c r="K146" s="1" t="s">
        <v>541</v>
      </c>
      <c r="L146">
        <v>49.9</v>
      </c>
      <c r="M146" s="1" t="s">
        <v>24</v>
      </c>
      <c r="N146" s="2">
        <v>45341.375378067132</v>
      </c>
      <c r="O146" s="1" t="s">
        <v>517</v>
      </c>
      <c r="P146" s="1" t="s">
        <v>26</v>
      </c>
      <c r="Q146" s="1"/>
      <c r="R146" s="1"/>
      <c r="S146" s="1" t="str">
        <f>IF(M146="USD","DOLLAR",M146)</f>
        <v>DOLLAR</v>
      </c>
      <c r="T146" s="1" t="str">
        <f>IF(zara[[#This Row],[terms]]="jackets","jacket",IF(O146="shoes","shoe",O146))</f>
        <v>shoe</v>
      </c>
      <c r="U146" s="1">
        <f>SUMIF(O:O,zara[[#This Row],[terms]],L:L)</f>
        <v>2011.0800000000013</v>
      </c>
      <c r="V146" s="1">
        <f>SUMIFS(L:L,O:O,O146)</f>
        <v>2011.0800000000013</v>
      </c>
      <c r="W146" s="1" t="str">
        <f>VLOOKUP(zara[[#This Row],[price]],L:P,5,FALSE)</f>
        <v>MAN</v>
      </c>
      <c r="X146" s="1" t="str">
        <f>INDEX(O:O,MATCH(zara[[#This Row],[price]],L:L,0))</f>
        <v>jackets</v>
      </c>
      <c r="Y146" s="1" t="str">
        <f>INDEX(P:P,MATCH(zara[[#This Row],[price]],L:L,0))</f>
        <v>MAN</v>
      </c>
      <c r="Z146" s="1" t="str">
        <f>INDEX(P:P,MATCH(zara[[#This Row],[price]],L:L,0))</f>
        <v>MAN</v>
      </c>
      <c r="AA146" s="1">
        <f>SUMIFS(L:L,O:O,zara[[#This Row],[terms]])</f>
        <v>2011.0800000000013</v>
      </c>
    </row>
    <row r="147" spans="1:27" hidden="1" x14ac:dyDescent="0.3">
      <c r="A147">
        <v>118719</v>
      </c>
      <c r="B147" s="1" t="s">
        <v>31</v>
      </c>
      <c r="C147" s="1" t="s">
        <v>17</v>
      </c>
      <c r="D147" s="1" t="s">
        <v>18</v>
      </c>
      <c r="E147" s="1" t="s">
        <v>32</v>
      </c>
      <c r="F147">
        <v>1669</v>
      </c>
      <c r="G147" s="1" t="s">
        <v>19</v>
      </c>
      <c r="H147" s="1" t="s">
        <v>754</v>
      </c>
      <c r="I147" s="1" t="s">
        <v>755</v>
      </c>
      <c r="J147" s="1" t="s">
        <v>756</v>
      </c>
      <c r="K147" s="1" t="s">
        <v>757</v>
      </c>
      <c r="L147">
        <v>45.9</v>
      </c>
      <c r="M147" s="1" t="s">
        <v>24</v>
      </c>
      <c r="N147" s="2">
        <v>45341.38253023148</v>
      </c>
      <c r="O147" s="1" t="s">
        <v>636</v>
      </c>
      <c r="P147" s="1" t="s">
        <v>637</v>
      </c>
      <c r="Q147" s="1"/>
      <c r="R147" s="1"/>
      <c r="S147" s="1" t="str">
        <f>IF(M147="USD","DOLLAR",M147)</f>
        <v>DOLLAR</v>
      </c>
      <c r="T147" s="1" t="str">
        <f>IF(zara[[#This Row],[terms]]="jackets","jacket",IF(O147="shoes","shoe",O147))</f>
        <v>sweaters</v>
      </c>
      <c r="U147" s="1">
        <f>SUMIF(O:O,zara[[#This Row],[terms]],L:L)</f>
        <v>2249.3700000000013</v>
      </c>
      <c r="V147" s="1">
        <f>SUMIFS(L:L,O:O,O147)</f>
        <v>2249.3700000000013</v>
      </c>
      <c r="W147" s="1" t="str">
        <f>VLOOKUP(zara[[#This Row],[price]],L:P,5,FALSE)</f>
        <v>MAN</v>
      </c>
      <c r="X147" s="1" t="str">
        <f>INDEX(O:O,MATCH(zara[[#This Row],[price]],L:L,0))</f>
        <v>shoes</v>
      </c>
      <c r="Y147" s="1" t="str">
        <f>INDEX(P:P,MATCH(zara[[#This Row],[price]],L:L,0))</f>
        <v>MAN</v>
      </c>
      <c r="Z147" s="1" t="str">
        <f>INDEX(P:P,MATCH(zara[[#This Row],[price]],L:L,0))</f>
        <v>MAN</v>
      </c>
      <c r="AA147" s="1">
        <f>SUMIFS(L:L,O:O,zara[[#This Row],[terms]])</f>
        <v>2249.3700000000013</v>
      </c>
    </row>
    <row r="148" spans="1:27" hidden="1" x14ac:dyDescent="0.3">
      <c r="A148">
        <v>119049</v>
      </c>
      <c r="B148" s="1" t="s">
        <v>16</v>
      </c>
      <c r="C148" s="1" t="s">
        <v>17</v>
      </c>
      <c r="D148" s="1" t="s">
        <v>18</v>
      </c>
      <c r="E148" s="1" t="s">
        <v>32</v>
      </c>
      <c r="F148">
        <v>1659</v>
      </c>
      <c r="G148" s="1" t="s">
        <v>19</v>
      </c>
      <c r="H148" s="1" t="s">
        <v>450</v>
      </c>
      <c r="I148" s="1" t="s">
        <v>451</v>
      </c>
      <c r="J148" s="1" t="s">
        <v>452</v>
      </c>
      <c r="K148" s="1" t="s">
        <v>453</v>
      </c>
      <c r="L148">
        <v>89.9</v>
      </c>
      <c r="M148" s="1" t="s">
        <v>24</v>
      </c>
      <c r="N148" s="2">
        <v>45341.369159710652</v>
      </c>
      <c r="O148" s="1" t="s">
        <v>25</v>
      </c>
      <c r="P148" s="1" t="s">
        <v>26</v>
      </c>
      <c r="Q148" s="1"/>
      <c r="R148" s="1"/>
      <c r="S148" s="1" t="str">
        <f>IF(M148="USD","DOLLAR",M148)</f>
        <v>DOLLAR</v>
      </c>
      <c r="T148" s="1" t="str">
        <f>IF(zara[[#This Row],[terms]]="jackets","jacket",IF(O148="shoes","shoe",O148))</f>
        <v>jacket</v>
      </c>
      <c r="U148" s="1">
        <f>SUMIF(O:O,zara[[#This Row],[terms]],L:L)</f>
        <v>14806.109999999982</v>
      </c>
      <c r="V148" s="1">
        <f>SUMIFS(L:L,O:O,O148)</f>
        <v>14806.109999999982</v>
      </c>
      <c r="W148" s="1" t="str">
        <f>VLOOKUP(zara[[#This Row],[price]],L:P,5,FALSE)</f>
        <v>MAN</v>
      </c>
      <c r="X148" s="1" t="str">
        <f>INDEX(O:O,MATCH(zara[[#This Row],[price]],L:L,0))</f>
        <v>jackets</v>
      </c>
      <c r="Y148" s="1" t="str">
        <f>INDEX(P:P,MATCH(zara[[#This Row],[price]],L:L,0))</f>
        <v>MAN</v>
      </c>
      <c r="Z148" s="1" t="str">
        <f>INDEX(P:P,MATCH(zara[[#This Row],[price]],L:L,0))</f>
        <v>MAN</v>
      </c>
      <c r="AA148" s="1">
        <f>SUMIFS(L:L,O:O,zara[[#This Row],[terms]])</f>
        <v>14806.109999999982</v>
      </c>
    </row>
    <row r="149" spans="1:27" hidden="1" x14ac:dyDescent="0.3">
      <c r="A149">
        <v>173508</v>
      </c>
      <c r="B149" s="1" t="s">
        <v>16</v>
      </c>
      <c r="C149" s="1" t="s">
        <v>32</v>
      </c>
      <c r="D149" s="1" t="s">
        <v>18</v>
      </c>
      <c r="E149" s="1" t="s">
        <v>17</v>
      </c>
      <c r="F149">
        <v>1658</v>
      </c>
      <c r="G149" s="1" t="s">
        <v>19</v>
      </c>
      <c r="H149" s="1" t="s">
        <v>240</v>
      </c>
      <c r="I149" s="1" t="s">
        <v>241</v>
      </c>
      <c r="J149" s="1" t="s">
        <v>242</v>
      </c>
      <c r="K149" s="1" t="s">
        <v>243</v>
      </c>
      <c r="L149">
        <v>129</v>
      </c>
      <c r="M149" s="1" t="s">
        <v>24</v>
      </c>
      <c r="N149" s="2">
        <v>45341.368535034722</v>
      </c>
      <c r="O149" s="1" t="s">
        <v>25</v>
      </c>
      <c r="P149" s="1" t="s">
        <v>26</v>
      </c>
      <c r="Q149" s="1"/>
      <c r="R149" s="1"/>
      <c r="S149" s="1" t="str">
        <f>IF(M149="USD","DOLLAR",M149)</f>
        <v>DOLLAR</v>
      </c>
      <c r="T149" s="1" t="str">
        <f>IF(zara[[#This Row],[terms]]="jackets","jacket",IF(O149="shoes","shoe",O149))</f>
        <v>jacket</v>
      </c>
      <c r="U149" s="1">
        <f>SUMIF(O:O,zara[[#This Row],[terms]],L:L)</f>
        <v>14806.109999999982</v>
      </c>
      <c r="V149" s="1">
        <f>SUMIFS(L:L,O:O,O149)</f>
        <v>14806.109999999982</v>
      </c>
      <c r="W149" s="1" t="str">
        <f>VLOOKUP(zara[[#This Row],[price]],L:P,5,FALSE)</f>
        <v>MAN</v>
      </c>
      <c r="X149" s="1" t="str">
        <f>INDEX(O:O,MATCH(zara[[#This Row],[price]],L:L,0))</f>
        <v>jackets</v>
      </c>
      <c r="Y149" s="1" t="str">
        <f>INDEX(P:P,MATCH(zara[[#This Row],[price]],L:L,0))</f>
        <v>MAN</v>
      </c>
      <c r="Z149" s="1" t="str">
        <f>INDEX(P:P,MATCH(zara[[#This Row],[price]],L:L,0))</f>
        <v>MAN</v>
      </c>
      <c r="AA149" s="1">
        <f>SUMIFS(L:L,O:O,zara[[#This Row],[terms]])</f>
        <v>14806.109999999982</v>
      </c>
    </row>
    <row r="150" spans="1:27" hidden="1" x14ac:dyDescent="0.3">
      <c r="A150">
        <v>198248</v>
      </c>
      <c r="B150" s="1" t="s">
        <v>49</v>
      </c>
      <c r="C150" s="1" t="s">
        <v>32</v>
      </c>
      <c r="D150" s="1" t="s">
        <v>18</v>
      </c>
      <c r="E150" s="1" t="s">
        <v>17</v>
      </c>
      <c r="F150">
        <v>1644</v>
      </c>
      <c r="G150" s="1" t="s">
        <v>19</v>
      </c>
      <c r="H150" s="1" t="s">
        <v>125</v>
      </c>
      <c r="I150" s="1" t="s">
        <v>126</v>
      </c>
      <c r="J150" s="1" t="s">
        <v>127</v>
      </c>
      <c r="K150" s="1" t="s">
        <v>128</v>
      </c>
      <c r="L150">
        <v>69.900000000000006</v>
      </c>
      <c r="M150" s="1" t="s">
        <v>24</v>
      </c>
      <c r="N150" s="2">
        <v>45341.368291516206</v>
      </c>
      <c r="O150" s="1" t="s">
        <v>25</v>
      </c>
      <c r="P150" s="1" t="s">
        <v>26</v>
      </c>
      <c r="Q150" s="1"/>
      <c r="R150" s="1"/>
      <c r="S150" s="1" t="str">
        <f>IF(M150="USD","DOLLAR",M150)</f>
        <v>DOLLAR</v>
      </c>
      <c r="T150" s="1" t="str">
        <f>IF(zara[[#This Row],[terms]]="jackets","jacket",IF(O150="shoes","shoe",O150))</f>
        <v>jacket</v>
      </c>
      <c r="U150" s="1">
        <f>SUMIF(O:O,zara[[#This Row],[terms]],L:L)</f>
        <v>14806.109999999982</v>
      </c>
      <c r="V150" s="1">
        <f>SUMIFS(L:L,O:O,O150)</f>
        <v>14806.109999999982</v>
      </c>
      <c r="W150" s="1" t="str">
        <f>VLOOKUP(zara[[#This Row],[price]],L:P,5,FALSE)</f>
        <v>MAN</v>
      </c>
      <c r="X150" s="1" t="str">
        <f>INDEX(O:O,MATCH(zara[[#This Row],[price]],L:L,0))</f>
        <v>jeans</v>
      </c>
      <c r="Y150" s="1" t="str">
        <f>INDEX(P:P,MATCH(zara[[#This Row],[price]],L:L,0))</f>
        <v>MAN</v>
      </c>
      <c r="Z150" s="1" t="str">
        <f>INDEX(P:P,MATCH(zara[[#This Row],[price]],L:L,0))</f>
        <v>MAN</v>
      </c>
      <c r="AA150" s="1">
        <f>SUMIFS(L:L,O:O,zara[[#This Row],[terms]])</f>
        <v>14806.109999999982</v>
      </c>
    </row>
    <row r="151" spans="1:27" hidden="1" x14ac:dyDescent="0.3">
      <c r="A151">
        <v>163234</v>
      </c>
      <c r="B151" s="1" t="s">
        <v>49</v>
      </c>
      <c r="C151" s="1" t="s">
        <v>17</v>
      </c>
      <c r="D151" s="1" t="s">
        <v>18</v>
      </c>
      <c r="E151" s="1" t="s">
        <v>17</v>
      </c>
      <c r="F151">
        <v>1633</v>
      </c>
      <c r="G151" s="1" t="s">
        <v>19</v>
      </c>
      <c r="H151" s="1" t="s">
        <v>260</v>
      </c>
      <c r="I151" s="1" t="s">
        <v>261</v>
      </c>
      <c r="J151" s="1" t="s">
        <v>262</v>
      </c>
      <c r="K151" s="1" t="s">
        <v>263</v>
      </c>
      <c r="L151">
        <v>89.9</v>
      </c>
      <c r="M151" s="1" t="s">
        <v>24</v>
      </c>
      <c r="N151" s="2">
        <v>45341.368566273151</v>
      </c>
      <c r="O151" s="1" t="s">
        <v>25</v>
      </c>
      <c r="P151" s="1" t="s">
        <v>26</v>
      </c>
      <c r="Q151" s="1"/>
      <c r="R151" s="1"/>
      <c r="S151" s="1" t="str">
        <f>IF(M151="USD","DOLLAR",M151)</f>
        <v>DOLLAR</v>
      </c>
      <c r="T151" s="1" t="str">
        <f>IF(zara[[#This Row],[terms]]="jackets","jacket",IF(O151="shoes","shoe",O151))</f>
        <v>jacket</v>
      </c>
      <c r="U151" s="1">
        <f>SUMIF(O:O,zara[[#This Row],[terms]],L:L)</f>
        <v>14806.109999999982</v>
      </c>
      <c r="V151" s="1">
        <f>SUMIFS(L:L,O:O,O151)</f>
        <v>14806.109999999982</v>
      </c>
      <c r="W151" s="1" t="str">
        <f>VLOOKUP(zara[[#This Row],[price]],L:P,5,FALSE)</f>
        <v>MAN</v>
      </c>
      <c r="X151" s="1" t="str">
        <f>INDEX(O:O,MATCH(zara[[#This Row],[price]],L:L,0))</f>
        <v>jackets</v>
      </c>
      <c r="Y151" s="1" t="str">
        <f>INDEX(P:P,MATCH(zara[[#This Row],[price]],L:L,0))</f>
        <v>MAN</v>
      </c>
      <c r="Z151" s="1" t="str">
        <f>INDEX(P:P,MATCH(zara[[#This Row],[price]],L:L,0))</f>
        <v>MAN</v>
      </c>
      <c r="AA151" s="1">
        <f>SUMIFS(L:L,O:O,zara[[#This Row],[terms]])</f>
        <v>14806.109999999982</v>
      </c>
    </row>
    <row r="152" spans="1:27" hidden="1" x14ac:dyDescent="0.3">
      <c r="A152">
        <v>165158</v>
      </c>
      <c r="B152" s="1" t="s">
        <v>49</v>
      </c>
      <c r="C152" s="1" t="s">
        <v>17</v>
      </c>
      <c r="D152" s="1" t="s">
        <v>18</v>
      </c>
      <c r="E152" s="1" t="s">
        <v>17</v>
      </c>
      <c r="F152">
        <v>1622</v>
      </c>
      <c r="G152" s="1" t="s">
        <v>19</v>
      </c>
      <c r="H152" s="1" t="s">
        <v>385</v>
      </c>
      <c r="I152" s="1" t="s">
        <v>386</v>
      </c>
      <c r="J152" s="1" t="s">
        <v>387</v>
      </c>
      <c r="K152" s="1" t="s">
        <v>388</v>
      </c>
      <c r="L152">
        <v>109</v>
      </c>
      <c r="M152" s="1" t="s">
        <v>24</v>
      </c>
      <c r="N152" s="2">
        <v>45341.368837662034</v>
      </c>
      <c r="O152" s="1" t="s">
        <v>25</v>
      </c>
      <c r="P152" s="1" t="s">
        <v>26</v>
      </c>
      <c r="Q152" s="1"/>
      <c r="R152" s="1"/>
      <c r="S152" s="1" t="str">
        <f>IF(M152="USD","DOLLAR",M152)</f>
        <v>DOLLAR</v>
      </c>
      <c r="T152" s="1" t="str">
        <f>IF(zara[[#This Row],[terms]]="jackets","jacket",IF(O152="shoes","shoe",O152))</f>
        <v>jacket</v>
      </c>
      <c r="U152" s="1">
        <f>SUMIF(O:O,zara[[#This Row],[terms]],L:L)</f>
        <v>14806.109999999982</v>
      </c>
      <c r="V152" s="1">
        <f>SUMIFS(L:L,O:O,O152)</f>
        <v>14806.109999999982</v>
      </c>
      <c r="W152" s="1" t="str">
        <f>VLOOKUP(zara[[#This Row],[price]],L:P,5,FALSE)</f>
        <v>MAN</v>
      </c>
      <c r="X152" s="1" t="str">
        <f>INDEX(O:O,MATCH(zara[[#This Row],[price]],L:L,0))</f>
        <v>t-shirts</v>
      </c>
      <c r="Y152" s="1" t="str">
        <f>INDEX(P:P,MATCH(zara[[#This Row],[price]],L:L,0))</f>
        <v>MAN</v>
      </c>
      <c r="Z152" s="1" t="str">
        <f>INDEX(P:P,MATCH(zara[[#This Row],[price]],L:L,0))</f>
        <v>MAN</v>
      </c>
      <c r="AA152" s="1">
        <f>SUMIFS(L:L,O:O,zara[[#This Row],[terms]])</f>
        <v>14806.109999999982</v>
      </c>
    </row>
    <row r="153" spans="1:27" hidden="1" x14ac:dyDescent="0.3">
      <c r="A153">
        <v>153997</v>
      </c>
      <c r="B153" s="1" t="s">
        <v>31</v>
      </c>
      <c r="C153" s="1" t="s">
        <v>17</v>
      </c>
      <c r="D153" s="1" t="s">
        <v>18</v>
      </c>
      <c r="E153" s="1" t="s">
        <v>32</v>
      </c>
      <c r="F153">
        <v>1608</v>
      </c>
      <c r="G153" s="1" t="s">
        <v>19</v>
      </c>
      <c r="H153" s="1" t="s">
        <v>766</v>
      </c>
      <c r="I153" s="1" t="s">
        <v>767</v>
      </c>
      <c r="J153" s="1" t="s">
        <v>768</v>
      </c>
      <c r="K153" s="1" t="s">
        <v>769</v>
      </c>
      <c r="L153">
        <v>45.9</v>
      </c>
      <c r="M153" s="1" t="s">
        <v>24</v>
      </c>
      <c r="N153" s="2">
        <v>45341.382551909723</v>
      </c>
      <c r="O153" s="1" t="s">
        <v>636</v>
      </c>
      <c r="P153" s="1" t="s">
        <v>637</v>
      </c>
      <c r="Q153" s="1"/>
      <c r="R153" s="1"/>
      <c r="S153" s="1" t="str">
        <f>IF(M153="USD","DOLLAR",M153)</f>
        <v>DOLLAR</v>
      </c>
      <c r="T153" s="1" t="str">
        <f>IF(zara[[#This Row],[terms]]="jackets","jacket",IF(O153="shoes","shoe",O153))</f>
        <v>sweaters</v>
      </c>
      <c r="U153" s="1">
        <f>SUMIF(O:O,zara[[#This Row],[terms]],L:L)</f>
        <v>2249.3700000000013</v>
      </c>
      <c r="V153" s="1">
        <f>SUMIFS(L:L,O:O,O153)</f>
        <v>2249.3700000000013</v>
      </c>
      <c r="W153" s="1" t="str">
        <f>VLOOKUP(zara[[#This Row],[price]],L:P,5,FALSE)</f>
        <v>MAN</v>
      </c>
      <c r="X153" s="1" t="str">
        <f>INDEX(O:O,MATCH(zara[[#This Row],[price]],L:L,0))</f>
        <v>shoes</v>
      </c>
      <c r="Y153" s="1" t="str">
        <f>INDEX(P:P,MATCH(zara[[#This Row],[price]],L:L,0))</f>
        <v>MAN</v>
      </c>
      <c r="Z153" s="1" t="str">
        <f>INDEX(P:P,MATCH(zara[[#This Row],[price]],L:L,0))</f>
        <v>MAN</v>
      </c>
      <c r="AA153" s="1">
        <f>SUMIFS(L:L,O:O,zara[[#This Row],[terms]])</f>
        <v>2249.3700000000013</v>
      </c>
    </row>
    <row r="154" spans="1:27" hidden="1" x14ac:dyDescent="0.3">
      <c r="A154">
        <v>123077</v>
      </c>
      <c r="B154" s="1" t="s">
        <v>49</v>
      </c>
      <c r="C154" s="1" t="s">
        <v>17</v>
      </c>
      <c r="D154" s="1" t="s">
        <v>18</v>
      </c>
      <c r="E154" s="1" t="s">
        <v>17</v>
      </c>
      <c r="F154">
        <v>1603</v>
      </c>
      <c r="G154" s="1" t="s">
        <v>19</v>
      </c>
      <c r="H154" s="1" t="s">
        <v>714</v>
      </c>
      <c r="I154" s="1" t="s">
        <v>473</v>
      </c>
      <c r="J154" s="1" t="s">
        <v>107</v>
      </c>
      <c r="K154" s="1" t="s">
        <v>327</v>
      </c>
      <c r="L154">
        <v>109</v>
      </c>
      <c r="M154" s="1" t="s">
        <v>24</v>
      </c>
      <c r="N154" s="2">
        <v>45341.382388449078</v>
      </c>
      <c r="O154" s="1" t="s">
        <v>836</v>
      </c>
      <c r="P154" s="1" t="s">
        <v>26</v>
      </c>
      <c r="Q154" s="1"/>
      <c r="R154" s="1"/>
      <c r="S154" s="1" t="str">
        <f>IF(M154="USD","DOLLAR",M154)</f>
        <v>DOLLAR</v>
      </c>
      <c r="T154" s="1" t="str">
        <f>IF(zara[[#This Row],[terms]]="jackets","jacket",IF(O154="shoes","shoe",O154))</f>
        <v>t-shirts</v>
      </c>
      <c r="U154" s="1">
        <f>SUMIF(O:O,zara[[#This Row],[terms]],L:L)</f>
        <v>2157.6900000000005</v>
      </c>
      <c r="V154" s="1">
        <f>SUMIFS(L:L,O:O,O154)</f>
        <v>2157.6900000000005</v>
      </c>
      <c r="W154" s="1" t="str">
        <f>VLOOKUP(zara[[#This Row],[price]],L:P,5,FALSE)</f>
        <v>MAN</v>
      </c>
      <c r="X154" s="1" t="str">
        <f>INDEX(O:O,MATCH(zara[[#This Row],[price]],L:L,0))</f>
        <v>t-shirts</v>
      </c>
      <c r="Y154" s="1" t="str">
        <f>INDEX(P:P,MATCH(zara[[#This Row],[price]],L:L,0))</f>
        <v>MAN</v>
      </c>
      <c r="Z154" s="1" t="str">
        <f>INDEX(P:P,MATCH(zara[[#This Row],[price]],L:L,0))</f>
        <v>MAN</v>
      </c>
      <c r="AA154" s="1">
        <f>SUMIFS(L:L,O:O,zara[[#This Row],[terms]])</f>
        <v>2157.6900000000005</v>
      </c>
    </row>
    <row r="155" spans="1:27" hidden="1" x14ac:dyDescent="0.3">
      <c r="A155">
        <v>122809</v>
      </c>
      <c r="B155" s="1" t="s">
        <v>31</v>
      </c>
      <c r="C155" s="1" t="s">
        <v>17</v>
      </c>
      <c r="D155" s="1" t="s">
        <v>18</v>
      </c>
      <c r="E155" s="1" t="s">
        <v>32</v>
      </c>
      <c r="F155">
        <v>1592</v>
      </c>
      <c r="G155" s="1" t="s">
        <v>19</v>
      </c>
      <c r="H155" s="1" t="s">
        <v>682</v>
      </c>
      <c r="I155" s="1" t="s">
        <v>683</v>
      </c>
      <c r="J155" s="1" t="s">
        <v>684</v>
      </c>
      <c r="K155" s="1" t="s">
        <v>685</v>
      </c>
      <c r="L155">
        <v>49.9</v>
      </c>
      <c r="M155" s="1" t="s">
        <v>24</v>
      </c>
      <c r="N155" s="2">
        <v>45341.382400636576</v>
      </c>
      <c r="O155" s="1" t="s">
        <v>636</v>
      </c>
      <c r="P155" s="1" t="s">
        <v>637</v>
      </c>
      <c r="Q155" s="1"/>
      <c r="R155" s="1"/>
      <c r="S155" s="1" t="str">
        <f>IF(M155="USD","DOLLAR",M155)</f>
        <v>DOLLAR</v>
      </c>
      <c r="T155" s="1" t="str">
        <f>IF(zara[[#This Row],[terms]]="jackets","jacket",IF(O155="shoes","shoe",O155))</f>
        <v>sweaters</v>
      </c>
      <c r="U155" s="1">
        <f>SUMIF(O:O,zara[[#This Row],[terms]],L:L)</f>
        <v>2249.3700000000013</v>
      </c>
      <c r="V155" s="1">
        <f>SUMIFS(L:L,O:O,O155)</f>
        <v>2249.3700000000013</v>
      </c>
      <c r="W155" s="1" t="str">
        <f>VLOOKUP(zara[[#This Row],[price]],L:P,5,FALSE)</f>
        <v>MAN</v>
      </c>
      <c r="X155" s="1" t="str">
        <f>INDEX(O:O,MATCH(zara[[#This Row],[price]],L:L,0))</f>
        <v>jackets</v>
      </c>
      <c r="Y155" s="1" t="str">
        <f>INDEX(P:P,MATCH(zara[[#This Row],[price]],L:L,0))</f>
        <v>MAN</v>
      </c>
      <c r="Z155" s="1" t="str">
        <f>INDEX(P:P,MATCH(zara[[#This Row],[price]],L:L,0))</f>
        <v>MAN</v>
      </c>
      <c r="AA155" s="1">
        <f>SUMIFS(L:L,O:O,zara[[#This Row],[terms]])</f>
        <v>2249.3700000000013</v>
      </c>
    </row>
    <row r="156" spans="1:27" hidden="1" x14ac:dyDescent="0.3">
      <c r="A156">
        <v>119955</v>
      </c>
      <c r="B156" s="1" t="s">
        <v>49</v>
      </c>
      <c r="C156" s="1" t="s">
        <v>17</v>
      </c>
      <c r="D156" s="1" t="s">
        <v>18</v>
      </c>
      <c r="E156" s="1" t="s">
        <v>17</v>
      </c>
      <c r="F156">
        <v>1590</v>
      </c>
      <c r="G156" s="1" t="s">
        <v>19</v>
      </c>
      <c r="H156" s="1" t="s">
        <v>217</v>
      </c>
      <c r="I156" s="1" t="s">
        <v>218</v>
      </c>
      <c r="J156" s="1" t="s">
        <v>164</v>
      </c>
      <c r="K156" s="1" t="s">
        <v>219</v>
      </c>
      <c r="L156">
        <v>89.9</v>
      </c>
      <c r="M156" s="1" t="s">
        <v>24</v>
      </c>
      <c r="N156" s="2">
        <v>45341.368495104165</v>
      </c>
      <c r="O156" s="1" t="s">
        <v>25</v>
      </c>
      <c r="P156" s="1" t="s">
        <v>26</v>
      </c>
      <c r="Q156" s="1"/>
      <c r="R156" s="1"/>
      <c r="S156" s="1" t="str">
        <f>IF(M156="USD","DOLLAR",M156)</f>
        <v>DOLLAR</v>
      </c>
      <c r="T156" s="1" t="str">
        <f>IF(zara[[#This Row],[terms]]="jackets","jacket",IF(O156="shoes","shoe",O156))</f>
        <v>jacket</v>
      </c>
      <c r="U156" s="1">
        <f>SUMIF(O:O,zara[[#This Row],[terms]],L:L)</f>
        <v>14806.109999999982</v>
      </c>
      <c r="V156" s="1">
        <f>SUMIFS(L:L,O:O,O156)</f>
        <v>14806.109999999982</v>
      </c>
      <c r="W156" s="1" t="str">
        <f>VLOOKUP(zara[[#This Row],[price]],L:P,5,FALSE)</f>
        <v>MAN</v>
      </c>
      <c r="X156" s="1" t="str">
        <f>INDEX(O:O,MATCH(zara[[#This Row],[price]],L:L,0))</f>
        <v>jackets</v>
      </c>
      <c r="Y156" s="1" t="str">
        <f>INDEX(P:P,MATCH(zara[[#This Row],[price]],L:L,0))</f>
        <v>MAN</v>
      </c>
      <c r="Z156" s="1" t="str">
        <f>INDEX(P:P,MATCH(zara[[#This Row],[price]],L:L,0))</f>
        <v>MAN</v>
      </c>
      <c r="AA156" s="1">
        <f>SUMIFS(L:L,O:O,zara[[#This Row],[terms]])</f>
        <v>14806.109999999982</v>
      </c>
    </row>
    <row r="157" spans="1:27" hidden="1" x14ac:dyDescent="0.3">
      <c r="A157">
        <v>112917</v>
      </c>
      <c r="B157" s="1" t="s">
        <v>16</v>
      </c>
      <c r="C157" s="1" t="s">
        <v>32</v>
      </c>
      <c r="D157" s="1" t="s">
        <v>18</v>
      </c>
      <c r="E157" s="1" t="s">
        <v>32</v>
      </c>
      <c r="F157">
        <v>1568</v>
      </c>
      <c r="G157" s="1" t="s">
        <v>19</v>
      </c>
      <c r="H157" s="1" t="s">
        <v>37</v>
      </c>
      <c r="I157" s="1" t="s">
        <v>38</v>
      </c>
      <c r="J157" s="1" t="s">
        <v>39</v>
      </c>
      <c r="K157" s="1" t="s">
        <v>40</v>
      </c>
      <c r="L157">
        <v>129</v>
      </c>
      <c r="M157" s="1" t="s">
        <v>24</v>
      </c>
      <c r="N157" s="2">
        <v>45341.368146782406</v>
      </c>
      <c r="O157" s="1" t="s">
        <v>25</v>
      </c>
      <c r="P157" s="1" t="s">
        <v>26</v>
      </c>
      <c r="Q157" s="1">
        <f>COUNT(F:F)</f>
        <v>252</v>
      </c>
      <c r="R157" s="1" t="s">
        <v>907</v>
      </c>
      <c r="S157" s="1" t="str">
        <f>IF(M157="USD","DOLLAR",M157)</f>
        <v>DOLLAR</v>
      </c>
      <c r="T157" s="1" t="str">
        <f>IF(zara[[#This Row],[terms]]="jackets","jacket",IF(O157="shoes","shoe",O157))</f>
        <v>jacket</v>
      </c>
      <c r="U157" s="1">
        <f>SUMIF(O:O,zara[[#This Row],[terms]],L:L)</f>
        <v>14806.109999999982</v>
      </c>
      <c r="V157" s="1">
        <f>SUMIFS(L:L,O:O,O157)</f>
        <v>14806.109999999982</v>
      </c>
      <c r="W157" s="1" t="str">
        <f>VLOOKUP(zara[[#This Row],[price]],L:P,5,FALSE)</f>
        <v>MAN</v>
      </c>
      <c r="X157" s="1" t="str">
        <f>INDEX(O:O,MATCH(zara[[#This Row],[price]],L:L,0))</f>
        <v>jackets</v>
      </c>
      <c r="Y157" s="1" t="str">
        <f>INDEX(P:P,MATCH(zara[[#This Row],[price]],L:L,0))</f>
        <v>MAN</v>
      </c>
      <c r="Z157" s="1" t="str">
        <f>INDEX(P:P,MATCH(zara[[#This Row],[price]],L:L,0))</f>
        <v>MAN</v>
      </c>
      <c r="AA157" s="1">
        <f>SUMIFS(L:L,O:O,zara[[#This Row],[terms]])</f>
        <v>14806.109999999982</v>
      </c>
    </row>
    <row r="158" spans="1:27" hidden="1" x14ac:dyDescent="0.3">
      <c r="A158">
        <v>147491</v>
      </c>
      <c r="B158" s="1" t="s">
        <v>31</v>
      </c>
      <c r="C158" s="1" t="s">
        <v>17</v>
      </c>
      <c r="D158" s="1" t="s">
        <v>18</v>
      </c>
      <c r="E158" s="1" t="s">
        <v>17</v>
      </c>
      <c r="F158">
        <v>1563</v>
      </c>
      <c r="G158" s="1" t="s">
        <v>19</v>
      </c>
      <c r="H158" s="1" t="s">
        <v>786</v>
      </c>
      <c r="I158" s="1" t="s">
        <v>787</v>
      </c>
      <c r="J158" s="1" t="s">
        <v>788</v>
      </c>
      <c r="K158" s="1" t="s">
        <v>789</v>
      </c>
      <c r="L158">
        <v>59.9</v>
      </c>
      <c r="M158" s="1" t="s">
        <v>24</v>
      </c>
      <c r="N158" s="2">
        <v>45341.37127635417</v>
      </c>
      <c r="O158" s="1" t="s">
        <v>785</v>
      </c>
      <c r="P158" s="1" t="s">
        <v>26</v>
      </c>
      <c r="Q158" s="1"/>
      <c r="R158" s="1"/>
      <c r="S158" s="1" t="str">
        <f>IF(M158="USD","DOLLAR",M158)</f>
        <v>DOLLAR</v>
      </c>
      <c r="T158" s="1" t="str">
        <f>IF(zara[[#This Row],[terms]]="jackets","jacket",IF(O158="shoes","shoe",O158))</f>
        <v>jeans</v>
      </c>
      <c r="U158" s="1">
        <f>SUMIF(O:O,zara[[#This Row],[terms]],L:L)</f>
        <v>511.39</v>
      </c>
      <c r="V158" s="1">
        <f>SUMIFS(L:L,O:O,O158)</f>
        <v>511.39</v>
      </c>
      <c r="W158" s="1" t="str">
        <f>VLOOKUP(zara[[#This Row],[price]],L:P,5,FALSE)</f>
        <v>WOMAN</v>
      </c>
      <c r="X158" s="1" t="str">
        <f>INDEX(O:O,MATCH(zara[[#This Row],[price]],L:L,0))</f>
        <v>sweaters</v>
      </c>
      <c r="Y158" s="1" t="str">
        <f>INDEX(P:P,MATCH(zara[[#This Row],[price]],L:L,0))</f>
        <v>WOMAN</v>
      </c>
      <c r="Z158" s="1" t="str">
        <f>INDEX(P:P,MATCH(zara[[#This Row],[price]],L:L,0))</f>
        <v>WOMAN</v>
      </c>
      <c r="AA158" s="1">
        <f>SUMIFS(L:L,O:O,zara[[#This Row],[terms]])</f>
        <v>511.39</v>
      </c>
    </row>
    <row r="159" spans="1:27" hidden="1" x14ac:dyDescent="0.3">
      <c r="A159">
        <v>198283</v>
      </c>
      <c r="B159" s="1" t="s">
        <v>31</v>
      </c>
      <c r="C159" s="1" t="s">
        <v>32</v>
      </c>
      <c r="D159" s="1" t="s">
        <v>18</v>
      </c>
      <c r="E159" s="1" t="s">
        <v>32</v>
      </c>
      <c r="F159">
        <v>1558</v>
      </c>
      <c r="G159" s="1" t="s">
        <v>19</v>
      </c>
      <c r="H159" s="1" t="s">
        <v>790</v>
      </c>
      <c r="I159" s="1" t="s">
        <v>791</v>
      </c>
      <c r="J159" s="1" t="s">
        <v>792</v>
      </c>
      <c r="K159" s="1" t="s">
        <v>793</v>
      </c>
      <c r="L159">
        <v>69.900000000000006</v>
      </c>
      <c r="M159" s="1" t="s">
        <v>24</v>
      </c>
      <c r="N159" s="2">
        <v>45341.371284918983</v>
      </c>
      <c r="O159" s="1" t="s">
        <v>785</v>
      </c>
      <c r="P159" s="1" t="s">
        <v>26</v>
      </c>
      <c r="Q159" s="1"/>
      <c r="R159" s="1"/>
      <c r="S159" s="1" t="str">
        <f>IF(M159="USD","DOLLAR",M159)</f>
        <v>DOLLAR</v>
      </c>
      <c r="T159" s="1" t="str">
        <f>IF(zara[[#This Row],[terms]]="jackets","jacket",IF(O159="shoes","shoe",O159))</f>
        <v>jeans</v>
      </c>
      <c r="U159" s="1">
        <f>SUMIF(O:O,zara[[#This Row],[terms]],L:L)</f>
        <v>511.39</v>
      </c>
      <c r="V159" s="1">
        <f>SUMIFS(L:L,O:O,O159)</f>
        <v>511.39</v>
      </c>
      <c r="W159" s="1" t="str">
        <f>VLOOKUP(zara[[#This Row],[price]],L:P,5,FALSE)</f>
        <v>MAN</v>
      </c>
      <c r="X159" s="1" t="str">
        <f>INDEX(O:O,MATCH(zara[[#This Row],[price]],L:L,0))</f>
        <v>jeans</v>
      </c>
      <c r="Y159" s="1" t="str">
        <f>INDEX(P:P,MATCH(zara[[#This Row],[price]],L:L,0))</f>
        <v>MAN</v>
      </c>
      <c r="Z159" s="1" t="str">
        <f>INDEX(P:P,MATCH(zara[[#This Row],[price]],L:L,0))</f>
        <v>MAN</v>
      </c>
      <c r="AA159" s="1">
        <f>SUMIFS(L:L,O:O,zara[[#This Row],[terms]])</f>
        <v>511.39</v>
      </c>
    </row>
    <row r="160" spans="1:27" hidden="1" x14ac:dyDescent="0.3">
      <c r="A160">
        <v>189692</v>
      </c>
      <c r="B160" s="1" t="s">
        <v>31</v>
      </c>
      <c r="C160" s="1" t="s">
        <v>32</v>
      </c>
      <c r="D160" s="1" t="s">
        <v>18</v>
      </c>
      <c r="E160" s="1" t="s">
        <v>17</v>
      </c>
      <c r="F160">
        <v>1553</v>
      </c>
      <c r="G160" s="1" t="s">
        <v>19</v>
      </c>
      <c r="H160" s="1" t="s">
        <v>849</v>
      </c>
      <c r="I160" s="1" t="s">
        <v>850</v>
      </c>
      <c r="J160" s="1" t="s">
        <v>851</v>
      </c>
      <c r="K160" s="1" t="s">
        <v>852</v>
      </c>
      <c r="L160">
        <v>39.9</v>
      </c>
      <c r="M160" s="1" t="s">
        <v>24</v>
      </c>
      <c r="N160" s="2">
        <v>45341.372551469911</v>
      </c>
      <c r="O160" s="1" t="s">
        <v>836</v>
      </c>
      <c r="P160" s="1" t="s">
        <v>26</v>
      </c>
      <c r="Q160" s="1"/>
      <c r="R160" s="1"/>
      <c r="S160" s="1" t="str">
        <f>IF(M160="USD","DOLLAR",M160)</f>
        <v>DOLLAR</v>
      </c>
      <c r="T160" s="1" t="str">
        <f>IF(zara[[#This Row],[terms]]="jackets","jacket",IF(O160="shoes","shoe",O160))</f>
        <v>t-shirts</v>
      </c>
      <c r="U160" s="1">
        <f>SUMIF(O:O,zara[[#This Row],[terms]],L:L)</f>
        <v>2157.6900000000005</v>
      </c>
      <c r="V160" s="1">
        <f>SUMIFS(L:L,O:O,O160)</f>
        <v>2157.6900000000005</v>
      </c>
      <c r="W160" s="1" t="str">
        <f>VLOOKUP(zara[[#This Row],[price]],L:P,5,FALSE)</f>
        <v>MAN</v>
      </c>
      <c r="X160" s="1" t="str">
        <f>INDEX(O:O,MATCH(zara[[#This Row],[price]],L:L,0))</f>
        <v>jackets</v>
      </c>
      <c r="Y160" s="1" t="str">
        <f>INDEX(P:P,MATCH(zara[[#This Row],[price]],L:L,0))</f>
        <v>MAN</v>
      </c>
      <c r="Z160" s="1" t="str">
        <f>INDEX(P:P,MATCH(zara[[#This Row],[price]],L:L,0))</f>
        <v>MAN</v>
      </c>
      <c r="AA160" s="1">
        <f>SUMIFS(L:L,O:O,zara[[#This Row],[terms]])</f>
        <v>2157.6900000000005</v>
      </c>
    </row>
    <row r="161" spans="1:27" hidden="1" x14ac:dyDescent="0.3">
      <c r="A161">
        <v>182866</v>
      </c>
      <c r="B161" s="1" t="s">
        <v>16</v>
      </c>
      <c r="C161" s="1" t="s">
        <v>17</v>
      </c>
      <c r="D161" s="1" t="s">
        <v>18</v>
      </c>
      <c r="E161" s="1" t="s">
        <v>32</v>
      </c>
      <c r="F161">
        <v>1552</v>
      </c>
      <c r="G161" s="1" t="s">
        <v>19</v>
      </c>
      <c r="H161" s="1" t="s">
        <v>698</v>
      </c>
      <c r="I161" s="1" t="s">
        <v>699</v>
      </c>
      <c r="J161" s="1" t="s">
        <v>700</v>
      </c>
      <c r="K161" s="1" t="s">
        <v>701</v>
      </c>
      <c r="L161">
        <v>39.9</v>
      </c>
      <c r="M161" s="1" t="s">
        <v>24</v>
      </c>
      <c r="N161" s="2">
        <v>45341.382430740741</v>
      </c>
      <c r="O161" s="1" t="s">
        <v>636</v>
      </c>
      <c r="P161" s="1" t="s">
        <v>637</v>
      </c>
      <c r="Q161" s="1"/>
      <c r="R161" s="1"/>
      <c r="S161" s="1" t="str">
        <f>IF(M161="USD","DOLLAR",M161)</f>
        <v>DOLLAR</v>
      </c>
      <c r="T161" s="1" t="str">
        <f>IF(zara[[#This Row],[terms]]="jackets","jacket",IF(O161="shoes","shoe",O161))</f>
        <v>sweaters</v>
      </c>
      <c r="U161" s="1">
        <f>SUMIF(O:O,zara[[#This Row],[terms]],L:L)</f>
        <v>2249.3700000000013</v>
      </c>
      <c r="V161" s="1">
        <f>SUMIFS(L:L,O:O,O161)</f>
        <v>2249.3700000000013</v>
      </c>
      <c r="W161" s="1" t="str">
        <f>VLOOKUP(zara[[#This Row],[price]],L:P,5,FALSE)</f>
        <v>MAN</v>
      </c>
      <c r="X161" s="1" t="str">
        <f>INDEX(O:O,MATCH(zara[[#This Row],[price]],L:L,0))</f>
        <v>jackets</v>
      </c>
      <c r="Y161" s="1" t="str">
        <f>INDEX(P:P,MATCH(zara[[#This Row],[price]],L:L,0))</f>
        <v>MAN</v>
      </c>
      <c r="Z161" s="1" t="str">
        <f>INDEX(P:P,MATCH(zara[[#This Row],[price]],L:L,0))</f>
        <v>MAN</v>
      </c>
      <c r="AA161" s="1">
        <f>SUMIFS(L:L,O:O,zara[[#This Row],[terms]])</f>
        <v>2249.3700000000013</v>
      </c>
    </row>
    <row r="162" spans="1:27" hidden="1" x14ac:dyDescent="0.3">
      <c r="A162">
        <v>146839</v>
      </c>
      <c r="B162" s="1" t="s">
        <v>16</v>
      </c>
      <c r="C162" s="1" t="s">
        <v>17</v>
      </c>
      <c r="D162" s="1" t="s">
        <v>18</v>
      </c>
      <c r="E162" s="1" t="s">
        <v>17</v>
      </c>
      <c r="F162">
        <v>1525</v>
      </c>
      <c r="G162" s="1" t="s">
        <v>19</v>
      </c>
      <c r="H162" s="1" t="s">
        <v>376</v>
      </c>
      <c r="I162" s="1" t="s">
        <v>377</v>
      </c>
      <c r="J162" s="1" t="s">
        <v>164</v>
      </c>
      <c r="K162" s="1" t="s">
        <v>378</v>
      </c>
      <c r="L162">
        <v>109</v>
      </c>
      <c r="M162" s="1" t="s">
        <v>24</v>
      </c>
      <c r="N162" s="2">
        <v>45341.368822233795</v>
      </c>
      <c r="O162" s="1" t="s">
        <v>25</v>
      </c>
      <c r="P162" s="1" t="s">
        <v>26</v>
      </c>
      <c r="Q162" s="1"/>
      <c r="R162" s="1"/>
      <c r="S162" s="1" t="str">
        <f>IF(M162="USD","DOLLAR",M162)</f>
        <v>DOLLAR</v>
      </c>
      <c r="T162" s="1" t="str">
        <f>IF(zara[[#This Row],[terms]]="jackets","jacket",IF(O162="shoes","shoe",O162))</f>
        <v>jacket</v>
      </c>
      <c r="U162" s="1">
        <f>SUMIF(O:O,zara[[#This Row],[terms]],L:L)</f>
        <v>14806.109999999982</v>
      </c>
      <c r="V162" s="1">
        <f>SUMIFS(L:L,O:O,O162)</f>
        <v>14806.109999999982</v>
      </c>
      <c r="W162" s="1" t="str">
        <f>VLOOKUP(zara[[#This Row],[price]],L:P,5,FALSE)</f>
        <v>MAN</v>
      </c>
      <c r="X162" s="1" t="str">
        <f>INDEX(O:O,MATCH(zara[[#This Row],[price]],L:L,0))</f>
        <v>t-shirts</v>
      </c>
      <c r="Y162" s="1" t="str">
        <f>INDEX(P:P,MATCH(zara[[#This Row],[price]],L:L,0))</f>
        <v>MAN</v>
      </c>
      <c r="Z162" s="1" t="str">
        <f>INDEX(P:P,MATCH(zara[[#This Row],[price]],L:L,0))</f>
        <v>MAN</v>
      </c>
      <c r="AA162" s="1">
        <f>SUMIFS(L:L,O:O,zara[[#This Row],[terms]])</f>
        <v>14806.109999999982</v>
      </c>
    </row>
    <row r="163" spans="1:27" x14ac:dyDescent="0.3">
      <c r="A163">
        <v>168270</v>
      </c>
      <c r="B163" s="1" t="s">
        <v>31</v>
      </c>
      <c r="C163" s="1" t="s">
        <v>32</v>
      </c>
      <c r="D163" s="1" t="s">
        <v>18</v>
      </c>
      <c r="E163" s="1" t="s">
        <v>32</v>
      </c>
      <c r="F163">
        <v>1525</v>
      </c>
      <c r="G163" s="1" t="s">
        <v>19</v>
      </c>
      <c r="H163" s="1" t="s">
        <v>610</v>
      </c>
      <c r="I163" s="1" t="s">
        <v>611</v>
      </c>
      <c r="J163" s="1" t="s">
        <v>544</v>
      </c>
      <c r="K163" s="1" t="s">
        <v>612</v>
      </c>
      <c r="L163">
        <v>69.900000000000006</v>
      </c>
      <c r="M163" s="1" t="s">
        <v>24</v>
      </c>
      <c r="N163" s="2">
        <v>45341.375551886573</v>
      </c>
      <c r="O163" s="1" t="s">
        <v>517</v>
      </c>
      <c r="P163" s="1" t="s">
        <v>26</v>
      </c>
      <c r="Q163" s="1"/>
      <c r="R163" s="1"/>
      <c r="S163" s="1" t="str">
        <f>IF(M163="USD","DOLLAR",M163)</f>
        <v>DOLLAR</v>
      </c>
      <c r="T163" s="1" t="str">
        <f>IF(zara[[#This Row],[terms]]="jackets","jacket",IF(O163="shoes","shoe",O163))</f>
        <v>shoe</v>
      </c>
      <c r="U163" s="1">
        <f>SUMIF(O:O,zara[[#This Row],[terms]],L:L)</f>
        <v>2011.0800000000013</v>
      </c>
      <c r="V163" s="1">
        <f>SUMIFS(L:L,O:O,O163)</f>
        <v>2011.0800000000013</v>
      </c>
      <c r="W163" s="1" t="str">
        <f>VLOOKUP(zara[[#This Row],[price]],L:P,5,FALSE)</f>
        <v>MAN</v>
      </c>
      <c r="X163" s="1" t="str">
        <f>INDEX(O:O,MATCH(zara[[#This Row],[price]],L:L,0))</f>
        <v>jeans</v>
      </c>
      <c r="Y163" s="1" t="str">
        <f>INDEX(P:P,MATCH(zara[[#This Row],[price]],L:L,0))</f>
        <v>MAN</v>
      </c>
      <c r="Z163" s="1" t="str">
        <f>INDEX(P:P,MATCH(zara[[#This Row],[price]],L:L,0))</f>
        <v>MAN</v>
      </c>
      <c r="AA163" s="1">
        <f>SUMIFS(L:L,O:O,zara[[#This Row],[terms]])</f>
        <v>2011.0800000000013</v>
      </c>
    </row>
    <row r="164" spans="1:27" hidden="1" x14ac:dyDescent="0.3">
      <c r="A164">
        <v>183243</v>
      </c>
      <c r="B164" s="1" t="s">
        <v>49</v>
      </c>
      <c r="C164" s="1" t="s">
        <v>32</v>
      </c>
      <c r="D164" s="1" t="s">
        <v>18</v>
      </c>
      <c r="E164" s="1" t="s">
        <v>17</v>
      </c>
      <c r="F164">
        <v>1524</v>
      </c>
      <c r="G164" s="1" t="s">
        <v>19</v>
      </c>
      <c r="H164" s="1" t="s">
        <v>121</v>
      </c>
      <c r="I164" s="1" t="s">
        <v>122</v>
      </c>
      <c r="J164" s="1" t="s">
        <v>123</v>
      </c>
      <c r="K164" s="1" t="s">
        <v>124</v>
      </c>
      <c r="L164">
        <v>169</v>
      </c>
      <c r="M164" s="1" t="s">
        <v>24</v>
      </c>
      <c r="N164" s="2">
        <v>45341.368285868055</v>
      </c>
      <c r="O164" s="1" t="s">
        <v>25</v>
      </c>
      <c r="P164" s="1" t="s">
        <v>26</v>
      </c>
      <c r="Q164" s="1"/>
      <c r="R164" s="1"/>
      <c r="S164" s="1" t="str">
        <f>IF(M164="USD","DOLLAR",M164)</f>
        <v>DOLLAR</v>
      </c>
      <c r="T164" s="1" t="str">
        <f>IF(zara[[#This Row],[terms]]="jackets","jacket",IF(O164="shoes","shoe",O164))</f>
        <v>jacket</v>
      </c>
      <c r="U164" s="1">
        <f>SUMIF(O:O,zara[[#This Row],[terms]],L:L)</f>
        <v>14806.109999999982</v>
      </c>
      <c r="V164" s="1">
        <f>SUMIFS(L:L,O:O,O164)</f>
        <v>14806.109999999982</v>
      </c>
      <c r="W164" s="1" t="str">
        <f>VLOOKUP(zara[[#This Row],[price]],L:P,5,FALSE)</f>
        <v>MAN</v>
      </c>
      <c r="X164" s="1" t="str">
        <f>INDEX(O:O,MATCH(zara[[#This Row],[price]],L:L,0))</f>
        <v>jackets</v>
      </c>
      <c r="Y164" s="1" t="str">
        <f>INDEX(P:P,MATCH(zara[[#This Row],[price]],L:L,0))</f>
        <v>MAN</v>
      </c>
      <c r="Z164" s="1" t="str">
        <f>INDEX(P:P,MATCH(zara[[#This Row],[price]],L:L,0))</f>
        <v>MAN</v>
      </c>
      <c r="AA164" s="1">
        <f>SUMIFS(L:L,O:O,zara[[#This Row],[terms]])</f>
        <v>14806.109999999982</v>
      </c>
    </row>
    <row r="165" spans="1:27" hidden="1" x14ac:dyDescent="0.3">
      <c r="A165">
        <v>172816</v>
      </c>
      <c r="B165" s="1" t="s">
        <v>16</v>
      </c>
      <c r="C165" s="1" t="s">
        <v>17</v>
      </c>
      <c r="D165" s="1" t="s">
        <v>18</v>
      </c>
      <c r="E165" s="1" t="s">
        <v>32</v>
      </c>
      <c r="F165">
        <v>1524</v>
      </c>
      <c r="G165" s="1" t="s">
        <v>19</v>
      </c>
      <c r="H165" s="1" t="s">
        <v>812</v>
      </c>
      <c r="I165" s="1" t="s">
        <v>813</v>
      </c>
      <c r="J165" s="1" t="s">
        <v>814</v>
      </c>
      <c r="K165" s="1" t="s">
        <v>815</v>
      </c>
      <c r="L165">
        <v>69.900000000000006</v>
      </c>
      <c r="M165" s="1" t="s">
        <v>24</v>
      </c>
      <c r="N165" s="2">
        <v>45341.371345960652</v>
      </c>
      <c r="O165" s="1" t="s">
        <v>636</v>
      </c>
      <c r="P165" s="1" t="s">
        <v>26</v>
      </c>
      <c r="Q165" s="1"/>
      <c r="R165" s="1"/>
      <c r="S165" s="1" t="str">
        <f>IF(M165="USD","DOLLAR",M165)</f>
        <v>DOLLAR</v>
      </c>
      <c r="T165" s="1" t="str">
        <f>IF(zara[[#This Row],[terms]]="jackets","jacket",IF(O165="shoes","shoe",O165))</f>
        <v>sweaters</v>
      </c>
      <c r="U165" s="1">
        <f>SUMIF(O:O,zara[[#This Row],[terms]],L:L)</f>
        <v>2249.3700000000013</v>
      </c>
      <c r="V165" s="1">
        <f>SUMIFS(L:L,O:O,O165)</f>
        <v>2249.3700000000013</v>
      </c>
      <c r="W165" s="1" t="str">
        <f>VLOOKUP(zara[[#This Row],[price]],L:P,5,FALSE)</f>
        <v>MAN</v>
      </c>
      <c r="X165" s="1" t="str">
        <f>INDEX(O:O,MATCH(zara[[#This Row],[price]],L:L,0))</f>
        <v>jeans</v>
      </c>
      <c r="Y165" s="1" t="str">
        <f>INDEX(P:P,MATCH(zara[[#This Row],[price]],L:L,0))</f>
        <v>MAN</v>
      </c>
      <c r="Z165" s="1" t="str">
        <f>INDEX(P:P,MATCH(zara[[#This Row],[price]],L:L,0))</f>
        <v>MAN</v>
      </c>
      <c r="AA165" s="1">
        <f>SUMIFS(L:L,O:O,zara[[#This Row],[terms]])</f>
        <v>2249.3700000000013</v>
      </c>
    </row>
    <row r="166" spans="1:27" hidden="1" x14ac:dyDescent="0.3">
      <c r="A166">
        <v>135610</v>
      </c>
      <c r="B166" s="1" t="s">
        <v>16</v>
      </c>
      <c r="C166" s="1" t="s">
        <v>32</v>
      </c>
      <c r="D166" s="1" t="s">
        <v>18</v>
      </c>
      <c r="E166" s="1" t="s">
        <v>32</v>
      </c>
      <c r="F166">
        <v>1513</v>
      </c>
      <c r="G166" s="1" t="s">
        <v>19</v>
      </c>
      <c r="H166" s="1" t="s">
        <v>264</v>
      </c>
      <c r="I166" s="1" t="s">
        <v>265</v>
      </c>
      <c r="J166" s="1" t="s">
        <v>266</v>
      </c>
      <c r="K166" s="1" t="s">
        <v>267</v>
      </c>
      <c r="L166">
        <v>109</v>
      </c>
      <c r="M166" s="1" t="s">
        <v>24</v>
      </c>
      <c r="N166" s="2">
        <v>45341.368576782406</v>
      </c>
      <c r="O166" s="1" t="s">
        <v>25</v>
      </c>
      <c r="P166" s="1" t="s">
        <v>26</v>
      </c>
      <c r="Q166" s="1"/>
      <c r="R166" s="1"/>
      <c r="S166" s="1" t="str">
        <f>IF(M166="USD","DOLLAR",M166)</f>
        <v>DOLLAR</v>
      </c>
      <c r="T166" s="1" t="str">
        <f>IF(zara[[#This Row],[terms]]="jackets","jacket",IF(O166="shoes","shoe",O166))</f>
        <v>jacket</v>
      </c>
      <c r="U166" s="1">
        <f>SUMIF(O:O,zara[[#This Row],[terms]],L:L)</f>
        <v>14806.109999999982</v>
      </c>
      <c r="V166" s="1">
        <f>SUMIFS(L:L,O:O,O166)</f>
        <v>14806.109999999982</v>
      </c>
      <c r="W166" s="1" t="str">
        <f>VLOOKUP(zara[[#This Row],[price]],L:P,5,FALSE)</f>
        <v>MAN</v>
      </c>
      <c r="X166" s="1" t="str">
        <f>INDEX(O:O,MATCH(zara[[#This Row],[price]],L:L,0))</f>
        <v>t-shirts</v>
      </c>
      <c r="Y166" s="1" t="str">
        <f>INDEX(P:P,MATCH(zara[[#This Row],[price]],L:L,0))</f>
        <v>MAN</v>
      </c>
      <c r="Z166" s="1" t="str">
        <f>INDEX(P:P,MATCH(zara[[#This Row],[price]],L:L,0))</f>
        <v>MAN</v>
      </c>
      <c r="AA166" s="1">
        <f>SUMIFS(L:L,O:O,zara[[#This Row],[terms]])</f>
        <v>14806.109999999982</v>
      </c>
    </row>
    <row r="167" spans="1:27" hidden="1" x14ac:dyDescent="0.3">
      <c r="A167">
        <v>117725</v>
      </c>
      <c r="B167" s="1" t="s">
        <v>16</v>
      </c>
      <c r="C167" s="1" t="s">
        <v>17</v>
      </c>
      <c r="D167" s="1" t="s">
        <v>18</v>
      </c>
      <c r="E167" s="1" t="s">
        <v>32</v>
      </c>
      <c r="F167">
        <v>1506</v>
      </c>
      <c r="G167" s="1" t="s">
        <v>19</v>
      </c>
      <c r="H167" s="1" t="s">
        <v>296</v>
      </c>
      <c r="I167" s="1" t="s">
        <v>297</v>
      </c>
      <c r="J167" s="1" t="s">
        <v>298</v>
      </c>
      <c r="K167" s="1" t="s">
        <v>299</v>
      </c>
      <c r="L167">
        <v>109</v>
      </c>
      <c r="M167" s="1" t="s">
        <v>24</v>
      </c>
      <c r="N167" s="2">
        <v>45341.368659791668</v>
      </c>
      <c r="O167" s="1" t="s">
        <v>25</v>
      </c>
      <c r="P167" s="1" t="s">
        <v>26</v>
      </c>
      <c r="Q167" s="1"/>
      <c r="R167" s="1"/>
      <c r="S167" s="1" t="str">
        <f>IF(M167="USD","DOLLAR",M167)</f>
        <v>DOLLAR</v>
      </c>
      <c r="T167" s="1" t="str">
        <f>IF(zara[[#This Row],[terms]]="jackets","jacket",IF(O167="shoes","shoe",O167))</f>
        <v>jacket</v>
      </c>
      <c r="U167" s="1">
        <f>SUMIF(O:O,zara[[#This Row],[terms]],L:L)</f>
        <v>14806.109999999982</v>
      </c>
      <c r="V167" s="1">
        <f>SUMIFS(L:L,O:O,O167)</f>
        <v>14806.109999999982</v>
      </c>
      <c r="W167" s="1" t="str">
        <f>VLOOKUP(zara[[#This Row],[price]],L:P,5,FALSE)</f>
        <v>MAN</v>
      </c>
      <c r="X167" s="1" t="str">
        <f>INDEX(O:O,MATCH(zara[[#This Row],[price]],L:L,0))</f>
        <v>t-shirts</v>
      </c>
      <c r="Y167" s="1" t="str">
        <f>INDEX(P:P,MATCH(zara[[#This Row],[price]],L:L,0))</f>
        <v>MAN</v>
      </c>
      <c r="Z167" s="1" t="str">
        <f>INDEX(P:P,MATCH(zara[[#This Row],[price]],L:L,0))</f>
        <v>MAN</v>
      </c>
      <c r="AA167" s="1">
        <f>SUMIFS(L:L,O:O,zara[[#This Row],[terms]])</f>
        <v>14806.109999999982</v>
      </c>
    </row>
    <row r="168" spans="1:27" hidden="1" x14ac:dyDescent="0.3">
      <c r="A168">
        <v>175927</v>
      </c>
      <c r="B168" s="1" t="s">
        <v>31</v>
      </c>
      <c r="C168" s="1" t="s">
        <v>17</v>
      </c>
      <c r="D168" s="1" t="s">
        <v>18</v>
      </c>
      <c r="E168" s="1" t="s">
        <v>32</v>
      </c>
      <c r="F168">
        <v>1506</v>
      </c>
      <c r="G168" s="1" t="s">
        <v>19</v>
      </c>
      <c r="H168" s="1" t="s">
        <v>478</v>
      </c>
      <c r="I168" s="1" t="s">
        <v>479</v>
      </c>
      <c r="J168" s="1" t="s">
        <v>480</v>
      </c>
      <c r="K168" s="1" t="s">
        <v>481</v>
      </c>
      <c r="L168">
        <v>109</v>
      </c>
      <c r="M168" s="1" t="s">
        <v>24</v>
      </c>
      <c r="N168" s="2">
        <v>45341.36920346065</v>
      </c>
      <c r="O168" s="1" t="s">
        <v>25</v>
      </c>
      <c r="P168" s="1" t="s">
        <v>26</v>
      </c>
      <c r="Q168" s="1"/>
      <c r="R168" s="1"/>
      <c r="S168" s="1" t="str">
        <f>IF(M168="USD","DOLLAR",M168)</f>
        <v>DOLLAR</v>
      </c>
      <c r="T168" s="1" t="str">
        <f>IF(zara[[#This Row],[terms]]="jackets","jacket",IF(O168="shoes","shoe",O168))</f>
        <v>jacket</v>
      </c>
      <c r="U168" s="1">
        <f>SUMIF(O:O,zara[[#This Row],[terms]],L:L)</f>
        <v>14806.109999999982</v>
      </c>
      <c r="V168" s="1">
        <f>SUMIFS(L:L,O:O,O168)</f>
        <v>14806.109999999982</v>
      </c>
      <c r="W168" s="1" t="str">
        <f>VLOOKUP(zara[[#This Row],[price]],L:P,5,FALSE)</f>
        <v>MAN</v>
      </c>
      <c r="X168" s="1" t="str">
        <f>INDEX(O:O,MATCH(zara[[#This Row],[price]],L:L,0))</f>
        <v>t-shirts</v>
      </c>
      <c r="Y168" s="1" t="str">
        <f>INDEX(P:P,MATCH(zara[[#This Row],[price]],L:L,0))</f>
        <v>MAN</v>
      </c>
      <c r="Z168" s="1" t="str">
        <f>INDEX(P:P,MATCH(zara[[#This Row],[price]],L:L,0))</f>
        <v>MAN</v>
      </c>
      <c r="AA168" s="1">
        <f>SUMIFS(L:L,O:O,zara[[#This Row],[terms]])</f>
        <v>14806.109999999982</v>
      </c>
    </row>
    <row r="169" spans="1:27" x14ac:dyDescent="0.3">
      <c r="A169">
        <v>146804</v>
      </c>
      <c r="B169" s="1" t="s">
        <v>16</v>
      </c>
      <c r="C169" s="1" t="s">
        <v>32</v>
      </c>
      <c r="D169" s="1" t="s">
        <v>18</v>
      </c>
      <c r="E169" s="1" t="s">
        <v>17</v>
      </c>
      <c r="F169">
        <v>1504</v>
      </c>
      <c r="G169" s="1" t="s">
        <v>19</v>
      </c>
      <c r="H169" s="1" t="s">
        <v>629</v>
      </c>
      <c r="I169" s="1" t="s">
        <v>630</v>
      </c>
      <c r="J169" s="1" t="s">
        <v>584</v>
      </c>
      <c r="K169" s="1" t="s">
        <v>631</v>
      </c>
      <c r="L169">
        <v>69.900000000000006</v>
      </c>
      <c r="M169" s="1" t="s">
        <v>24</v>
      </c>
      <c r="N169" s="2">
        <v>45341.375596180558</v>
      </c>
      <c r="O169" s="1" t="s">
        <v>517</v>
      </c>
      <c r="P169" s="1" t="s">
        <v>26</v>
      </c>
      <c r="Q169" s="1"/>
      <c r="R169" s="1"/>
      <c r="S169" s="1" t="str">
        <f>IF(M169="USD","DOLLAR",M169)</f>
        <v>DOLLAR</v>
      </c>
      <c r="T169" s="1" t="str">
        <f>IF(zara[[#This Row],[terms]]="jackets","jacket",IF(O169="shoes","shoe",O169))</f>
        <v>shoe</v>
      </c>
      <c r="U169" s="1">
        <f>SUMIF(O:O,zara[[#This Row],[terms]],L:L)</f>
        <v>2011.0800000000013</v>
      </c>
      <c r="V169" s="1">
        <f>SUMIFS(L:L,O:O,O169)</f>
        <v>2011.0800000000013</v>
      </c>
      <c r="W169" s="1" t="str">
        <f>VLOOKUP(zara[[#This Row],[price]],L:P,5,FALSE)</f>
        <v>MAN</v>
      </c>
      <c r="X169" s="1" t="str">
        <f>INDEX(O:O,MATCH(zara[[#This Row],[price]],L:L,0))</f>
        <v>jeans</v>
      </c>
      <c r="Y169" s="1" t="str">
        <f>INDEX(P:P,MATCH(zara[[#This Row],[price]],L:L,0))</f>
        <v>MAN</v>
      </c>
      <c r="Z169" s="1" t="str">
        <f>INDEX(P:P,MATCH(zara[[#This Row],[price]],L:L,0))</f>
        <v>MAN</v>
      </c>
      <c r="AA169" s="1">
        <f>SUMIFS(L:L,O:O,zara[[#This Row],[terms]])</f>
        <v>2011.0800000000013</v>
      </c>
    </row>
    <row r="170" spans="1:27" x14ac:dyDescent="0.3">
      <c r="A170">
        <v>167599</v>
      </c>
      <c r="B170" s="1" t="s">
        <v>16</v>
      </c>
      <c r="C170" s="1" t="s">
        <v>17</v>
      </c>
      <c r="D170" s="1" t="s">
        <v>18</v>
      </c>
      <c r="E170" s="1" t="s">
        <v>17</v>
      </c>
      <c r="F170">
        <v>1500</v>
      </c>
      <c r="G170" s="1" t="s">
        <v>19</v>
      </c>
      <c r="H170" s="1" t="s">
        <v>574</v>
      </c>
      <c r="I170" s="1" t="s">
        <v>575</v>
      </c>
      <c r="J170" s="1" t="s">
        <v>576</v>
      </c>
      <c r="K170" s="1" t="s">
        <v>577</v>
      </c>
      <c r="L170">
        <v>59.9</v>
      </c>
      <c r="M170" s="1" t="s">
        <v>24</v>
      </c>
      <c r="N170" s="2">
        <v>45341.37546815972</v>
      </c>
      <c r="O170" s="1" t="s">
        <v>517</v>
      </c>
      <c r="P170" s="1" t="s">
        <v>26</v>
      </c>
      <c r="Q170" s="1"/>
      <c r="R170" s="1"/>
      <c r="S170" s="1" t="str">
        <f>IF(M170="USD","DOLLAR",M170)</f>
        <v>DOLLAR</v>
      </c>
      <c r="T170" s="1" t="str">
        <f>IF(zara[[#This Row],[terms]]="jackets","jacket",IF(O170="shoes","shoe",O170))</f>
        <v>shoe</v>
      </c>
      <c r="U170" s="1">
        <f>SUMIF(O:O,zara[[#This Row],[terms]],L:L)</f>
        <v>2011.0800000000013</v>
      </c>
      <c r="V170" s="1">
        <f>SUMIFS(L:L,O:O,O170)</f>
        <v>2011.0800000000013</v>
      </c>
      <c r="W170" s="1" t="str">
        <f>VLOOKUP(zara[[#This Row],[price]],L:P,5,FALSE)</f>
        <v>WOMAN</v>
      </c>
      <c r="X170" s="1" t="str">
        <f>INDEX(O:O,MATCH(zara[[#This Row],[price]],L:L,0))</f>
        <v>sweaters</v>
      </c>
      <c r="Y170" s="1" t="str">
        <f>INDEX(P:P,MATCH(zara[[#This Row],[price]],L:L,0))</f>
        <v>WOMAN</v>
      </c>
      <c r="Z170" s="1" t="str">
        <f>INDEX(P:P,MATCH(zara[[#This Row],[price]],L:L,0))</f>
        <v>WOMAN</v>
      </c>
      <c r="AA170" s="1">
        <f>SUMIFS(L:L,O:O,zara[[#This Row],[terms]])</f>
        <v>2011.0800000000013</v>
      </c>
    </row>
    <row r="171" spans="1:27" x14ac:dyDescent="0.3">
      <c r="A171">
        <v>127644</v>
      </c>
      <c r="B171" s="1" t="s">
        <v>49</v>
      </c>
      <c r="C171" s="1" t="s">
        <v>17</v>
      </c>
      <c r="D171" s="1" t="s">
        <v>18</v>
      </c>
      <c r="E171" s="1" t="s">
        <v>32</v>
      </c>
      <c r="F171">
        <v>1498</v>
      </c>
      <c r="G171" s="1" t="s">
        <v>19</v>
      </c>
      <c r="H171" s="1" t="s">
        <v>546</v>
      </c>
      <c r="I171" s="1" t="s">
        <v>547</v>
      </c>
      <c r="J171" s="1" t="s">
        <v>548</v>
      </c>
      <c r="K171" s="1" t="s">
        <v>549</v>
      </c>
      <c r="L171">
        <v>45.9</v>
      </c>
      <c r="M171" s="1" t="s">
        <v>24</v>
      </c>
      <c r="N171" s="2">
        <v>45341.37539371528</v>
      </c>
      <c r="O171" s="1" t="s">
        <v>517</v>
      </c>
      <c r="P171" s="1" t="s">
        <v>26</v>
      </c>
      <c r="Q171" s="1"/>
      <c r="R171" s="1"/>
      <c r="S171" s="1" t="str">
        <f>IF(M171="USD","DOLLAR",M171)</f>
        <v>DOLLAR</v>
      </c>
      <c r="T171" s="1" t="str">
        <f>IF(zara[[#This Row],[terms]]="jackets","jacket",IF(O171="shoes","shoe",O171))</f>
        <v>shoe</v>
      </c>
      <c r="U171" s="1">
        <f>SUMIF(O:O,zara[[#This Row],[terms]],L:L)</f>
        <v>2011.0800000000013</v>
      </c>
      <c r="V171" s="1">
        <f>SUMIFS(L:L,O:O,O171)</f>
        <v>2011.0800000000013</v>
      </c>
      <c r="W171" s="1" t="str">
        <f>VLOOKUP(zara[[#This Row],[price]],L:P,5,FALSE)</f>
        <v>MAN</v>
      </c>
      <c r="X171" s="1" t="str">
        <f>INDEX(O:O,MATCH(zara[[#This Row],[price]],L:L,0))</f>
        <v>shoes</v>
      </c>
      <c r="Y171" s="1" t="str">
        <f>INDEX(P:P,MATCH(zara[[#This Row],[price]],L:L,0))</f>
        <v>MAN</v>
      </c>
      <c r="Z171" s="1" t="str">
        <f>INDEX(P:P,MATCH(zara[[#This Row],[price]],L:L,0))</f>
        <v>MAN</v>
      </c>
      <c r="AA171" s="1">
        <f>SUMIFS(L:L,O:O,zara[[#This Row],[terms]])</f>
        <v>2011.0800000000013</v>
      </c>
    </row>
    <row r="172" spans="1:27" hidden="1" x14ac:dyDescent="0.3">
      <c r="A172">
        <v>111760</v>
      </c>
      <c r="B172" s="1" t="s">
        <v>31</v>
      </c>
      <c r="C172" s="1" t="s">
        <v>17</v>
      </c>
      <c r="D172" s="1" t="s">
        <v>18</v>
      </c>
      <c r="E172" s="1" t="s">
        <v>17</v>
      </c>
      <c r="F172">
        <v>1474</v>
      </c>
      <c r="G172" s="1" t="s">
        <v>19</v>
      </c>
      <c r="H172" s="1" t="s">
        <v>192</v>
      </c>
      <c r="I172" s="1" t="s">
        <v>193</v>
      </c>
      <c r="J172" s="1" t="s">
        <v>194</v>
      </c>
      <c r="K172" s="1" t="s">
        <v>195</v>
      </c>
      <c r="L172">
        <v>109</v>
      </c>
      <c r="M172" s="1" t="s">
        <v>24</v>
      </c>
      <c r="N172" s="2">
        <v>45341.368439097219</v>
      </c>
      <c r="O172" s="1" t="s">
        <v>25</v>
      </c>
      <c r="P172" s="1" t="s">
        <v>26</v>
      </c>
      <c r="Q172" s="1"/>
      <c r="R172" s="1"/>
      <c r="S172" s="1" t="str">
        <f>IF(M172="USD","DOLLAR",M172)</f>
        <v>DOLLAR</v>
      </c>
      <c r="T172" s="1" t="str">
        <f>IF(zara[[#This Row],[terms]]="jackets","jacket",IF(O172="shoes","shoe",O172))</f>
        <v>jacket</v>
      </c>
      <c r="U172" s="1">
        <f>SUMIF(O:O,zara[[#This Row],[terms]],L:L)</f>
        <v>14806.109999999982</v>
      </c>
      <c r="V172" s="1">
        <f>SUMIFS(L:L,O:O,O172)</f>
        <v>14806.109999999982</v>
      </c>
      <c r="W172" s="1" t="str">
        <f>VLOOKUP(zara[[#This Row],[price]],L:P,5,FALSE)</f>
        <v>MAN</v>
      </c>
      <c r="X172" s="1" t="str">
        <f>INDEX(O:O,MATCH(zara[[#This Row],[price]],L:L,0))</f>
        <v>t-shirts</v>
      </c>
      <c r="Y172" s="1" t="str">
        <f>INDEX(P:P,MATCH(zara[[#This Row],[price]],L:L,0))</f>
        <v>MAN</v>
      </c>
      <c r="Z172" s="1" t="str">
        <f>INDEX(P:P,MATCH(zara[[#This Row],[price]],L:L,0))</f>
        <v>MAN</v>
      </c>
      <c r="AA172" s="1">
        <f>SUMIFS(L:L,O:O,zara[[#This Row],[terms]])</f>
        <v>14806.109999999982</v>
      </c>
    </row>
    <row r="173" spans="1:27" hidden="1" x14ac:dyDescent="0.3">
      <c r="A173">
        <v>134104</v>
      </c>
      <c r="B173" s="1" t="s">
        <v>31</v>
      </c>
      <c r="C173" s="1" t="s">
        <v>17</v>
      </c>
      <c r="D173" s="1" t="s">
        <v>18</v>
      </c>
      <c r="E173" s="1" t="s">
        <v>32</v>
      </c>
      <c r="F173">
        <v>1466</v>
      </c>
      <c r="G173" s="1" t="s">
        <v>19</v>
      </c>
      <c r="H173" s="1" t="s">
        <v>468</v>
      </c>
      <c r="I173" s="1" t="s">
        <v>469</v>
      </c>
      <c r="J173" s="1" t="s">
        <v>470</v>
      </c>
      <c r="K173" s="1" t="s">
        <v>471</v>
      </c>
      <c r="L173">
        <v>59.9</v>
      </c>
      <c r="M173" s="1" t="s">
        <v>24</v>
      </c>
      <c r="N173" s="2">
        <v>45341.36918681713</v>
      </c>
      <c r="O173" s="1" t="s">
        <v>25</v>
      </c>
      <c r="P173" s="1" t="s">
        <v>26</v>
      </c>
      <c r="Q173" s="1"/>
      <c r="R173" s="1"/>
      <c r="S173" s="1" t="str">
        <f>IF(M173="USD","DOLLAR",M173)</f>
        <v>DOLLAR</v>
      </c>
      <c r="T173" s="1" t="str">
        <f>IF(zara[[#This Row],[terms]]="jackets","jacket",IF(O173="shoes","shoe",O173))</f>
        <v>jacket</v>
      </c>
      <c r="U173" s="1">
        <f>SUMIF(O:O,zara[[#This Row],[terms]],L:L)</f>
        <v>14806.109999999982</v>
      </c>
      <c r="V173" s="1">
        <f>SUMIFS(L:L,O:O,O173)</f>
        <v>14806.109999999982</v>
      </c>
      <c r="W173" s="1" t="str">
        <f>VLOOKUP(zara[[#This Row],[price]],L:P,5,FALSE)</f>
        <v>WOMAN</v>
      </c>
      <c r="X173" s="1" t="str">
        <f>INDEX(O:O,MATCH(zara[[#This Row],[price]],L:L,0))</f>
        <v>sweaters</v>
      </c>
      <c r="Y173" s="1" t="str">
        <f>INDEX(P:P,MATCH(zara[[#This Row],[price]],L:L,0))</f>
        <v>WOMAN</v>
      </c>
      <c r="Z173" s="1" t="str">
        <f>INDEX(P:P,MATCH(zara[[#This Row],[price]],L:L,0))</f>
        <v>WOMAN</v>
      </c>
      <c r="AA173" s="1">
        <f>SUMIFS(L:L,O:O,zara[[#This Row],[terms]])</f>
        <v>14806.109999999982</v>
      </c>
    </row>
    <row r="174" spans="1:27" hidden="1" x14ac:dyDescent="0.3">
      <c r="A174">
        <v>156342</v>
      </c>
      <c r="B174" s="1" t="s">
        <v>49</v>
      </c>
      <c r="C174" s="1" t="s">
        <v>32</v>
      </c>
      <c r="D174" s="1" t="s">
        <v>18</v>
      </c>
      <c r="E174" s="1" t="s">
        <v>32</v>
      </c>
      <c r="F174">
        <v>1466</v>
      </c>
      <c r="G174" s="1" t="s">
        <v>19</v>
      </c>
      <c r="H174" s="1" t="s">
        <v>796</v>
      </c>
      <c r="I174" s="1" t="s">
        <v>797</v>
      </c>
      <c r="J174" s="1" t="s">
        <v>798</v>
      </c>
      <c r="K174" s="1" t="s">
        <v>799</v>
      </c>
      <c r="L174">
        <v>109</v>
      </c>
      <c r="M174" s="1" t="s">
        <v>24</v>
      </c>
      <c r="N174" s="2">
        <v>45341.371295717596</v>
      </c>
      <c r="O174" s="1" t="s">
        <v>785</v>
      </c>
      <c r="P174" s="1" t="s">
        <v>26</v>
      </c>
      <c r="Q174" s="1"/>
      <c r="R174" s="1"/>
      <c r="S174" s="1" t="str">
        <f>IF(M174="USD","DOLLAR",M174)</f>
        <v>DOLLAR</v>
      </c>
      <c r="T174" s="1" t="str">
        <f>IF(zara[[#This Row],[terms]]="jackets","jacket",IF(O174="shoes","shoe",O174))</f>
        <v>jeans</v>
      </c>
      <c r="U174" s="1">
        <f>SUMIF(O:O,zara[[#This Row],[terms]],L:L)</f>
        <v>511.39</v>
      </c>
      <c r="V174" s="1">
        <f>SUMIFS(L:L,O:O,O174)</f>
        <v>511.39</v>
      </c>
      <c r="W174" s="1" t="str">
        <f>VLOOKUP(zara[[#This Row],[price]],L:P,5,FALSE)</f>
        <v>MAN</v>
      </c>
      <c r="X174" s="1" t="str">
        <f>INDEX(O:O,MATCH(zara[[#This Row],[price]],L:L,0))</f>
        <v>t-shirts</v>
      </c>
      <c r="Y174" s="1" t="str">
        <f>INDEX(P:P,MATCH(zara[[#This Row],[price]],L:L,0))</f>
        <v>MAN</v>
      </c>
      <c r="Z174" s="1" t="str">
        <f>INDEX(P:P,MATCH(zara[[#This Row],[price]],L:L,0))</f>
        <v>MAN</v>
      </c>
      <c r="AA174" s="1">
        <f>SUMIFS(L:L,O:O,zara[[#This Row],[terms]])</f>
        <v>511.39</v>
      </c>
    </row>
    <row r="175" spans="1:27" hidden="1" x14ac:dyDescent="0.3">
      <c r="A175">
        <v>154736</v>
      </c>
      <c r="B175" s="1" t="s">
        <v>49</v>
      </c>
      <c r="C175" s="1" t="s">
        <v>32</v>
      </c>
      <c r="D175" s="1" t="s">
        <v>18</v>
      </c>
      <c r="E175" s="1" t="s">
        <v>32</v>
      </c>
      <c r="F175">
        <v>1466</v>
      </c>
      <c r="G175" s="1" t="s">
        <v>19</v>
      </c>
      <c r="H175" s="1" t="s">
        <v>372</v>
      </c>
      <c r="I175" s="1" t="s">
        <v>519</v>
      </c>
      <c r="J175" s="1" t="s">
        <v>154</v>
      </c>
      <c r="K175" s="1" t="s">
        <v>151</v>
      </c>
      <c r="L175">
        <v>19.899999999999999</v>
      </c>
      <c r="M175" s="1" t="s">
        <v>24</v>
      </c>
      <c r="N175" s="2">
        <v>45341.382472581019</v>
      </c>
      <c r="O175" s="1" t="s">
        <v>25</v>
      </c>
      <c r="P175" s="1" t="s">
        <v>26</v>
      </c>
      <c r="Q175" s="1"/>
      <c r="R175" s="1"/>
      <c r="S175" s="1" t="str">
        <f>IF(M175="USD","DOLLAR",M175)</f>
        <v>DOLLAR</v>
      </c>
      <c r="T175" s="1" t="str">
        <f>IF(zara[[#This Row],[terms]]="jackets","jacket",IF(O175="shoes","shoe",O175))</f>
        <v>jacket</v>
      </c>
      <c r="U175" s="1">
        <f>SUMIF(O:O,zara[[#This Row],[terms]],L:L)</f>
        <v>14806.109999999982</v>
      </c>
      <c r="V175" s="1">
        <f>SUMIFS(L:L,O:O,O175)</f>
        <v>14806.109999999982</v>
      </c>
      <c r="W175" s="1" t="str">
        <f>VLOOKUP(zara[[#This Row],[price]],L:P,5,FALSE)</f>
        <v>MAN</v>
      </c>
      <c r="X175" s="1" t="str">
        <f>INDEX(O:O,MATCH(zara[[#This Row],[price]],L:L,0))</f>
        <v>jackets</v>
      </c>
      <c r="Y175" s="1" t="str">
        <f>INDEX(P:P,MATCH(zara[[#This Row],[price]],L:L,0))</f>
        <v>MAN</v>
      </c>
      <c r="Z175" s="1" t="str">
        <f>INDEX(P:P,MATCH(zara[[#This Row],[price]],L:L,0))</f>
        <v>MAN</v>
      </c>
      <c r="AA175" s="1">
        <f>SUMIFS(L:L,O:O,zara[[#This Row],[terms]])</f>
        <v>14806.109999999982</v>
      </c>
    </row>
    <row r="176" spans="1:27" hidden="1" x14ac:dyDescent="0.3">
      <c r="A176">
        <v>110295</v>
      </c>
      <c r="B176" s="1" t="s">
        <v>31</v>
      </c>
      <c r="C176" s="1" t="s">
        <v>32</v>
      </c>
      <c r="D176" s="1" t="s">
        <v>18</v>
      </c>
      <c r="E176" s="1" t="s">
        <v>17</v>
      </c>
      <c r="F176">
        <v>1448</v>
      </c>
      <c r="G176" s="1" t="s">
        <v>19</v>
      </c>
      <c r="H176" s="1" t="s">
        <v>408</v>
      </c>
      <c r="I176" s="1" t="s">
        <v>409</v>
      </c>
      <c r="J176" s="1" t="s">
        <v>410</v>
      </c>
      <c r="K176" s="1" t="s">
        <v>411</v>
      </c>
      <c r="L176">
        <v>129</v>
      </c>
      <c r="M176" s="1" t="s">
        <v>24</v>
      </c>
      <c r="N176" s="2">
        <v>45341.368951412034</v>
      </c>
      <c r="O176" s="1" t="s">
        <v>25</v>
      </c>
      <c r="P176" s="1" t="s">
        <v>26</v>
      </c>
      <c r="Q176" s="1"/>
      <c r="R176" s="1"/>
      <c r="S176" s="1" t="str">
        <f>IF(M176="USD","DOLLAR",M176)</f>
        <v>DOLLAR</v>
      </c>
      <c r="T176" s="1" t="str">
        <f>IF(zara[[#This Row],[terms]]="jackets","jacket",IF(O176="shoes","shoe",O176))</f>
        <v>jacket</v>
      </c>
      <c r="U176" s="1">
        <f>SUMIF(O:O,zara[[#This Row],[terms]],L:L)</f>
        <v>14806.109999999982</v>
      </c>
      <c r="V176" s="1">
        <f>SUMIFS(L:L,O:O,O176)</f>
        <v>14806.109999999982</v>
      </c>
      <c r="W176" s="1" t="str">
        <f>VLOOKUP(zara[[#This Row],[price]],L:P,5,FALSE)</f>
        <v>MAN</v>
      </c>
      <c r="X176" s="1" t="str">
        <f>INDEX(O:O,MATCH(zara[[#This Row],[price]],L:L,0))</f>
        <v>jackets</v>
      </c>
      <c r="Y176" s="1" t="str">
        <f>INDEX(P:P,MATCH(zara[[#This Row],[price]],L:L,0))</f>
        <v>MAN</v>
      </c>
      <c r="Z176" s="1" t="str">
        <f>INDEX(P:P,MATCH(zara[[#This Row],[price]],L:L,0))</f>
        <v>MAN</v>
      </c>
      <c r="AA176" s="1">
        <f>SUMIFS(L:L,O:O,zara[[#This Row],[terms]])</f>
        <v>14806.109999999982</v>
      </c>
    </row>
    <row r="177" spans="1:27" hidden="1" x14ac:dyDescent="0.3">
      <c r="A177">
        <v>135036</v>
      </c>
      <c r="B177" s="1" t="s">
        <v>31</v>
      </c>
      <c r="C177" s="1" t="s">
        <v>32</v>
      </c>
      <c r="D177" s="1" t="s">
        <v>18</v>
      </c>
      <c r="E177" s="1" t="s">
        <v>17</v>
      </c>
      <c r="F177">
        <v>1435</v>
      </c>
      <c r="G177" s="1" t="s">
        <v>19</v>
      </c>
      <c r="H177" s="1" t="s">
        <v>650</v>
      </c>
      <c r="I177" s="1" t="s">
        <v>651</v>
      </c>
      <c r="J177" s="1" t="s">
        <v>652</v>
      </c>
      <c r="K177" s="1" t="s">
        <v>653</v>
      </c>
      <c r="L177">
        <v>49.9</v>
      </c>
      <c r="M177" s="1" t="s">
        <v>24</v>
      </c>
      <c r="N177" s="2">
        <v>45341.382343993057</v>
      </c>
      <c r="O177" s="1" t="s">
        <v>636</v>
      </c>
      <c r="P177" s="1" t="s">
        <v>637</v>
      </c>
      <c r="Q177" s="1"/>
      <c r="R177" s="1"/>
      <c r="S177" s="1" t="str">
        <f>IF(M177="USD","DOLLAR",M177)</f>
        <v>DOLLAR</v>
      </c>
      <c r="T177" s="1" t="str">
        <f>IF(zara[[#This Row],[terms]]="jackets","jacket",IF(O177="shoes","shoe",O177))</f>
        <v>sweaters</v>
      </c>
      <c r="U177" s="1">
        <f>SUMIF(O:O,zara[[#This Row],[terms]],L:L)</f>
        <v>2249.3700000000013</v>
      </c>
      <c r="V177" s="1">
        <f>SUMIFS(L:L,O:O,O177)</f>
        <v>2249.3700000000013</v>
      </c>
      <c r="W177" s="1" t="str">
        <f>VLOOKUP(zara[[#This Row],[price]],L:P,5,FALSE)</f>
        <v>MAN</v>
      </c>
      <c r="X177" s="1" t="str">
        <f>INDEX(O:O,MATCH(zara[[#This Row],[price]],L:L,0))</f>
        <v>jackets</v>
      </c>
      <c r="Y177" s="1" t="str">
        <f>INDEX(P:P,MATCH(zara[[#This Row],[price]],L:L,0))</f>
        <v>MAN</v>
      </c>
      <c r="Z177" s="1" t="str">
        <f>INDEX(P:P,MATCH(zara[[#This Row],[price]],L:L,0))</f>
        <v>MAN</v>
      </c>
      <c r="AA177" s="1">
        <f>SUMIFS(L:L,O:O,zara[[#This Row],[terms]])</f>
        <v>2249.3700000000013</v>
      </c>
    </row>
    <row r="178" spans="1:27" hidden="1" x14ac:dyDescent="0.3">
      <c r="A178">
        <v>173550</v>
      </c>
      <c r="B178" s="1" t="s">
        <v>31</v>
      </c>
      <c r="C178" s="1" t="s">
        <v>17</v>
      </c>
      <c r="D178" s="1" t="s">
        <v>18</v>
      </c>
      <c r="E178" s="1" t="s">
        <v>32</v>
      </c>
      <c r="F178">
        <v>1431</v>
      </c>
      <c r="G178" s="1" t="s">
        <v>19</v>
      </c>
      <c r="H178" s="1" t="s">
        <v>475</v>
      </c>
      <c r="I178" s="1" t="s">
        <v>476</v>
      </c>
      <c r="J178" s="1" t="s">
        <v>346</v>
      </c>
      <c r="K178" s="1" t="s">
        <v>477</v>
      </c>
      <c r="L178">
        <v>59.9</v>
      </c>
      <c r="M178" s="1" t="s">
        <v>24</v>
      </c>
      <c r="N178" s="2">
        <v>45341.369198310182</v>
      </c>
      <c r="O178" s="1" t="s">
        <v>25</v>
      </c>
      <c r="P178" s="1" t="s">
        <v>26</v>
      </c>
      <c r="Q178" s="1"/>
      <c r="R178" s="1"/>
      <c r="S178" s="1" t="str">
        <f>IF(M178="USD","DOLLAR",M178)</f>
        <v>DOLLAR</v>
      </c>
      <c r="T178" s="1" t="str">
        <f>IF(zara[[#This Row],[terms]]="jackets","jacket",IF(O178="shoes","shoe",O178))</f>
        <v>jacket</v>
      </c>
      <c r="U178" s="1">
        <f>SUMIF(O:O,zara[[#This Row],[terms]],L:L)</f>
        <v>14806.109999999982</v>
      </c>
      <c r="V178" s="1">
        <f>SUMIFS(L:L,O:O,O178)</f>
        <v>14806.109999999982</v>
      </c>
      <c r="W178" s="1" t="str">
        <f>VLOOKUP(zara[[#This Row],[price]],L:P,5,FALSE)</f>
        <v>WOMAN</v>
      </c>
      <c r="X178" s="1" t="str">
        <f>INDEX(O:O,MATCH(zara[[#This Row],[price]],L:L,0))</f>
        <v>sweaters</v>
      </c>
      <c r="Y178" s="1" t="str">
        <f>INDEX(P:P,MATCH(zara[[#This Row],[price]],L:L,0))</f>
        <v>WOMAN</v>
      </c>
      <c r="Z178" s="1" t="str">
        <f>INDEX(P:P,MATCH(zara[[#This Row],[price]],L:L,0))</f>
        <v>WOMAN</v>
      </c>
      <c r="AA178" s="1">
        <f>SUMIFS(L:L,O:O,zara[[#This Row],[terms]])</f>
        <v>14806.109999999982</v>
      </c>
    </row>
    <row r="179" spans="1:27" hidden="1" x14ac:dyDescent="0.3">
      <c r="A179">
        <v>141547</v>
      </c>
      <c r="B179" s="1" t="s">
        <v>31</v>
      </c>
      <c r="C179" s="1" t="s">
        <v>17</v>
      </c>
      <c r="D179" s="1" t="s">
        <v>18</v>
      </c>
      <c r="E179" s="1" t="s">
        <v>17</v>
      </c>
      <c r="F179">
        <v>1426</v>
      </c>
      <c r="G179" s="1" t="s">
        <v>19</v>
      </c>
      <c r="H179" s="1" t="s">
        <v>794</v>
      </c>
      <c r="I179" s="1" t="s">
        <v>795</v>
      </c>
      <c r="J179" s="1" t="s">
        <v>792</v>
      </c>
      <c r="K179" s="1" t="s">
        <v>793</v>
      </c>
      <c r="L179">
        <v>69.900000000000006</v>
      </c>
      <c r="M179" s="1" t="s">
        <v>24</v>
      </c>
      <c r="N179" s="2">
        <v>45341.371290462965</v>
      </c>
      <c r="O179" s="1" t="s">
        <v>785</v>
      </c>
      <c r="P179" s="1" t="s">
        <v>26</v>
      </c>
      <c r="Q179" s="1"/>
      <c r="R179" s="1"/>
      <c r="S179" s="1" t="str">
        <f>IF(M179="USD","DOLLAR",M179)</f>
        <v>DOLLAR</v>
      </c>
      <c r="T179" s="1" t="str">
        <f>IF(zara[[#This Row],[terms]]="jackets","jacket",IF(O179="shoes","shoe",O179))</f>
        <v>jeans</v>
      </c>
      <c r="U179" s="1">
        <f>SUMIF(O:O,zara[[#This Row],[terms]],L:L)</f>
        <v>511.39</v>
      </c>
      <c r="V179" s="1">
        <f>SUMIFS(L:L,O:O,O179)</f>
        <v>511.39</v>
      </c>
      <c r="W179" s="1" t="str">
        <f>VLOOKUP(zara[[#This Row],[price]],L:P,5,FALSE)</f>
        <v>MAN</v>
      </c>
      <c r="X179" s="1" t="str">
        <f>INDEX(O:O,MATCH(zara[[#This Row],[price]],L:L,0))</f>
        <v>jeans</v>
      </c>
      <c r="Y179" s="1" t="str">
        <f>INDEX(P:P,MATCH(zara[[#This Row],[price]],L:L,0))</f>
        <v>MAN</v>
      </c>
      <c r="Z179" s="1" t="str">
        <f>INDEX(P:P,MATCH(zara[[#This Row],[price]],L:L,0))</f>
        <v>MAN</v>
      </c>
      <c r="AA179" s="1">
        <f>SUMIFS(L:L,O:O,zara[[#This Row],[terms]])</f>
        <v>511.39</v>
      </c>
    </row>
    <row r="180" spans="1:27" hidden="1" x14ac:dyDescent="0.3">
      <c r="A180">
        <v>149510</v>
      </c>
      <c r="B180" s="1" t="s">
        <v>16</v>
      </c>
      <c r="C180" s="1" t="s">
        <v>17</v>
      </c>
      <c r="D180" s="1" t="s">
        <v>18</v>
      </c>
      <c r="E180" s="1" t="s">
        <v>32</v>
      </c>
      <c r="F180">
        <v>1412</v>
      </c>
      <c r="G180" s="1" t="s">
        <v>19</v>
      </c>
      <c r="H180" s="1" t="s">
        <v>276</v>
      </c>
      <c r="I180" s="1" t="s">
        <v>277</v>
      </c>
      <c r="J180" s="1" t="s">
        <v>278</v>
      </c>
      <c r="K180" s="1" t="s">
        <v>279</v>
      </c>
      <c r="L180">
        <v>59.9</v>
      </c>
      <c r="M180" s="1" t="s">
        <v>24</v>
      </c>
      <c r="N180" s="2">
        <v>45341.368602476854</v>
      </c>
      <c r="O180" s="1" t="s">
        <v>25</v>
      </c>
      <c r="P180" s="1" t="s">
        <v>26</v>
      </c>
      <c r="Q180" s="1"/>
      <c r="R180" s="1"/>
      <c r="S180" s="1" t="str">
        <f>IF(M180="USD","DOLLAR",M180)</f>
        <v>DOLLAR</v>
      </c>
      <c r="T180" s="1" t="str">
        <f>IF(zara[[#This Row],[terms]]="jackets","jacket",IF(O180="shoes","shoe",O180))</f>
        <v>jacket</v>
      </c>
      <c r="U180" s="1">
        <f>SUMIF(O:O,zara[[#This Row],[terms]],L:L)</f>
        <v>14806.109999999982</v>
      </c>
      <c r="V180" s="1">
        <f>SUMIFS(L:L,O:O,O180)</f>
        <v>14806.109999999982</v>
      </c>
      <c r="W180" s="1" t="str">
        <f>VLOOKUP(zara[[#This Row],[price]],L:P,5,FALSE)</f>
        <v>WOMAN</v>
      </c>
      <c r="X180" s="1" t="str">
        <f>INDEX(O:O,MATCH(zara[[#This Row],[price]],L:L,0))</f>
        <v>sweaters</v>
      </c>
      <c r="Y180" s="1" t="str">
        <f>INDEX(P:P,MATCH(zara[[#This Row],[price]],L:L,0))</f>
        <v>WOMAN</v>
      </c>
      <c r="Z180" s="1" t="str">
        <f>INDEX(P:P,MATCH(zara[[#This Row],[price]],L:L,0))</f>
        <v>WOMAN</v>
      </c>
      <c r="AA180" s="1">
        <f>SUMIFS(L:L,O:O,zara[[#This Row],[terms]])</f>
        <v>14806.109999999982</v>
      </c>
    </row>
    <row r="181" spans="1:27" hidden="1" x14ac:dyDescent="0.3">
      <c r="A181">
        <v>196427</v>
      </c>
      <c r="B181" s="1" t="s">
        <v>16</v>
      </c>
      <c r="C181" s="1" t="s">
        <v>32</v>
      </c>
      <c r="D181" s="1" t="s">
        <v>18</v>
      </c>
      <c r="E181" s="1" t="s">
        <v>17</v>
      </c>
      <c r="F181">
        <v>1401</v>
      </c>
      <c r="G181" s="1" t="s">
        <v>19</v>
      </c>
      <c r="H181" s="1" t="s">
        <v>412</v>
      </c>
      <c r="I181" s="1" t="s">
        <v>413</v>
      </c>
      <c r="J181" s="1" t="s">
        <v>414</v>
      </c>
      <c r="K181" s="1" t="s">
        <v>415</v>
      </c>
      <c r="L181">
        <v>169</v>
      </c>
      <c r="M181" s="1" t="s">
        <v>24</v>
      </c>
      <c r="N181" s="2">
        <v>45341.368957210645</v>
      </c>
      <c r="O181" s="1" t="s">
        <v>25</v>
      </c>
      <c r="P181" s="1" t="s">
        <v>26</v>
      </c>
      <c r="Q181" s="1"/>
      <c r="R181" s="1"/>
      <c r="S181" s="1" t="str">
        <f>IF(M181="USD","DOLLAR",M181)</f>
        <v>DOLLAR</v>
      </c>
      <c r="T181" s="1" t="str">
        <f>IF(zara[[#This Row],[terms]]="jackets","jacket",IF(O181="shoes","shoe",O181))</f>
        <v>jacket</v>
      </c>
      <c r="U181" s="1">
        <f>SUMIF(O:O,zara[[#This Row],[terms]],L:L)</f>
        <v>14806.109999999982</v>
      </c>
      <c r="V181" s="1">
        <f>SUMIFS(L:L,O:O,O181)</f>
        <v>14806.109999999982</v>
      </c>
      <c r="W181" s="1" t="str">
        <f>VLOOKUP(zara[[#This Row],[price]],L:P,5,FALSE)</f>
        <v>MAN</v>
      </c>
      <c r="X181" s="1" t="str">
        <f>INDEX(O:O,MATCH(zara[[#This Row],[price]],L:L,0))</f>
        <v>jackets</v>
      </c>
      <c r="Y181" s="1" t="str">
        <f>INDEX(P:P,MATCH(zara[[#This Row],[price]],L:L,0))</f>
        <v>MAN</v>
      </c>
      <c r="Z181" s="1" t="str">
        <f>INDEX(P:P,MATCH(zara[[#This Row],[price]],L:L,0))</f>
        <v>MAN</v>
      </c>
      <c r="AA181" s="1">
        <f>SUMIFS(L:L,O:O,zara[[#This Row],[terms]])</f>
        <v>14806.109999999982</v>
      </c>
    </row>
    <row r="182" spans="1:27" x14ac:dyDescent="0.3">
      <c r="A182">
        <v>125398</v>
      </c>
      <c r="B182" s="1" t="s">
        <v>16</v>
      </c>
      <c r="C182" s="1" t="s">
        <v>32</v>
      </c>
      <c r="D182" s="1" t="s">
        <v>18</v>
      </c>
      <c r="E182" s="1" t="s">
        <v>32</v>
      </c>
      <c r="F182">
        <v>1350</v>
      </c>
      <c r="G182" s="1" t="s">
        <v>19</v>
      </c>
      <c r="H182" s="1" t="s">
        <v>522</v>
      </c>
      <c r="I182" s="1" t="s">
        <v>523</v>
      </c>
      <c r="J182" s="1" t="s">
        <v>524</v>
      </c>
      <c r="K182" s="1" t="s">
        <v>525</v>
      </c>
      <c r="L182">
        <v>69.900000000000006</v>
      </c>
      <c r="M182" s="1" t="s">
        <v>24</v>
      </c>
      <c r="N182" s="2">
        <v>45341.375347974536</v>
      </c>
      <c r="O182" s="1" t="s">
        <v>517</v>
      </c>
      <c r="P182" s="1" t="s">
        <v>26</v>
      </c>
      <c r="Q182" s="1"/>
      <c r="R182" s="1"/>
      <c r="S182" s="1" t="str">
        <f>IF(M182="USD","DOLLAR",M182)</f>
        <v>DOLLAR</v>
      </c>
      <c r="T182" s="1" t="str">
        <f>IF(zara[[#This Row],[terms]]="jackets","jacket",IF(O182="shoes","shoe",O182))</f>
        <v>shoe</v>
      </c>
      <c r="U182" s="1">
        <f>SUMIF(O:O,zara[[#This Row],[terms]],L:L)</f>
        <v>2011.0800000000013</v>
      </c>
      <c r="V182" s="1">
        <f>SUMIFS(L:L,O:O,O182)</f>
        <v>2011.0800000000013</v>
      </c>
      <c r="W182" s="1" t="str">
        <f>VLOOKUP(zara[[#This Row],[price]],L:P,5,FALSE)</f>
        <v>MAN</v>
      </c>
      <c r="X182" s="1" t="str">
        <f>INDEX(O:O,MATCH(zara[[#This Row],[price]],L:L,0))</f>
        <v>jeans</v>
      </c>
      <c r="Y182" s="1" t="str">
        <f>INDEX(P:P,MATCH(zara[[#This Row],[price]],L:L,0))</f>
        <v>MAN</v>
      </c>
      <c r="Z182" s="1" t="str">
        <f>INDEX(P:P,MATCH(zara[[#This Row],[price]],L:L,0))</f>
        <v>MAN</v>
      </c>
      <c r="AA182" s="1">
        <f>SUMIFS(L:L,O:O,zara[[#This Row],[terms]])</f>
        <v>2011.0800000000013</v>
      </c>
    </row>
    <row r="183" spans="1:27" x14ac:dyDescent="0.3">
      <c r="A183">
        <v>186638</v>
      </c>
      <c r="B183" s="1" t="s">
        <v>31</v>
      </c>
      <c r="C183" s="1" t="s">
        <v>32</v>
      </c>
      <c r="D183" s="1" t="s">
        <v>18</v>
      </c>
      <c r="E183" s="1" t="s">
        <v>17</v>
      </c>
      <c r="F183">
        <v>1296</v>
      </c>
      <c r="G183" s="1" t="s">
        <v>19</v>
      </c>
      <c r="H183" s="1" t="s">
        <v>530</v>
      </c>
      <c r="I183" s="1" t="s">
        <v>531</v>
      </c>
      <c r="J183" s="1" t="s">
        <v>532</v>
      </c>
      <c r="K183" s="1" t="s">
        <v>533</v>
      </c>
      <c r="L183">
        <v>59.9</v>
      </c>
      <c r="M183" s="1" t="s">
        <v>24</v>
      </c>
      <c r="N183" s="2">
        <v>45341.375363622683</v>
      </c>
      <c r="O183" s="1" t="s">
        <v>517</v>
      </c>
      <c r="P183" s="1" t="s">
        <v>26</v>
      </c>
      <c r="Q183" s="1"/>
      <c r="R183" s="1"/>
      <c r="S183" s="1" t="str">
        <f>IF(M183="USD","DOLLAR",M183)</f>
        <v>DOLLAR</v>
      </c>
      <c r="T183" s="1" t="str">
        <f>IF(zara[[#This Row],[terms]]="jackets","jacket",IF(O183="shoes","shoe",O183))</f>
        <v>shoe</v>
      </c>
      <c r="U183" s="1">
        <f>SUMIF(O:O,zara[[#This Row],[terms]],L:L)</f>
        <v>2011.0800000000013</v>
      </c>
      <c r="V183" s="1">
        <f>SUMIFS(L:L,O:O,O183)</f>
        <v>2011.0800000000013</v>
      </c>
      <c r="W183" s="1" t="str">
        <f>VLOOKUP(zara[[#This Row],[price]],L:P,5,FALSE)</f>
        <v>WOMAN</v>
      </c>
      <c r="X183" s="1" t="str">
        <f>INDEX(O:O,MATCH(zara[[#This Row],[price]],L:L,0))</f>
        <v>sweaters</v>
      </c>
      <c r="Y183" s="1" t="str">
        <f>INDEX(P:P,MATCH(zara[[#This Row],[price]],L:L,0))</f>
        <v>WOMAN</v>
      </c>
      <c r="Z183" s="1" t="str">
        <f>INDEX(P:P,MATCH(zara[[#This Row],[price]],L:L,0))</f>
        <v>WOMAN</v>
      </c>
      <c r="AA183" s="1">
        <f>SUMIFS(L:L,O:O,zara[[#This Row],[terms]])</f>
        <v>2011.0800000000013</v>
      </c>
    </row>
    <row r="184" spans="1:27" hidden="1" x14ac:dyDescent="0.3">
      <c r="A184">
        <v>161909</v>
      </c>
      <c r="B184" s="1" t="s">
        <v>16</v>
      </c>
      <c r="C184" s="1" t="s">
        <v>32</v>
      </c>
      <c r="D184" s="1" t="s">
        <v>18</v>
      </c>
      <c r="E184" s="1" t="s">
        <v>17</v>
      </c>
      <c r="F184">
        <v>1290</v>
      </c>
      <c r="G184" s="1" t="s">
        <v>19</v>
      </c>
      <c r="H184" s="1" t="s">
        <v>113</v>
      </c>
      <c r="I184" s="1" t="s">
        <v>114</v>
      </c>
      <c r="J184" s="1" t="s">
        <v>115</v>
      </c>
      <c r="K184" s="1" t="s">
        <v>116</v>
      </c>
      <c r="L184">
        <v>299</v>
      </c>
      <c r="M184" s="1" t="s">
        <v>24</v>
      </c>
      <c r="N184" s="2">
        <v>45341.368273298613</v>
      </c>
      <c r="O184" s="1" t="s">
        <v>25</v>
      </c>
      <c r="P184" s="1" t="s">
        <v>26</v>
      </c>
      <c r="Q184" s="1"/>
      <c r="R184" s="1"/>
      <c r="S184" s="1" t="str">
        <f>IF(M184="USD","DOLLAR",M184)</f>
        <v>DOLLAR</v>
      </c>
      <c r="T184" s="1" t="str">
        <f>IF(zara[[#This Row],[terms]]="jackets","jacket",IF(O184="shoes","shoe",O184))</f>
        <v>jacket</v>
      </c>
      <c r="U184" s="1">
        <f>SUMIF(O:O,zara[[#This Row],[terms]],L:L)</f>
        <v>14806.109999999982</v>
      </c>
      <c r="V184" s="1">
        <f>SUMIFS(L:L,O:O,O184)</f>
        <v>14806.109999999982</v>
      </c>
      <c r="W184" s="1" t="str">
        <f>VLOOKUP(zara[[#This Row],[price]],L:P,5,FALSE)</f>
        <v>MAN</v>
      </c>
      <c r="X184" s="1" t="str">
        <f>INDEX(O:O,MATCH(zara[[#This Row],[price]],L:L,0))</f>
        <v>jackets</v>
      </c>
      <c r="Y184" s="1" t="str">
        <f>INDEX(P:P,MATCH(zara[[#This Row],[price]],L:L,0))</f>
        <v>MAN</v>
      </c>
      <c r="Z184" s="1" t="str">
        <f>INDEX(P:P,MATCH(zara[[#This Row],[price]],L:L,0))</f>
        <v>MAN</v>
      </c>
      <c r="AA184" s="1">
        <f>SUMIFS(L:L,O:O,zara[[#This Row],[terms]])</f>
        <v>14806.109999999982</v>
      </c>
    </row>
    <row r="185" spans="1:27" hidden="1" x14ac:dyDescent="0.3">
      <c r="A185">
        <v>165786</v>
      </c>
      <c r="B185" s="1" t="s">
        <v>31</v>
      </c>
      <c r="C185" s="1" t="s">
        <v>17</v>
      </c>
      <c r="D185" s="1" t="s">
        <v>18</v>
      </c>
      <c r="E185" s="1" t="s">
        <v>32</v>
      </c>
      <c r="F185">
        <v>1278</v>
      </c>
      <c r="G185" s="1" t="s">
        <v>19</v>
      </c>
      <c r="H185" s="1" t="s">
        <v>824</v>
      </c>
      <c r="I185" s="1" t="s">
        <v>825</v>
      </c>
      <c r="J185" s="1" t="s">
        <v>826</v>
      </c>
      <c r="K185" s="1" t="s">
        <v>827</v>
      </c>
      <c r="L185">
        <v>59.9</v>
      </c>
      <c r="M185" s="1" t="s">
        <v>24</v>
      </c>
      <c r="N185" s="2">
        <v>45341.371372013891</v>
      </c>
      <c r="O185" s="1" t="s">
        <v>636</v>
      </c>
      <c r="P185" s="1" t="s">
        <v>26</v>
      </c>
      <c r="Q185" s="1"/>
      <c r="R185" s="1"/>
      <c r="S185" s="1" t="str">
        <f>IF(M185="USD","DOLLAR",M185)</f>
        <v>DOLLAR</v>
      </c>
      <c r="T185" s="1" t="str">
        <f>IF(zara[[#This Row],[terms]]="jackets","jacket",IF(O185="shoes","shoe",O185))</f>
        <v>sweaters</v>
      </c>
      <c r="U185" s="1">
        <f>SUMIF(O:O,zara[[#This Row],[terms]],L:L)</f>
        <v>2249.3700000000013</v>
      </c>
      <c r="V185" s="1">
        <f>SUMIFS(L:L,O:O,O185)</f>
        <v>2249.3700000000013</v>
      </c>
      <c r="W185" s="1" t="str">
        <f>VLOOKUP(zara[[#This Row],[price]],L:P,5,FALSE)</f>
        <v>WOMAN</v>
      </c>
      <c r="X185" s="1" t="str">
        <f>INDEX(O:O,MATCH(zara[[#This Row],[price]],L:L,0))</f>
        <v>sweaters</v>
      </c>
      <c r="Y185" s="1" t="str">
        <f>INDEX(P:P,MATCH(zara[[#This Row],[price]],L:L,0))</f>
        <v>WOMAN</v>
      </c>
      <c r="Z185" s="1" t="str">
        <f>INDEX(P:P,MATCH(zara[[#This Row],[price]],L:L,0))</f>
        <v>WOMAN</v>
      </c>
      <c r="AA185" s="1">
        <f>SUMIFS(L:L,O:O,zara[[#This Row],[terms]])</f>
        <v>2249.3700000000013</v>
      </c>
    </row>
    <row r="186" spans="1:27" hidden="1" x14ac:dyDescent="0.3">
      <c r="A186">
        <v>199631</v>
      </c>
      <c r="B186" s="1" t="s">
        <v>49</v>
      </c>
      <c r="C186" s="1" t="s">
        <v>32</v>
      </c>
      <c r="D186" s="1" t="s">
        <v>18</v>
      </c>
      <c r="E186" s="1" t="s">
        <v>17</v>
      </c>
      <c r="F186">
        <v>1269</v>
      </c>
      <c r="G186" s="1" t="s">
        <v>19</v>
      </c>
      <c r="H186" s="1" t="s">
        <v>424</v>
      </c>
      <c r="I186" s="1" t="s">
        <v>425</v>
      </c>
      <c r="J186" s="1" t="s">
        <v>426</v>
      </c>
      <c r="K186" s="1" t="s">
        <v>427</v>
      </c>
      <c r="L186">
        <v>89.9</v>
      </c>
      <c r="M186" s="1" t="s">
        <v>24</v>
      </c>
      <c r="N186" s="2">
        <v>45341.369115578702</v>
      </c>
      <c r="O186" s="1" t="s">
        <v>25</v>
      </c>
      <c r="P186" s="1" t="s">
        <v>26</v>
      </c>
      <c r="Q186" s="1"/>
      <c r="R186" s="1"/>
      <c r="S186" s="1" t="str">
        <f>IF(M186="USD","DOLLAR",M186)</f>
        <v>DOLLAR</v>
      </c>
      <c r="T186" s="1" t="str">
        <f>IF(zara[[#This Row],[terms]]="jackets","jacket",IF(O186="shoes","shoe",O186))</f>
        <v>jacket</v>
      </c>
      <c r="U186" s="1">
        <f>SUMIF(O:O,zara[[#This Row],[terms]],L:L)</f>
        <v>14806.109999999982</v>
      </c>
      <c r="V186" s="1">
        <f>SUMIFS(L:L,O:O,O186)</f>
        <v>14806.109999999982</v>
      </c>
      <c r="W186" s="1" t="str">
        <f>VLOOKUP(zara[[#This Row],[price]],L:P,5,FALSE)</f>
        <v>MAN</v>
      </c>
      <c r="X186" s="1" t="str">
        <f>INDEX(O:O,MATCH(zara[[#This Row],[price]],L:L,0))</f>
        <v>jackets</v>
      </c>
      <c r="Y186" s="1" t="str">
        <f>INDEX(P:P,MATCH(zara[[#This Row],[price]],L:L,0))</f>
        <v>MAN</v>
      </c>
      <c r="Z186" s="1" t="str">
        <f>INDEX(P:P,MATCH(zara[[#This Row],[price]],L:L,0))</f>
        <v>MAN</v>
      </c>
      <c r="AA186" s="1">
        <f>SUMIFS(L:L,O:O,zara[[#This Row],[terms]])</f>
        <v>14806.109999999982</v>
      </c>
    </row>
    <row r="187" spans="1:27" hidden="1" x14ac:dyDescent="0.3">
      <c r="A187">
        <v>140028</v>
      </c>
      <c r="B187" s="1" t="s">
        <v>16</v>
      </c>
      <c r="C187" s="1" t="s">
        <v>32</v>
      </c>
      <c r="D187" s="1" t="s">
        <v>18</v>
      </c>
      <c r="E187" s="1" t="s">
        <v>32</v>
      </c>
      <c r="F187">
        <v>1260</v>
      </c>
      <c r="G187" s="1" t="s">
        <v>19</v>
      </c>
      <c r="H187" s="1" t="s">
        <v>70</v>
      </c>
      <c r="I187" s="1" t="s">
        <v>71</v>
      </c>
      <c r="J187" s="1" t="s">
        <v>72</v>
      </c>
      <c r="K187" s="1" t="s">
        <v>73</v>
      </c>
      <c r="L187">
        <v>159</v>
      </c>
      <c r="M187" s="1" t="s">
        <v>24</v>
      </c>
      <c r="N187" s="2">
        <v>45341.36820034722</v>
      </c>
      <c r="O187" s="1" t="s">
        <v>25</v>
      </c>
      <c r="P187" s="1" t="s">
        <v>26</v>
      </c>
      <c r="Q187" s="1"/>
      <c r="R187" s="1"/>
      <c r="S187" s="1" t="str">
        <f>IF(M187="USD","DOLLAR",M187)</f>
        <v>DOLLAR</v>
      </c>
      <c r="T187" s="1" t="str">
        <f>IF(zara[[#This Row],[terms]]="jackets","jacket",IF(O187="shoes","shoe",O187))</f>
        <v>jacket</v>
      </c>
      <c r="U187" s="1">
        <f>SUMIF(O:O,zara[[#This Row],[terms]],L:L)</f>
        <v>14806.109999999982</v>
      </c>
      <c r="V187" s="1">
        <f>SUMIFS(L:L,O:O,O187)</f>
        <v>14806.109999999982</v>
      </c>
      <c r="W187" s="1" t="str">
        <f>VLOOKUP(zara[[#This Row],[price]],L:P,5,FALSE)</f>
        <v>MAN</v>
      </c>
      <c r="X187" s="1" t="str">
        <f>INDEX(O:O,MATCH(zara[[#This Row],[price]],L:L,0))</f>
        <v>jackets</v>
      </c>
      <c r="Y187" s="1" t="str">
        <f>INDEX(P:P,MATCH(zara[[#This Row],[price]],L:L,0))</f>
        <v>MAN</v>
      </c>
      <c r="Z187" s="1" t="str">
        <f>INDEX(P:P,MATCH(zara[[#This Row],[price]],L:L,0))</f>
        <v>MAN</v>
      </c>
      <c r="AA187" s="1">
        <f>SUMIFS(L:L,O:O,zara[[#This Row],[terms]])</f>
        <v>14806.109999999982</v>
      </c>
    </row>
    <row r="188" spans="1:27" hidden="1" x14ac:dyDescent="0.3">
      <c r="A188">
        <v>149487</v>
      </c>
      <c r="B188" s="1" t="s">
        <v>16</v>
      </c>
      <c r="C188" s="1" t="s">
        <v>17</v>
      </c>
      <c r="D188" s="1" t="s">
        <v>18</v>
      </c>
      <c r="E188" s="1" t="s">
        <v>32</v>
      </c>
      <c r="F188">
        <v>1258</v>
      </c>
      <c r="G188" s="1" t="s">
        <v>19</v>
      </c>
      <c r="H188" s="1" t="s">
        <v>722</v>
      </c>
      <c r="I188" s="1" t="s">
        <v>479</v>
      </c>
      <c r="J188" s="1" t="s">
        <v>115</v>
      </c>
      <c r="K188" s="1" t="s">
        <v>335</v>
      </c>
      <c r="L188">
        <v>99.9</v>
      </c>
      <c r="M188" s="1" t="s">
        <v>24</v>
      </c>
      <c r="N188" s="2">
        <v>45341.382400636576</v>
      </c>
      <c r="O188" s="1" t="s">
        <v>836</v>
      </c>
      <c r="P188" s="1" t="s">
        <v>26</v>
      </c>
      <c r="Q188" s="1"/>
      <c r="R188" s="1"/>
      <c r="S188" s="1" t="str">
        <f>IF(M188="USD","DOLLAR",M188)</f>
        <v>DOLLAR</v>
      </c>
      <c r="T188" s="1" t="str">
        <f>IF(zara[[#This Row],[terms]]="jackets","jacket",IF(O188="shoes","shoe",O188))</f>
        <v>t-shirts</v>
      </c>
      <c r="U188" s="1">
        <f>SUMIF(O:O,zara[[#This Row],[terms]],L:L)</f>
        <v>2157.6900000000005</v>
      </c>
      <c r="V188" s="1">
        <f>SUMIFS(L:L,O:O,O188)</f>
        <v>2157.6900000000005</v>
      </c>
      <c r="W188" s="1" t="str">
        <f>VLOOKUP(zara[[#This Row],[price]],L:P,5,FALSE)</f>
        <v>MAN</v>
      </c>
      <c r="X188" s="1" t="str">
        <f>INDEX(O:O,MATCH(zara[[#This Row],[price]],L:L,0))</f>
        <v>jackets</v>
      </c>
      <c r="Y188" s="1" t="str">
        <f>INDEX(P:P,MATCH(zara[[#This Row],[price]],L:L,0))</f>
        <v>MAN</v>
      </c>
      <c r="Z188" s="1" t="str">
        <f>INDEX(P:P,MATCH(zara[[#This Row],[price]],L:L,0))</f>
        <v>MAN</v>
      </c>
      <c r="AA188" s="1">
        <f>SUMIFS(L:L,O:O,zara[[#This Row],[terms]])</f>
        <v>2157.6900000000005</v>
      </c>
    </row>
    <row r="189" spans="1:27" hidden="1" x14ac:dyDescent="0.3">
      <c r="A189">
        <v>147947</v>
      </c>
      <c r="B189" s="1" t="s">
        <v>16</v>
      </c>
      <c r="C189" s="1" t="s">
        <v>32</v>
      </c>
      <c r="D189" s="1" t="s">
        <v>18</v>
      </c>
      <c r="E189" s="1" t="s">
        <v>32</v>
      </c>
      <c r="F189">
        <v>1249</v>
      </c>
      <c r="G189" s="1" t="s">
        <v>19</v>
      </c>
      <c r="H189" s="1" t="s">
        <v>336</v>
      </c>
      <c r="I189" s="1" t="s">
        <v>337</v>
      </c>
      <c r="J189" s="1" t="s">
        <v>338</v>
      </c>
      <c r="K189" s="1" t="s">
        <v>339</v>
      </c>
      <c r="L189">
        <v>89.9</v>
      </c>
      <c r="M189" s="1" t="s">
        <v>24</v>
      </c>
      <c r="N189" s="2">
        <v>45341.36874435185</v>
      </c>
      <c r="O189" s="1" t="s">
        <v>25</v>
      </c>
      <c r="P189" s="1" t="s">
        <v>26</v>
      </c>
      <c r="Q189" s="1"/>
      <c r="R189" s="1"/>
      <c r="S189" s="1" t="str">
        <f>IF(M189="USD","DOLLAR",M189)</f>
        <v>DOLLAR</v>
      </c>
      <c r="T189" s="1" t="str">
        <f>IF(zara[[#This Row],[terms]]="jackets","jacket",IF(O189="shoes","shoe",O189))</f>
        <v>jacket</v>
      </c>
      <c r="U189" s="1">
        <f>SUMIF(O:O,zara[[#This Row],[terms]],L:L)</f>
        <v>14806.109999999982</v>
      </c>
      <c r="V189" s="1">
        <f>SUMIFS(L:L,O:O,O189)</f>
        <v>14806.109999999982</v>
      </c>
      <c r="W189" s="1" t="str">
        <f>VLOOKUP(zara[[#This Row],[price]],L:P,5,FALSE)</f>
        <v>MAN</v>
      </c>
      <c r="X189" s="1" t="str">
        <f>INDEX(O:O,MATCH(zara[[#This Row],[price]],L:L,0))</f>
        <v>jackets</v>
      </c>
      <c r="Y189" s="1" t="str">
        <f>INDEX(P:P,MATCH(zara[[#This Row],[price]],L:L,0))</f>
        <v>MAN</v>
      </c>
      <c r="Z189" s="1" t="str">
        <f>INDEX(P:P,MATCH(zara[[#This Row],[price]],L:L,0))</f>
        <v>MAN</v>
      </c>
      <c r="AA189" s="1">
        <f>SUMIFS(L:L,O:O,zara[[#This Row],[terms]])</f>
        <v>14806.109999999982</v>
      </c>
    </row>
    <row r="190" spans="1:27" hidden="1" x14ac:dyDescent="0.3">
      <c r="A190">
        <v>189349</v>
      </c>
      <c r="B190" s="1" t="s">
        <v>31</v>
      </c>
      <c r="C190" s="1" t="s">
        <v>32</v>
      </c>
      <c r="D190" s="1" t="s">
        <v>18</v>
      </c>
      <c r="E190" s="1" t="s">
        <v>17</v>
      </c>
      <c r="F190">
        <v>1245</v>
      </c>
      <c r="G190" s="1" t="s">
        <v>19</v>
      </c>
      <c r="H190" s="1" t="s">
        <v>220</v>
      </c>
      <c r="I190" s="1" t="s">
        <v>221</v>
      </c>
      <c r="J190" s="1" t="s">
        <v>222</v>
      </c>
      <c r="K190" s="1" t="s">
        <v>223</v>
      </c>
      <c r="L190">
        <v>89.9</v>
      </c>
      <c r="M190" s="1" t="s">
        <v>24</v>
      </c>
      <c r="N190" s="2">
        <v>45341.368503182872</v>
      </c>
      <c r="O190" s="1" t="s">
        <v>25</v>
      </c>
      <c r="P190" s="1" t="s">
        <v>26</v>
      </c>
      <c r="Q190" s="1"/>
      <c r="R190" s="1"/>
      <c r="S190" s="1" t="str">
        <f>IF(M190="USD","DOLLAR",M190)</f>
        <v>DOLLAR</v>
      </c>
      <c r="T190" s="1" t="str">
        <f>IF(zara[[#This Row],[terms]]="jackets","jacket",IF(O190="shoes","shoe",O190))</f>
        <v>jacket</v>
      </c>
      <c r="U190" s="1">
        <f>SUMIF(O:O,zara[[#This Row],[terms]],L:L)</f>
        <v>14806.109999999982</v>
      </c>
      <c r="V190" s="1">
        <f>SUMIFS(L:L,O:O,O190)</f>
        <v>14806.109999999982</v>
      </c>
      <c r="W190" s="1" t="str">
        <f>VLOOKUP(zara[[#This Row],[price]],L:P,5,FALSE)</f>
        <v>MAN</v>
      </c>
      <c r="X190" s="1" t="str">
        <f>INDEX(O:O,MATCH(zara[[#This Row],[price]],L:L,0))</f>
        <v>jackets</v>
      </c>
      <c r="Y190" s="1" t="str">
        <f>INDEX(P:P,MATCH(zara[[#This Row],[price]],L:L,0))</f>
        <v>MAN</v>
      </c>
      <c r="Z190" s="1" t="str">
        <f>INDEX(P:P,MATCH(zara[[#This Row],[price]],L:L,0))</f>
        <v>MAN</v>
      </c>
      <c r="AA190" s="1">
        <f>SUMIFS(L:L,O:O,zara[[#This Row],[terms]])</f>
        <v>14806.109999999982</v>
      </c>
    </row>
    <row r="191" spans="1:27" x14ac:dyDescent="0.3">
      <c r="A191">
        <v>193332</v>
      </c>
      <c r="B191" s="1" t="s">
        <v>16</v>
      </c>
      <c r="C191" s="1" t="s">
        <v>32</v>
      </c>
      <c r="D191" s="1" t="s">
        <v>18</v>
      </c>
      <c r="E191" s="1" t="s">
        <v>17</v>
      </c>
      <c r="F191">
        <v>1237</v>
      </c>
      <c r="G191" s="1" t="s">
        <v>19</v>
      </c>
      <c r="H191" s="1" t="s">
        <v>625</v>
      </c>
      <c r="I191" s="1" t="s">
        <v>626</v>
      </c>
      <c r="J191" s="1" t="s">
        <v>627</v>
      </c>
      <c r="K191" s="1" t="s">
        <v>628</v>
      </c>
      <c r="L191">
        <v>49.9</v>
      </c>
      <c r="M191" s="1" t="s">
        <v>24</v>
      </c>
      <c r="N191" s="2">
        <v>45341.375577361112</v>
      </c>
      <c r="O191" s="1" t="s">
        <v>517</v>
      </c>
      <c r="P191" s="1" t="s">
        <v>26</v>
      </c>
      <c r="Q191" s="1"/>
      <c r="R191" s="1"/>
      <c r="S191" s="1" t="str">
        <f>IF(M191="USD","DOLLAR",M191)</f>
        <v>DOLLAR</v>
      </c>
      <c r="T191" s="1" t="str">
        <f>IF(zara[[#This Row],[terms]]="jackets","jacket",IF(O191="shoes","shoe",O191))</f>
        <v>shoe</v>
      </c>
      <c r="U191" s="1">
        <f>SUMIF(O:O,zara[[#This Row],[terms]],L:L)</f>
        <v>2011.0800000000013</v>
      </c>
      <c r="V191" s="1">
        <f>SUMIFS(L:L,O:O,O191)</f>
        <v>2011.0800000000013</v>
      </c>
      <c r="W191" s="1" t="str">
        <f>VLOOKUP(zara[[#This Row],[price]],L:P,5,FALSE)</f>
        <v>MAN</v>
      </c>
      <c r="X191" s="1" t="str">
        <f>INDEX(O:O,MATCH(zara[[#This Row],[price]],L:L,0))</f>
        <v>jackets</v>
      </c>
      <c r="Y191" s="1" t="str">
        <f>INDEX(P:P,MATCH(zara[[#This Row],[price]],L:L,0))</f>
        <v>MAN</v>
      </c>
      <c r="Z191" s="1" t="str">
        <f>INDEX(P:P,MATCH(zara[[#This Row],[price]],L:L,0))</f>
        <v>MAN</v>
      </c>
      <c r="AA191" s="1">
        <f>SUMIFS(L:L,O:O,zara[[#This Row],[terms]])</f>
        <v>2011.0800000000013</v>
      </c>
    </row>
    <row r="192" spans="1:27" hidden="1" x14ac:dyDescent="0.3">
      <c r="A192">
        <v>125938</v>
      </c>
      <c r="B192" s="1" t="s">
        <v>16</v>
      </c>
      <c r="C192" s="1" t="s">
        <v>32</v>
      </c>
      <c r="D192" s="1" t="s">
        <v>18</v>
      </c>
      <c r="E192" s="1" t="s">
        <v>32</v>
      </c>
      <c r="F192">
        <v>1204</v>
      </c>
      <c r="G192" s="1" t="s">
        <v>19</v>
      </c>
      <c r="H192" s="1" t="s">
        <v>678</v>
      </c>
      <c r="I192" s="1" t="s">
        <v>679</v>
      </c>
      <c r="J192" s="1" t="s">
        <v>680</v>
      </c>
      <c r="K192" s="1" t="s">
        <v>681</v>
      </c>
      <c r="L192">
        <v>49.9</v>
      </c>
      <c r="M192" s="1" t="s">
        <v>24</v>
      </c>
      <c r="N192" s="2">
        <v>45341.382394490742</v>
      </c>
      <c r="O192" s="1" t="s">
        <v>636</v>
      </c>
      <c r="P192" s="1" t="s">
        <v>637</v>
      </c>
      <c r="Q192" s="1"/>
      <c r="R192" s="1"/>
      <c r="S192" s="1" t="str">
        <f>IF(M192="USD","DOLLAR",M192)</f>
        <v>DOLLAR</v>
      </c>
      <c r="T192" s="1" t="str">
        <f>IF(zara[[#This Row],[terms]]="jackets","jacket",IF(O192="shoes","shoe",O192))</f>
        <v>sweaters</v>
      </c>
      <c r="U192" s="1">
        <f>SUMIF(O:O,zara[[#This Row],[terms]],L:L)</f>
        <v>2249.3700000000013</v>
      </c>
      <c r="V192" s="1">
        <f>SUMIFS(L:L,O:O,O192)</f>
        <v>2249.3700000000013</v>
      </c>
      <c r="W192" s="1" t="str">
        <f>VLOOKUP(zara[[#This Row],[price]],L:P,5,FALSE)</f>
        <v>MAN</v>
      </c>
      <c r="X192" s="1" t="str">
        <f>INDEX(O:O,MATCH(zara[[#This Row],[price]],L:L,0))</f>
        <v>jackets</v>
      </c>
      <c r="Y192" s="1" t="str">
        <f>INDEX(P:P,MATCH(zara[[#This Row],[price]],L:L,0))</f>
        <v>MAN</v>
      </c>
      <c r="Z192" s="1" t="str">
        <f>INDEX(P:P,MATCH(zara[[#This Row],[price]],L:L,0))</f>
        <v>MAN</v>
      </c>
      <c r="AA192" s="1">
        <f>SUMIFS(L:L,O:O,zara[[#This Row],[terms]])</f>
        <v>2249.3700000000013</v>
      </c>
    </row>
    <row r="193" spans="1:27" x14ac:dyDescent="0.3">
      <c r="A193">
        <v>147449</v>
      </c>
      <c r="B193" s="1" t="s">
        <v>31</v>
      </c>
      <c r="C193" s="1" t="s">
        <v>17</v>
      </c>
      <c r="D193" s="1" t="s">
        <v>18</v>
      </c>
      <c r="E193" s="1" t="s">
        <v>17</v>
      </c>
      <c r="F193">
        <v>1191</v>
      </c>
      <c r="G193" s="1" t="s">
        <v>19</v>
      </c>
      <c r="H193" s="1" t="s">
        <v>621</v>
      </c>
      <c r="I193" s="1" t="s">
        <v>622</v>
      </c>
      <c r="J193" s="1" t="s">
        <v>623</v>
      </c>
      <c r="K193" s="1" t="s">
        <v>624</v>
      </c>
      <c r="L193">
        <v>69.900000000000006</v>
      </c>
      <c r="M193" s="1" t="s">
        <v>24</v>
      </c>
      <c r="N193" s="2">
        <v>45341.375571736113</v>
      </c>
      <c r="O193" s="1" t="s">
        <v>517</v>
      </c>
      <c r="P193" s="1" t="s">
        <v>26</v>
      </c>
      <c r="Q193" s="1"/>
      <c r="R193" s="1"/>
      <c r="S193" s="1" t="str">
        <f>IF(M193="USD","DOLLAR",M193)</f>
        <v>DOLLAR</v>
      </c>
      <c r="T193" s="1" t="str">
        <f>IF(zara[[#This Row],[terms]]="jackets","jacket",IF(O193="shoes","shoe",O193))</f>
        <v>shoe</v>
      </c>
      <c r="U193" s="1">
        <f>SUMIF(O:O,zara[[#This Row],[terms]],L:L)</f>
        <v>2011.0800000000013</v>
      </c>
      <c r="V193" s="1">
        <f>SUMIFS(L:L,O:O,O193)</f>
        <v>2011.0800000000013</v>
      </c>
      <c r="W193" s="1" t="str">
        <f>VLOOKUP(zara[[#This Row],[price]],L:P,5,FALSE)</f>
        <v>MAN</v>
      </c>
      <c r="X193" s="1" t="str">
        <f>INDEX(O:O,MATCH(zara[[#This Row],[price]],L:L,0))</f>
        <v>jeans</v>
      </c>
      <c r="Y193" s="1" t="str">
        <f>INDEX(P:P,MATCH(zara[[#This Row],[price]],L:L,0))</f>
        <v>MAN</v>
      </c>
      <c r="Z193" s="1" t="str">
        <f>INDEX(P:P,MATCH(zara[[#This Row],[price]],L:L,0))</f>
        <v>MAN</v>
      </c>
      <c r="AA193" s="1">
        <f>SUMIFS(L:L,O:O,zara[[#This Row],[terms]])</f>
        <v>2011.0800000000013</v>
      </c>
    </row>
    <row r="194" spans="1:27" hidden="1" x14ac:dyDescent="0.3">
      <c r="A194">
        <v>165326</v>
      </c>
      <c r="B194" s="1" t="s">
        <v>16</v>
      </c>
      <c r="C194" s="1" t="s">
        <v>17</v>
      </c>
      <c r="D194" s="1" t="s">
        <v>18</v>
      </c>
      <c r="E194" s="1" t="s">
        <v>17</v>
      </c>
      <c r="F194">
        <v>1188</v>
      </c>
      <c r="G194" s="1" t="s">
        <v>19</v>
      </c>
      <c r="H194" s="1" t="s">
        <v>869</v>
      </c>
      <c r="I194" s="1" t="s">
        <v>870</v>
      </c>
      <c r="J194" s="1" t="s">
        <v>871</v>
      </c>
      <c r="K194" s="1" t="s">
        <v>872</v>
      </c>
      <c r="L194">
        <v>45.9</v>
      </c>
      <c r="M194" s="1" t="s">
        <v>24</v>
      </c>
      <c r="N194" s="2">
        <v>45341.3725825</v>
      </c>
      <c r="O194" s="1" t="s">
        <v>836</v>
      </c>
      <c r="P194" s="1" t="s">
        <v>26</v>
      </c>
      <c r="Q194" s="1"/>
      <c r="R194" s="1"/>
      <c r="S194" s="1" t="str">
        <f>IF(M194="USD","DOLLAR",M194)</f>
        <v>DOLLAR</v>
      </c>
      <c r="T194" s="1" t="str">
        <f>IF(zara[[#This Row],[terms]]="jackets","jacket",IF(O194="shoes","shoe",O194))</f>
        <v>t-shirts</v>
      </c>
      <c r="U194" s="1">
        <f>SUMIF(O:O,zara[[#This Row],[terms]],L:L)</f>
        <v>2157.6900000000005</v>
      </c>
      <c r="V194" s="1">
        <f>SUMIFS(L:L,O:O,O194)</f>
        <v>2157.6900000000005</v>
      </c>
      <c r="W194" s="1" t="str">
        <f>VLOOKUP(zara[[#This Row],[price]],L:P,5,FALSE)</f>
        <v>MAN</v>
      </c>
      <c r="X194" s="1" t="str">
        <f>INDEX(O:O,MATCH(zara[[#This Row],[price]],L:L,0))</f>
        <v>shoes</v>
      </c>
      <c r="Y194" s="1" t="str">
        <f>INDEX(P:P,MATCH(zara[[#This Row],[price]],L:L,0))</f>
        <v>MAN</v>
      </c>
      <c r="Z194" s="1" t="str">
        <f>INDEX(P:P,MATCH(zara[[#This Row],[price]],L:L,0))</f>
        <v>MAN</v>
      </c>
      <c r="AA194" s="1">
        <f>SUMIFS(L:L,O:O,zara[[#This Row],[terms]])</f>
        <v>2157.6900000000005</v>
      </c>
    </row>
    <row r="195" spans="1:27" hidden="1" x14ac:dyDescent="0.3">
      <c r="A195">
        <v>142257</v>
      </c>
      <c r="B195" s="1" t="s">
        <v>16</v>
      </c>
      <c r="C195" s="1" t="s">
        <v>32</v>
      </c>
      <c r="D195" s="1" t="s">
        <v>18</v>
      </c>
      <c r="E195" s="1" t="s">
        <v>32</v>
      </c>
      <c r="F195">
        <v>1180</v>
      </c>
      <c r="G195" s="1" t="s">
        <v>19</v>
      </c>
      <c r="H195" s="1" t="s">
        <v>832</v>
      </c>
      <c r="I195" s="1" t="s">
        <v>833</v>
      </c>
      <c r="J195" s="1" t="s">
        <v>834</v>
      </c>
      <c r="K195" s="1" t="s">
        <v>835</v>
      </c>
      <c r="L195">
        <v>19.899999999999999</v>
      </c>
      <c r="M195" s="1" t="s">
        <v>24</v>
      </c>
      <c r="N195" s="2">
        <v>45341.372524618055</v>
      </c>
      <c r="O195" s="1" t="s">
        <v>836</v>
      </c>
      <c r="P195" s="1" t="s">
        <v>26</v>
      </c>
      <c r="Q195" s="1"/>
      <c r="R195" s="1"/>
      <c r="S195" s="1" t="str">
        <f>IF(M195="USD","DOLLAR",M195)</f>
        <v>DOLLAR</v>
      </c>
      <c r="T195" s="1" t="str">
        <f>IF(zara[[#This Row],[terms]]="jackets","jacket",IF(O195="shoes","shoe",O195))</f>
        <v>t-shirts</v>
      </c>
      <c r="U195" s="1">
        <f>SUMIF(O:O,zara[[#This Row],[terms]],L:L)</f>
        <v>2157.6900000000005</v>
      </c>
      <c r="V195" s="1">
        <f>SUMIFS(L:L,O:O,O195)</f>
        <v>2157.6900000000005</v>
      </c>
      <c r="W195" s="1" t="str">
        <f>VLOOKUP(zara[[#This Row],[price]],L:P,5,FALSE)</f>
        <v>MAN</v>
      </c>
      <c r="X195" s="1" t="str">
        <f>INDEX(O:O,MATCH(zara[[#This Row],[price]],L:L,0))</f>
        <v>jackets</v>
      </c>
      <c r="Y195" s="1" t="str">
        <f>INDEX(P:P,MATCH(zara[[#This Row],[price]],L:L,0))</f>
        <v>MAN</v>
      </c>
      <c r="Z195" s="1" t="str">
        <f>INDEX(P:P,MATCH(zara[[#This Row],[price]],L:L,0))</f>
        <v>MAN</v>
      </c>
      <c r="AA195" s="1">
        <f>SUMIFS(L:L,O:O,zara[[#This Row],[terms]])</f>
        <v>2157.6900000000005</v>
      </c>
    </row>
    <row r="196" spans="1:27" hidden="1" x14ac:dyDescent="0.3">
      <c r="A196">
        <v>127296</v>
      </c>
      <c r="B196" s="1" t="s">
        <v>16</v>
      </c>
      <c r="C196" s="1" t="s">
        <v>17</v>
      </c>
      <c r="D196" s="1" t="s">
        <v>18</v>
      </c>
      <c r="E196" s="1" t="s">
        <v>17</v>
      </c>
      <c r="F196">
        <v>1165</v>
      </c>
      <c r="G196" s="1" t="s">
        <v>19</v>
      </c>
      <c r="H196" s="1" t="s">
        <v>184</v>
      </c>
      <c r="I196" s="1" t="s">
        <v>185</v>
      </c>
      <c r="J196" s="1" t="s">
        <v>186</v>
      </c>
      <c r="K196" s="1" t="s">
        <v>187</v>
      </c>
      <c r="L196">
        <v>89.9</v>
      </c>
      <c r="M196" s="1" t="s">
        <v>24</v>
      </c>
      <c r="N196" s="2">
        <v>45341.368426111112</v>
      </c>
      <c r="O196" s="1" t="s">
        <v>25</v>
      </c>
      <c r="P196" s="1" t="s">
        <v>26</v>
      </c>
      <c r="Q196" s="1"/>
      <c r="R196" s="1"/>
      <c r="S196" s="1" t="str">
        <f>IF(M196="USD","DOLLAR",M196)</f>
        <v>DOLLAR</v>
      </c>
      <c r="T196" s="1" t="str">
        <f>IF(zara[[#This Row],[terms]]="jackets","jacket",IF(O196="shoes","shoe",O196))</f>
        <v>jacket</v>
      </c>
      <c r="U196" s="1">
        <f>SUMIF(O:O,zara[[#This Row],[terms]],L:L)</f>
        <v>14806.109999999982</v>
      </c>
      <c r="V196" s="1">
        <f>SUMIFS(L:L,O:O,O196)</f>
        <v>14806.109999999982</v>
      </c>
      <c r="W196" s="1" t="str">
        <f>VLOOKUP(zara[[#This Row],[price]],L:P,5,FALSE)</f>
        <v>MAN</v>
      </c>
      <c r="X196" s="1" t="str">
        <f>INDEX(O:O,MATCH(zara[[#This Row],[price]],L:L,0))</f>
        <v>jackets</v>
      </c>
      <c r="Y196" s="1" t="str">
        <f>INDEX(P:P,MATCH(zara[[#This Row],[price]],L:L,0))</f>
        <v>MAN</v>
      </c>
      <c r="Z196" s="1" t="str">
        <f>INDEX(P:P,MATCH(zara[[#This Row],[price]],L:L,0))</f>
        <v>MAN</v>
      </c>
      <c r="AA196" s="1">
        <f>SUMIFS(L:L,O:O,zara[[#This Row],[terms]])</f>
        <v>14806.109999999982</v>
      </c>
    </row>
    <row r="197" spans="1:27" hidden="1" x14ac:dyDescent="0.3">
      <c r="A197">
        <v>178281</v>
      </c>
      <c r="B197" s="1" t="s">
        <v>31</v>
      </c>
      <c r="C197" s="1" t="s">
        <v>17</v>
      </c>
      <c r="D197" s="1" t="s">
        <v>18</v>
      </c>
      <c r="E197" s="1" t="s">
        <v>32</v>
      </c>
      <c r="F197">
        <v>1145</v>
      </c>
      <c r="G197" s="1" t="s">
        <v>19</v>
      </c>
      <c r="H197" s="1" t="s">
        <v>162</v>
      </c>
      <c r="I197" s="1" t="s">
        <v>163</v>
      </c>
      <c r="J197" s="1" t="s">
        <v>164</v>
      </c>
      <c r="K197" s="1" t="s">
        <v>165</v>
      </c>
      <c r="L197">
        <v>109</v>
      </c>
      <c r="M197" s="1" t="s">
        <v>24</v>
      </c>
      <c r="N197" s="2">
        <v>45341.368372314813</v>
      </c>
      <c r="O197" s="1" t="s">
        <v>25</v>
      </c>
      <c r="P197" s="1" t="s">
        <v>26</v>
      </c>
      <c r="Q197" s="1"/>
      <c r="R197" s="1"/>
      <c r="S197" s="1" t="str">
        <f>IF(M197="USD","DOLLAR",M197)</f>
        <v>DOLLAR</v>
      </c>
      <c r="T197" s="1" t="str">
        <f>IF(zara[[#This Row],[terms]]="jackets","jacket",IF(O197="shoes","shoe",O197))</f>
        <v>jacket</v>
      </c>
      <c r="U197" s="1">
        <f>SUMIF(O:O,zara[[#This Row],[terms]],L:L)</f>
        <v>14806.109999999982</v>
      </c>
      <c r="V197" s="1">
        <f>SUMIFS(L:L,O:O,O197)</f>
        <v>14806.109999999982</v>
      </c>
      <c r="W197" s="1" t="str">
        <f>VLOOKUP(zara[[#This Row],[price]],L:P,5,FALSE)</f>
        <v>MAN</v>
      </c>
      <c r="X197" s="1" t="str">
        <f>INDEX(O:O,MATCH(zara[[#This Row],[price]],L:L,0))</f>
        <v>t-shirts</v>
      </c>
      <c r="Y197" s="1" t="str">
        <f>INDEX(P:P,MATCH(zara[[#This Row],[price]],L:L,0))</f>
        <v>MAN</v>
      </c>
      <c r="Z197" s="1" t="str">
        <f>INDEX(P:P,MATCH(zara[[#This Row],[price]],L:L,0))</f>
        <v>MAN</v>
      </c>
      <c r="AA197" s="1">
        <f>SUMIFS(L:L,O:O,zara[[#This Row],[terms]])</f>
        <v>14806.109999999982</v>
      </c>
    </row>
    <row r="198" spans="1:27" hidden="1" x14ac:dyDescent="0.3">
      <c r="A198">
        <v>185774</v>
      </c>
      <c r="B198" s="1" t="s">
        <v>31</v>
      </c>
      <c r="C198" s="1" t="s">
        <v>32</v>
      </c>
      <c r="D198" s="1" t="s">
        <v>18</v>
      </c>
      <c r="E198" s="1" t="s">
        <v>32</v>
      </c>
      <c r="F198">
        <v>1145</v>
      </c>
      <c r="G198" s="1" t="s">
        <v>19</v>
      </c>
      <c r="H198" s="1" t="s">
        <v>698</v>
      </c>
      <c r="I198" s="1" t="s">
        <v>459</v>
      </c>
      <c r="J198" s="1" t="s">
        <v>92</v>
      </c>
      <c r="K198" s="1" t="s">
        <v>477</v>
      </c>
      <c r="L198">
        <v>19.989999999999998</v>
      </c>
      <c r="M198" s="1" t="s">
        <v>24</v>
      </c>
      <c r="N198" s="2">
        <v>45341.382356956019</v>
      </c>
      <c r="O198" s="1" t="s">
        <v>836</v>
      </c>
      <c r="P198" s="1" t="s">
        <v>26</v>
      </c>
      <c r="Q198" s="1"/>
      <c r="R198" s="1"/>
      <c r="S198" s="1" t="str">
        <f>IF(M198="USD","DOLLAR",M198)</f>
        <v>DOLLAR</v>
      </c>
      <c r="T198" s="1" t="str">
        <f>IF(zara[[#This Row],[terms]]="jackets","jacket",IF(O198="shoes","shoe",O198))</f>
        <v>t-shirts</v>
      </c>
      <c r="U198" s="1">
        <f>SUMIF(O:O,zara[[#This Row],[terms]],L:L)</f>
        <v>2157.6900000000005</v>
      </c>
      <c r="V198" s="1">
        <f>SUMIFS(L:L,O:O,O198)</f>
        <v>2157.6900000000005</v>
      </c>
      <c r="W198" s="1" t="str">
        <f>VLOOKUP(zara[[#This Row],[price]],L:P,5,FALSE)</f>
        <v>MAN</v>
      </c>
      <c r="X198" s="1" t="str">
        <f>INDEX(O:O,MATCH(zara[[#This Row],[price]],L:L,0))</f>
        <v>jackets</v>
      </c>
      <c r="Y198" s="1" t="str">
        <f>INDEX(P:P,MATCH(zara[[#This Row],[price]],L:L,0))</f>
        <v>MAN</v>
      </c>
      <c r="Z198" s="1" t="str">
        <f>INDEX(P:P,MATCH(zara[[#This Row],[price]],L:L,0))</f>
        <v>MAN</v>
      </c>
      <c r="AA198" s="1">
        <f>SUMIFS(L:L,O:O,zara[[#This Row],[terms]])</f>
        <v>2157.6900000000005</v>
      </c>
    </row>
    <row r="199" spans="1:27" hidden="1" x14ac:dyDescent="0.3">
      <c r="A199">
        <v>119044</v>
      </c>
      <c r="B199" s="1" t="s">
        <v>16</v>
      </c>
      <c r="C199" s="1" t="s">
        <v>17</v>
      </c>
      <c r="D199" s="1" t="s">
        <v>18</v>
      </c>
      <c r="E199" s="1" t="s">
        <v>32</v>
      </c>
      <c r="F199">
        <v>1140</v>
      </c>
      <c r="G199" s="1" t="s">
        <v>19</v>
      </c>
      <c r="H199" s="1" t="s">
        <v>686</v>
      </c>
      <c r="I199" s="1" t="s">
        <v>448</v>
      </c>
      <c r="J199" s="1" t="s">
        <v>80</v>
      </c>
      <c r="K199" s="1" t="s">
        <v>467</v>
      </c>
      <c r="L199">
        <v>169</v>
      </c>
      <c r="M199" s="1" t="s">
        <v>24</v>
      </c>
      <c r="N199" s="2">
        <v>45341.382336689814</v>
      </c>
      <c r="O199" s="1" t="s">
        <v>636</v>
      </c>
      <c r="P199" s="1" t="s">
        <v>26</v>
      </c>
      <c r="Q199" s="1"/>
      <c r="R199" s="1"/>
      <c r="S199" s="1" t="str">
        <f>IF(M199="USD","DOLLAR",M199)</f>
        <v>DOLLAR</v>
      </c>
      <c r="T199" s="1" t="str">
        <f>IF(zara[[#This Row],[terms]]="jackets","jacket",IF(O199="shoes","shoe",O199))</f>
        <v>sweaters</v>
      </c>
      <c r="U199" s="1">
        <f>SUMIF(O:O,zara[[#This Row],[terms]],L:L)</f>
        <v>2249.3700000000013</v>
      </c>
      <c r="V199" s="1">
        <f>SUMIFS(L:L,O:O,O199)</f>
        <v>2249.3700000000013</v>
      </c>
      <c r="W199" s="1" t="str">
        <f>VLOOKUP(zara[[#This Row],[price]],L:P,5,FALSE)</f>
        <v>MAN</v>
      </c>
      <c r="X199" s="1" t="str">
        <f>INDEX(O:O,MATCH(zara[[#This Row],[price]],L:L,0))</f>
        <v>jackets</v>
      </c>
      <c r="Y199" s="1" t="str">
        <f>INDEX(P:P,MATCH(zara[[#This Row],[price]],L:L,0))</f>
        <v>MAN</v>
      </c>
      <c r="Z199" s="1" t="str">
        <f>INDEX(P:P,MATCH(zara[[#This Row],[price]],L:L,0))</f>
        <v>MAN</v>
      </c>
      <c r="AA199" s="1">
        <f>SUMIFS(L:L,O:O,zara[[#This Row],[terms]])</f>
        <v>2249.3700000000013</v>
      </c>
    </row>
    <row r="200" spans="1:27" hidden="1" x14ac:dyDescent="0.3">
      <c r="A200">
        <v>151438</v>
      </c>
      <c r="B200" s="1" t="s">
        <v>16</v>
      </c>
      <c r="C200" s="1" t="s">
        <v>17</v>
      </c>
      <c r="D200" s="1" t="s">
        <v>18</v>
      </c>
      <c r="E200" s="1" t="s">
        <v>32</v>
      </c>
      <c r="F200">
        <v>1137</v>
      </c>
      <c r="G200" s="1" t="s">
        <v>19</v>
      </c>
      <c r="H200" s="1" t="s">
        <v>458</v>
      </c>
      <c r="I200" s="1" t="s">
        <v>459</v>
      </c>
      <c r="J200" s="1" t="s">
        <v>438</v>
      </c>
      <c r="K200" s="1" t="s">
        <v>460</v>
      </c>
      <c r="L200">
        <v>69.900000000000006</v>
      </c>
      <c r="M200" s="1" t="s">
        <v>24</v>
      </c>
      <c r="N200" s="2">
        <v>45341.369170740742</v>
      </c>
      <c r="O200" s="1" t="s">
        <v>25</v>
      </c>
      <c r="P200" s="1" t="s">
        <v>26</v>
      </c>
      <c r="Q200" s="1"/>
      <c r="R200" s="1"/>
      <c r="S200" s="1" t="str">
        <f>IF(M200="USD","DOLLAR",M200)</f>
        <v>DOLLAR</v>
      </c>
      <c r="T200" s="1" t="str">
        <f>IF(zara[[#This Row],[terms]]="jackets","jacket",IF(O200="shoes","shoe",O200))</f>
        <v>jacket</v>
      </c>
      <c r="U200" s="1">
        <f>SUMIF(O:O,zara[[#This Row],[terms]],L:L)</f>
        <v>14806.109999999982</v>
      </c>
      <c r="V200" s="1">
        <f>SUMIFS(L:L,O:O,O200)</f>
        <v>14806.109999999982</v>
      </c>
      <c r="W200" s="1" t="str">
        <f>VLOOKUP(zara[[#This Row],[price]],L:P,5,FALSE)</f>
        <v>MAN</v>
      </c>
      <c r="X200" s="1" t="str">
        <f>INDEX(O:O,MATCH(zara[[#This Row],[price]],L:L,0))</f>
        <v>jeans</v>
      </c>
      <c r="Y200" s="1" t="str">
        <f>INDEX(P:P,MATCH(zara[[#This Row],[price]],L:L,0))</f>
        <v>MAN</v>
      </c>
      <c r="Z200" s="1" t="str">
        <f>INDEX(P:P,MATCH(zara[[#This Row],[price]],L:L,0))</f>
        <v>MAN</v>
      </c>
      <c r="AA200" s="1">
        <f>SUMIFS(L:L,O:O,zara[[#This Row],[terms]])</f>
        <v>14806.109999999982</v>
      </c>
    </row>
    <row r="201" spans="1:27" hidden="1" x14ac:dyDescent="0.3">
      <c r="A201">
        <v>166345</v>
      </c>
      <c r="B201" s="1" t="s">
        <v>16</v>
      </c>
      <c r="C201" s="1" t="s">
        <v>17</v>
      </c>
      <c r="D201" s="1" t="s">
        <v>18</v>
      </c>
      <c r="E201" s="1" t="s">
        <v>32</v>
      </c>
      <c r="F201">
        <v>1135</v>
      </c>
      <c r="G201" s="1" t="s">
        <v>19</v>
      </c>
      <c r="H201" s="1" t="s">
        <v>364</v>
      </c>
      <c r="I201" s="1" t="s">
        <v>365</v>
      </c>
      <c r="J201" s="1" t="s">
        <v>366</v>
      </c>
      <c r="K201" s="1" t="s">
        <v>367</v>
      </c>
      <c r="L201">
        <v>69.900000000000006</v>
      </c>
      <c r="M201" s="1" t="s">
        <v>24</v>
      </c>
      <c r="N201" s="2">
        <v>45341.368805925929</v>
      </c>
      <c r="O201" s="1" t="s">
        <v>25</v>
      </c>
      <c r="P201" s="1" t="s">
        <v>26</v>
      </c>
      <c r="Q201" s="1"/>
      <c r="R201" s="1"/>
      <c r="S201" s="1" t="str">
        <f>IF(M201="USD","DOLLAR",M201)</f>
        <v>DOLLAR</v>
      </c>
      <c r="T201" s="1" t="str">
        <f>IF(zara[[#This Row],[terms]]="jackets","jacket",IF(O201="shoes","shoe",O201))</f>
        <v>jacket</v>
      </c>
      <c r="U201" s="1">
        <f>SUMIF(O:O,zara[[#This Row],[terms]],L:L)</f>
        <v>14806.109999999982</v>
      </c>
      <c r="V201" s="1">
        <f>SUMIFS(L:L,O:O,O201)</f>
        <v>14806.109999999982</v>
      </c>
      <c r="W201" s="1" t="str">
        <f>VLOOKUP(zara[[#This Row],[price]],L:P,5,FALSE)</f>
        <v>MAN</v>
      </c>
      <c r="X201" s="1" t="str">
        <f>INDEX(O:O,MATCH(zara[[#This Row],[price]],L:L,0))</f>
        <v>jeans</v>
      </c>
      <c r="Y201" s="1" t="str">
        <f>INDEX(P:P,MATCH(zara[[#This Row],[price]],L:L,0))</f>
        <v>MAN</v>
      </c>
      <c r="Z201" s="1" t="str">
        <f>INDEX(P:P,MATCH(zara[[#This Row],[price]],L:L,0))</f>
        <v>MAN</v>
      </c>
      <c r="AA201" s="1">
        <f>SUMIFS(L:L,O:O,zara[[#This Row],[terms]])</f>
        <v>14806.109999999982</v>
      </c>
    </row>
    <row r="202" spans="1:27" hidden="1" x14ac:dyDescent="0.3">
      <c r="A202">
        <v>144497</v>
      </c>
      <c r="B202" s="1" t="s">
        <v>31</v>
      </c>
      <c r="C202" s="1" t="s">
        <v>32</v>
      </c>
      <c r="D202" s="1" t="s">
        <v>18</v>
      </c>
      <c r="E202" s="1" t="s">
        <v>32</v>
      </c>
      <c r="F202">
        <v>1105</v>
      </c>
      <c r="G202" s="1" t="s">
        <v>19</v>
      </c>
      <c r="H202" s="1" t="s">
        <v>646</v>
      </c>
      <c r="I202" s="1" t="s">
        <v>647</v>
      </c>
      <c r="J202" s="1" t="s">
        <v>648</v>
      </c>
      <c r="K202" s="1" t="s">
        <v>649</v>
      </c>
      <c r="L202">
        <v>49.9</v>
      </c>
      <c r="M202" s="1" t="s">
        <v>24</v>
      </c>
      <c r="N202" s="2">
        <v>45341.382336689814</v>
      </c>
      <c r="O202" s="1" t="s">
        <v>636</v>
      </c>
      <c r="P202" s="1" t="s">
        <v>637</v>
      </c>
      <c r="Q202" s="1"/>
      <c r="R202" s="1"/>
      <c r="S202" s="1" t="str">
        <f>IF(M202="USD","DOLLAR",M202)</f>
        <v>DOLLAR</v>
      </c>
      <c r="T202" s="1" t="str">
        <f>IF(zara[[#This Row],[terms]]="jackets","jacket",IF(O202="shoes","shoe",O202))</f>
        <v>sweaters</v>
      </c>
      <c r="U202" s="1">
        <f>SUMIF(O:O,zara[[#This Row],[terms]],L:L)</f>
        <v>2249.3700000000013</v>
      </c>
      <c r="V202" s="1">
        <f>SUMIFS(L:L,O:O,O202)</f>
        <v>2249.3700000000013</v>
      </c>
      <c r="W202" s="1" t="str">
        <f>VLOOKUP(zara[[#This Row],[price]],L:P,5,FALSE)</f>
        <v>MAN</v>
      </c>
      <c r="X202" s="1" t="str">
        <f>INDEX(O:O,MATCH(zara[[#This Row],[price]],L:L,0))</f>
        <v>jackets</v>
      </c>
      <c r="Y202" s="1" t="str">
        <f>INDEX(P:P,MATCH(zara[[#This Row],[price]],L:L,0))</f>
        <v>MAN</v>
      </c>
      <c r="Z202" s="1" t="str">
        <f>INDEX(P:P,MATCH(zara[[#This Row],[price]],L:L,0))</f>
        <v>MAN</v>
      </c>
      <c r="AA202" s="1">
        <f>SUMIFS(L:L,O:O,zara[[#This Row],[terms]])</f>
        <v>2249.3700000000013</v>
      </c>
    </row>
    <row r="203" spans="1:27" hidden="1" x14ac:dyDescent="0.3">
      <c r="A203">
        <v>135490</v>
      </c>
      <c r="B203" s="1" t="s">
        <v>49</v>
      </c>
      <c r="C203" s="1" t="s">
        <v>17</v>
      </c>
      <c r="D203" s="1" t="s">
        <v>18</v>
      </c>
      <c r="E203" s="1" t="s">
        <v>17</v>
      </c>
      <c r="F203">
        <v>1094</v>
      </c>
      <c r="G203" s="1" t="s">
        <v>19</v>
      </c>
      <c r="H203" s="1" t="s">
        <v>315</v>
      </c>
      <c r="I203" s="1" t="s">
        <v>316</v>
      </c>
      <c r="J203" s="1" t="s">
        <v>317</v>
      </c>
      <c r="K203" s="1" t="s">
        <v>318</v>
      </c>
      <c r="L203">
        <v>139</v>
      </c>
      <c r="M203" s="1" t="s">
        <v>24</v>
      </c>
      <c r="N203" s="2">
        <v>45341.368707743059</v>
      </c>
      <c r="O203" s="1" t="s">
        <v>25</v>
      </c>
      <c r="P203" s="1" t="s">
        <v>26</v>
      </c>
      <c r="Q203" s="1"/>
      <c r="R203" s="1"/>
      <c r="S203" s="1" t="str">
        <f>IF(M203="USD","DOLLAR",M203)</f>
        <v>DOLLAR</v>
      </c>
      <c r="T203" s="1" t="str">
        <f>IF(zara[[#This Row],[terms]]="jackets","jacket",IF(O203="shoes","shoe",O203))</f>
        <v>jacket</v>
      </c>
      <c r="U203" s="1">
        <f>SUMIF(O:O,zara[[#This Row],[terms]],L:L)</f>
        <v>14806.109999999982</v>
      </c>
      <c r="V203" s="1">
        <f>SUMIFS(L:L,O:O,O203)</f>
        <v>14806.109999999982</v>
      </c>
      <c r="W203" s="1" t="str">
        <f>VLOOKUP(zara[[#This Row],[price]],L:P,5,FALSE)</f>
        <v>MAN</v>
      </c>
      <c r="X203" s="1" t="str">
        <f>INDEX(O:O,MATCH(zara[[#This Row],[price]],L:L,0))</f>
        <v>jackets</v>
      </c>
      <c r="Y203" s="1" t="str">
        <f>INDEX(P:P,MATCH(zara[[#This Row],[price]],L:L,0))</f>
        <v>MAN</v>
      </c>
      <c r="Z203" s="1" t="str">
        <f>INDEX(P:P,MATCH(zara[[#This Row],[price]],L:L,0))</f>
        <v>MAN</v>
      </c>
      <c r="AA203" s="1">
        <f>SUMIFS(L:L,O:O,zara[[#This Row],[terms]])</f>
        <v>14806.109999999982</v>
      </c>
    </row>
    <row r="204" spans="1:27" hidden="1" x14ac:dyDescent="0.3">
      <c r="A204">
        <v>139789</v>
      </c>
      <c r="B204" s="1" t="s">
        <v>16</v>
      </c>
      <c r="C204" s="1" t="s">
        <v>17</v>
      </c>
      <c r="D204" s="1" t="s">
        <v>18</v>
      </c>
      <c r="E204" s="1" t="s">
        <v>32</v>
      </c>
      <c r="F204">
        <v>1094</v>
      </c>
      <c r="G204" s="1" t="s">
        <v>19</v>
      </c>
      <c r="H204" s="1" t="s">
        <v>658</v>
      </c>
      <c r="I204" s="1" t="s">
        <v>659</v>
      </c>
      <c r="J204" s="1" t="s">
        <v>660</v>
      </c>
      <c r="K204" s="1" t="s">
        <v>661</v>
      </c>
      <c r="L204">
        <v>69.900000000000006</v>
      </c>
      <c r="M204" s="1" t="s">
        <v>24</v>
      </c>
      <c r="N204" s="2">
        <v>45341.382356956019</v>
      </c>
      <c r="O204" s="1" t="s">
        <v>636</v>
      </c>
      <c r="P204" s="1" t="s">
        <v>637</v>
      </c>
      <c r="Q204" s="1"/>
      <c r="R204" s="1"/>
      <c r="S204" s="1" t="str">
        <f>IF(M204="USD","DOLLAR",M204)</f>
        <v>DOLLAR</v>
      </c>
      <c r="T204" s="1" t="str">
        <f>IF(zara[[#This Row],[terms]]="jackets","jacket",IF(O204="shoes","shoe",O204))</f>
        <v>sweaters</v>
      </c>
      <c r="U204" s="1">
        <f>SUMIF(O:O,zara[[#This Row],[terms]],L:L)</f>
        <v>2249.3700000000013</v>
      </c>
      <c r="V204" s="1">
        <f>SUMIFS(L:L,O:O,O204)</f>
        <v>2249.3700000000013</v>
      </c>
      <c r="W204" s="1" t="str">
        <f>VLOOKUP(zara[[#This Row],[price]],L:P,5,FALSE)</f>
        <v>MAN</v>
      </c>
      <c r="X204" s="1" t="str">
        <f>INDEX(O:O,MATCH(zara[[#This Row],[price]],L:L,0))</f>
        <v>jeans</v>
      </c>
      <c r="Y204" s="1" t="str">
        <f>INDEX(P:P,MATCH(zara[[#This Row],[price]],L:L,0))</f>
        <v>MAN</v>
      </c>
      <c r="Z204" s="1" t="str">
        <f>INDEX(P:P,MATCH(zara[[#This Row],[price]],L:L,0))</f>
        <v>MAN</v>
      </c>
      <c r="AA204" s="1">
        <f>SUMIFS(L:L,O:O,zara[[#This Row],[terms]])</f>
        <v>2249.3700000000013</v>
      </c>
    </row>
    <row r="205" spans="1:27" hidden="1" x14ac:dyDescent="0.3">
      <c r="A205">
        <v>199368</v>
      </c>
      <c r="B205" s="1" t="s">
        <v>49</v>
      </c>
      <c r="C205" s="1" t="s">
        <v>17</v>
      </c>
      <c r="D205" s="1" t="s">
        <v>18</v>
      </c>
      <c r="E205" s="1" t="s">
        <v>32</v>
      </c>
      <c r="F205">
        <v>1061</v>
      </c>
      <c r="G205" s="1" t="s">
        <v>19</v>
      </c>
      <c r="H205" s="1" t="s">
        <v>308</v>
      </c>
      <c r="I205" s="1" t="s">
        <v>309</v>
      </c>
      <c r="J205" s="1" t="s">
        <v>266</v>
      </c>
      <c r="K205" s="1" t="s">
        <v>310</v>
      </c>
      <c r="L205">
        <v>139</v>
      </c>
      <c r="M205" s="1" t="s">
        <v>24</v>
      </c>
      <c r="N205" s="2">
        <v>45341.368697395832</v>
      </c>
      <c r="O205" s="1" t="s">
        <v>25</v>
      </c>
      <c r="P205" s="1" t="s">
        <v>26</v>
      </c>
      <c r="Q205" s="1"/>
      <c r="R205" s="1"/>
      <c r="S205" s="1" t="str">
        <f>IF(M205="USD","DOLLAR",M205)</f>
        <v>DOLLAR</v>
      </c>
      <c r="T205" s="1" t="str">
        <f>IF(zara[[#This Row],[terms]]="jackets","jacket",IF(O205="shoes","shoe",O205))</f>
        <v>jacket</v>
      </c>
      <c r="U205" s="1">
        <f>SUMIF(O:O,zara[[#This Row],[terms]],L:L)</f>
        <v>14806.109999999982</v>
      </c>
      <c r="V205" s="1">
        <f>SUMIFS(L:L,O:O,O205)</f>
        <v>14806.109999999982</v>
      </c>
      <c r="W205" s="1" t="str">
        <f>VLOOKUP(zara[[#This Row],[price]],L:P,5,FALSE)</f>
        <v>MAN</v>
      </c>
      <c r="X205" s="1" t="str">
        <f>INDEX(O:O,MATCH(zara[[#This Row],[price]],L:L,0))</f>
        <v>jackets</v>
      </c>
      <c r="Y205" s="1" t="str">
        <f>INDEX(P:P,MATCH(zara[[#This Row],[price]],L:L,0))</f>
        <v>MAN</v>
      </c>
      <c r="Z205" s="1" t="str">
        <f>INDEX(P:P,MATCH(zara[[#This Row],[price]],L:L,0))</f>
        <v>MAN</v>
      </c>
      <c r="AA205" s="1">
        <f>SUMIFS(L:L,O:O,zara[[#This Row],[terms]])</f>
        <v>14806.109999999982</v>
      </c>
    </row>
    <row r="206" spans="1:27" hidden="1" x14ac:dyDescent="0.3">
      <c r="A206">
        <v>152985</v>
      </c>
      <c r="B206" s="1" t="s">
        <v>16</v>
      </c>
      <c r="C206" s="1" t="s">
        <v>32</v>
      </c>
      <c r="D206" s="1" t="s">
        <v>18</v>
      </c>
      <c r="E206" s="1" t="s">
        <v>32</v>
      </c>
      <c r="F206">
        <v>1049</v>
      </c>
      <c r="G206" s="1" t="s">
        <v>19</v>
      </c>
      <c r="H206" s="1" t="s">
        <v>778</v>
      </c>
      <c r="I206" s="1" t="s">
        <v>779</v>
      </c>
      <c r="J206" s="1" t="s">
        <v>438</v>
      </c>
      <c r="K206" s="1" t="s">
        <v>780</v>
      </c>
      <c r="L206">
        <v>89.9</v>
      </c>
      <c r="M206" s="1" t="s">
        <v>24</v>
      </c>
      <c r="N206" s="2">
        <v>45341.369092881941</v>
      </c>
      <c r="O206" s="1" t="s">
        <v>25</v>
      </c>
      <c r="P206" s="1" t="s">
        <v>26</v>
      </c>
      <c r="Q206" s="1"/>
      <c r="R206" s="1"/>
      <c r="S206" s="1" t="str">
        <f>IF(M206="USD","DOLLAR",M206)</f>
        <v>DOLLAR</v>
      </c>
      <c r="T206" s="1" t="str">
        <f>IF(zara[[#This Row],[terms]]="jackets","jacket",IF(O206="shoes","shoe",O206))</f>
        <v>jacket</v>
      </c>
      <c r="U206" s="1">
        <f>SUMIF(O:O,zara[[#This Row],[terms]],L:L)</f>
        <v>14806.109999999982</v>
      </c>
      <c r="V206" s="1">
        <f>SUMIFS(L:L,O:O,O206)</f>
        <v>14806.109999999982</v>
      </c>
      <c r="W206" s="1" t="str">
        <f>VLOOKUP(zara[[#This Row],[price]],L:P,5,FALSE)</f>
        <v>MAN</v>
      </c>
      <c r="X206" s="1" t="str">
        <f>INDEX(O:O,MATCH(zara[[#This Row],[price]],L:L,0))</f>
        <v>jackets</v>
      </c>
      <c r="Y206" s="1" t="str">
        <f>INDEX(P:P,MATCH(zara[[#This Row],[price]],L:L,0))</f>
        <v>MAN</v>
      </c>
      <c r="Z206" s="1" t="str">
        <f>INDEX(P:P,MATCH(zara[[#This Row],[price]],L:L,0))</f>
        <v>MAN</v>
      </c>
      <c r="AA206" s="1">
        <f>SUMIFS(L:L,O:O,zara[[#This Row],[terms]])</f>
        <v>14806.109999999982</v>
      </c>
    </row>
    <row r="207" spans="1:27" hidden="1" x14ac:dyDescent="0.3">
      <c r="A207">
        <v>180661</v>
      </c>
      <c r="B207" s="1" t="s">
        <v>49</v>
      </c>
      <c r="C207" s="1" t="s">
        <v>17</v>
      </c>
      <c r="D207" s="1" t="s">
        <v>18</v>
      </c>
      <c r="E207" s="1" t="s">
        <v>32</v>
      </c>
      <c r="F207">
        <v>1041</v>
      </c>
      <c r="G207" s="1" t="s">
        <v>19</v>
      </c>
      <c r="H207" s="1" t="s">
        <v>228</v>
      </c>
      <c r="I207" s="1" t="s">
        <v>229</v>
      </c>
      <c r="J207" s="1" t="s">
        <v>230</v>
      </c>
      <c r="K207" s="1" t="s">
        <v>231</v>
      </c>
      <c r="L207">
        <v>129</v>
      </c>
      <c r="M207" s="1" t="s">
        <v>24</v>
      </c>
      <c r="N207" s="2">
        <v>45341.368514907408</v>
      </c>
      <c r="O207" s="1" t="s">
        <v>25</v>
      </c>
      <c r="P207" s="1" t="s">
        <v>26</v>
      </c>
      <c r="Q207" s="1"/>
      <c r="R207" s="1"/>
      <c r="S207" s="1" t="str">
        <f>IF(M207="USD","DOLLAR",M207)</f>
        <v>DOLLAR</v>
      </c>
      <c r="T207" s="1" t="str">
        <f>IF(zara[[#This Row],[terms]]="jackets","jacket",IF(O207="shoes","shoe",O207))</f>
        <v>jacket</v>
      </c>
      <c r="U207" s="1">
        <f>SUMIF(O:O,zara[[#This Row],[terms]],L:L)</f>
        <v>14806.109999999982</v>
      </c>
      <c r="V207" s="1">
        <f>SUMIFS(L:L,O:O,O207)</f>
        <v>14806.109999999982</v>
      </c>
      <c r="W207" s="1" t="str">
        <f>VLOOKUP(zara[[#This Row],[price]],L:P,5,FALSE)</f>
        <v>MAN</v>
      </c>
      <c r="X207" s="1" t="str">
        <f>INDEX(O:O,MATCH(zara[[#This Row],[price]],L:L,0))</f>
        <v>jackets</v>
      </c>
      <c r="Y207" s="1" t="str">
        <f>INDEX(P:P,MATCH(zara[[#This Row],[price]],L:L,0))</f>
        <v>MAN</v>
      </c>
      <c r="Z207" s="1" t="str">
        <f>INDEX(P:P,MATCH(zara[[#This Row],[price]],L:L,0))</f>
        <v>MAN</v>
      </c>
      <c r="AA207" s="1">
        <f>SUMIFS(L:L,O:O,zara[[#This Row],[terms]])</f>
        <v>14806.109999999982</v>
      </c>
    </row>
    <row r="208" spans="1:27" hidden="1" x14ac:dyDescent="0.3">
      <c r="A208">
        <v>167640</v>
      </c>
      <c r="B208" s="1" t="s">
        <v>31</v>
      </c>
      <c r="C208" s="1" t="s">
        <v>32</v>
      </c>
      <c r="D208" s="1" t="s">
        <v>18</v>
      </c>
      <c r="E208" s="1" t="s">
        <v>32</v>
      </c>
      <c r="F208">
        <v>1017</v>
      </c>
      <c r="G208" s="1" t="s">
        <v>19</v>
      </c>
      <c r="H208" s="1" t="s">
        <v>382</v>
      </c>
      <c r="I208" s="1" t="s">
        <v>383</v>
      </c>
      <c r="J208" s="1" t="s">
        <v>370</v>
      </c>
      <c r="K208" s="1" t="s">
        <v>384</v>
      </c>
      <c r="L208">
        <v>109</v>
      </c>
      <c r="M208" s="1" t="s">
        <v>24</v>
      </c>
      <c r="N208" s="2">
        <v>45341.368832442131</v>
      </c>
      <c r="O208" s="1" t="s">
        <v>25</v>
      </c>
      <c r="P208" s="1" t="s">
        <v>26</v>
      </c>
      <c r="Q208" s="1"/>
      <c r="R208" s="1"/>
      <c r="S208" s="1" t="str">
        <f>IF(M208="USD","DOLLAR",M208)</f>
        <v>DOLLAR</v>
      </c>
      <c r="T208" s="1" t="str">
        <f>IF(zara[[#This Row],[terms]]="jackets","jacket",IF(O208="shoes","shoe",O208))</f>
        <v>jacket</v>
      </c>
      <c r="U208" s="1">
        <f>SUMIF(O:O,zara[[#This Row],[terms]],L:L)</f>
        <v>14806.109999999982</v>
      </c>
      <c r="V208" s="1">
        <f>SUMIFS(L:L,O:O,O208)</f>
        <v>14806.109999999982</v>
      </c>
      <c r="W208" s="1" t="str">
        <f>VLOOKUP(zara[[#This Row],[price]],L:P,5,FALSE)</f>
        <v>MAN</v>
      </c>
      <c r="X208" s="1" t="str">
        <f>INDEX(O:O,MATCH(zara[[#This Row],[price]],L:L,0))</f>
        <v>t-shirts</v>
      </c>
      <c r="Y208" s="1" t="str">
        <f>INDEX(P:P,MATCH(zara[[#This Row],[price]],L:L,0))</f>
        <v>MAN</v>
      </c>
      <c r="Z208" s="1" t="str">
        <f>INDEX(P:P,MATCH(zara[[#This Row],[price]],L:L,0))</f>
        <v>MAN</v>
      </c>
      <c r="AA208" s="1">
        <f>SUMIFS(L:L,O:O,zara[[#This Row],[terms]])</f>
        <v>14806.109999999982</v>
      </c>
    </row>
    <row r="209" spans="1:27" hidden="1" x14ac:dyDescent="0.3">
      <c r="A209">
        <v>159182</v>
      </c>
      <c r="B209" s="1" t="s">
        <v>49</v>
      </c>
      <c r="C209" s="1" t="s">
        <v>32</v>
      </c>
      <c r="D209" s="1" t="s">
        <v>18</v>
      </c>
      <c r="E209" s="1" t="s">
        <v>17</v>
      </c>
      <c r="F209">
        <v>1014</v>
      </c>
      <c r="G209" s="1" t="s">
        <v>19</v>
      </c>
      <c r="H209" s="1" t="s">
        <v>750</v>
      </c>
      <c r="I209" s="1" t="s">
        <v>507</v>
      </c>
      <c r="J209" s="1" t="s">
        <v>143</v>
      </c>
      <c r="K209" s="1" t="s">
        <v>140</v>
      </c>
      <c r="L209">
        <v>169</v>
      </c>
      <c r="M209" s="1" t="s">
        <v>24</v>
      </c>
      <c r="N209" s="2">
        <v>45341.382452349535</v>
      </c>
      <c r="O209" s="1" t="s">
        <v>25</v>
      </c>
      <c r="P209" s="1" t="s">
        <v>26</v>
      </c>
      <c r="Q209" s="1"/>
      <c r="R209" s="1"/>
      <c r="S209" s="1" t="str">
        <f>IF(M209="USD","DOLLAR",M209)</f>
        <v>DOLLAR</v>
      </c>
      <c r="T209" s="1" t="str">
        <f>IF(zara[[#This Row],[terms]]="jackets","jacket",IF(O209="shoes","shoe",O209))</f>
        <v>jacket</v>
      </c>
      <c r="U209" s="1">
        <f>SUMIF(O:O,zara[[#This Row],[terms]],L:L)</f>
        <v>14806.109999999982</v>
      </c>
      <c r="V209" s="1">
        <f>SUMIFS(L:L,O:O,O209)</f>
        <v>14806.109999999982</v>
      </c>
      <c r="W209" s="1" t="str">
        <f>VLOOKUP(zara[[#This Row],[price]],L:P,5,FALSE)</f>
        <v>MAN</v>
      </c>
      <c r="X209" s="1" t="str">
        <f>INDEX(O:O,MATCH(zara[[#This Row],[price]],L:L,0))</f>
        <v>jackets</v>
      </c>
      <c r="Y209" s="1" t="str">
        <f>INDEX(P:P,MATCH(zara[[#This Row],[price]],L:L,0))</f>
        <v>MAN</v>
      </c>
      <c r="Z209" s="1" t="str">
        <f>INDEX(P:P,MATCH(zara[[#This Row],[price]],L:L,0))</f>
        <v>MAN</v>
      </c>
      <c r="AA209" s="1">
        <f>SUMIFS(L:L,O:O,zara[[#This Row],[terms]])</f>
        <v>14806.109999999982</v>
      </c>
    </row>
    <row r="210" spans="1:27" hidden="1" x14ac:dyDescent="0.3">
      <c r="A210">
        <v>145289</v>
      </c>
      <c r="B210" s="1" t="s">
        <v>31</v>
      </c>
      <c r="C210" s="1" t="s">
        <v>17</v>
      </c>
      <c r="D210" s="1" t="s">
        <v>18</v>
      </c>
      <c r="E210" s="1" t="s">
        <v>17</v>
      </c>
      <c r="F210">
        <v>1012</v>
      </c>
      <c r="G210" s="1" t="s">
        <v>19</v>
      </c>
      <c r="H210" s="1" t="s">
        <v>300</v>
      </c>
      <c r="I210" s="1" t="s">
        <v>301</v>
      </c>
      <c r="J210" s="1" t="s">
        <v>302</v>
      </c>
      <c r="K210" s="1" t="s">
        <v>303</v>
      </c>
      <c r="L210">
        <v>109</v>
      </c>
      <c r="M210" s="1" t="s">
        <v>24</v>
      </c>
      <c r="N210" s="2">
        <v>45341.368665879629</v>
      </c>
      <c r="O210" s="1" t="s">
        <v>25</v>
      </c>
      <c r="P210" s="1" t="s">
        <v>26</v>
      </c>
      <c r="Q210" s="1"/>
      <c r="R210" s="1"/>
      <c r="S210" s="1" t="str">
        <f>IF(M210="USD","DOLLAR",M210)</f>
        <v>DOLLAR</v>
      </c>
      <c r="T210" s="1" t="str">
        <f>IF(zara[[#This Row],[terms]]="jackets","jacket",IF(O210="shoes","shoe",O210))</f>
        <v>jacket</v>
      </c>
      <c r="U210" s="1">
        <f>SUMIF(O:O,zara[[#This Row],[terms]],L:L)</f>
        <v>14806.109999999982</v>
      </c>
      <c r="V210" s="1">
        <f>SUMIFS(L:L,O:O,O210)</f>
        <v>14806.109999999982</v>
      </c>
      <c r="W210" s="1" t="str">
        <f>VLOOKUP(zara[[#This Row],[price]],L:P,5,FALSE)</f>
        <v>MAN</v>
      </c>
      <c r="X210" s="1" t="str">
        <f>INDEX(O:O,MATCH(zara[[#This Row],[price]],L:L,0))</f>
        <v>t-shirts</v>
      </c>
      <c r="Y210" s="1" t="str">
        <f>INDEX(P:P,MATCH(zara[[#This Row],[price]],L:L,0))</f>
        <v>MAN</v>
      </c>
      <c r="Z210" s="1" t="str">
        <f>INDEX(P:P,MATCH(zara[[#This Row],[price]],L:L,0))</f>
        <v>MAN</v>
      </c>
      <c r="AA210" s="1">
        <f>SUMIFS(L:L,O:O,zara[[#This Row],[terms]])</f>
        <v>14806.109999999982</v>
      </c>
    </row>
    <row r="211" spans="1:27" hidden="1" x14ac:dyDescent="0.3">
      <c r="A211">
        <v>121348</v>
      </c>
      <c r="B211" s="1" t="s">
        <v>31</v>
      </c>
      <c r="C211" s="1" t="s">
        <v>17</v>
      </c>
      <c r="D211" s="1" t="s">
        <v>18</v>
      </c>
      <c r="E211" s="1" t="s">
        <v>32</v>
      </c>
      <c r="F211">
        <v>1008</v>
      </c>
      <c r="G211" s="1" t="s">
        <v>19</v>
      </c>
      <c r="H211" s="1" t="s">
        <v>690</v>
      </c>
      <c r="I211" s="1" t="s">
        <v>451</v>
      </c>
      <c r="J211" s="1" t="s">
        <v>84</v>
      </c>
      <c r="K211" s="1" t="s">
        <v>471</v>
      </c>
      <c r="L211">
        <v>169</v>
      </c>
      <c r="M211" s="1" t="s">
        <v>24</v>
      </c>
      <c r="N211" s="2">
        <v>45341.382343993057</v>
      </c>
      <c r="O211" s="1" t="s">
        <v>836</v>
      </c>
      <c r="P211" s="1" t="s">
        <v>26</v>
      </c>
      <c r="Q211" s="1"/>
      <c r="R211" s="1"/>
      <c r="S211" s="1" t="str">
        <f>IF(M211="USD","DOLLAR",M211)</f>
        <v>DOLLAR</v>
      </c>
      <c r="T211" s="1" t="str">
        <f>IF(zara[[#This Row],[terms]]="jackets","jacket",IF(O211="shoes","shoe",O211))</f>
        <v>t-shirts</v>
      </c>
      <c r="U211" s="1">
        <f>SUMIF(O:O,zara[[#This Row],[terms]],L:L)</f>
        <v>2157.6900000000005</v>
      </c>
      <c r="V211" s="1">
        <f>SUMIFS(L:L,O:O,O211)</f>
        <v>2157.6900000000005</v>
      </c>
      <c r="W211" s="1" t="str">
        <f>VLOOKUP(zara[[#This Row],[price]],L:P,5,FALSE)</f>
        <v>MAN</v>
      </c>
      <c r="X211" s="1" t="str">
        <f>INDEX(O:O,MATCH(zara[[#This Row],[price]],L:L,0))</f>
        <v>jackets</v>
      </c>
      <c r="Y211" s="1" t="str">
        <f>INDEX(P:P,MATCH(zara[[#This Row],[price]],L:L,0))</f>
        <v>MAN</v>
      </c>
      <c r="Z211" s="1" t="str">
        <f>INDEX(P:P,MATCH(zara[[#This Row],[price]],L:L,0))</f>
        <v>MAN</v>
      </c>
      <c r="AA211" s="1">
        <f>SUMIFS(L:L,O:O,zara[[#This Row],[terms]])</f>
        <v>2157.6900000000005</v>
      </c>
    </row>
    <row r="212" spans="1:27" hidden="1" x14ac:dyDescent="0.3">
      <c r="A212">
        <v>140727</v>
      </c>
      <c r="B212" s="1" t="s">
        <v>31</v>
      </c>
      <c r="C212" s="1" t="s">
        <v>32</v>
      </c>
      <c r="D212" s="1" t="s">
        <v>18</v>
      </c>
      <c r="E212" s="1" t="s">
        <v>32</v>
      </c>
      <c r="F212">
        <v>1002</v>
      </c>
      <c r="G212" s="1" t="s">
        <v>19</v>
      </c>
      <c r="H212" s="1" t="s">
        <v>177</v>
      </c>
      <c r="I212" s="1" t="s">
        <v>178</v>
      </c>
      <c r="J212" s="1" t="s">
        <v>47</v>
      </c>
      <c r="K212" s="1" t="s">
        <v>179</v>
      </c>
      <c r="L212">
        <v>79.900000000000006</v>
      </c>
      <c r="M212" s="1" t="s">
        <v>24</v>
      </c>
      <c r="N212" s="2">
        <v>45341.36841318287</v>
      </c>
      <c r="O212" s="1" t="s">
        <v>25</v>
      </c>
      <c r="P212" s="1" t="s">
        <v>26</v>
      </c>
      <c r="Q212" s="1"/>
      <c r="R212" s="1"/>
      <c r="S212" s="1" t="str">
        <f>IF(M212="USD","DOLLAR",M212)</f>
        <v>DOLLAR</v>
      </c>
      <c r="T212" s="1" t="str">
        <f>IF(zara[[#This Row],[terms]]="jackets","jacket",IF(O212="shoes","shoe",O212))</f>
        <v>jacket</v>
      </c>
      <c r="U212" s="1">
        <f>SUMIF(O:O,zara[[#This Row],[terms]],L:L)</f>
        <v>14806.109999999982</v>
      </c>
      <c r="V212" s="1">
        <f>SUMIFS(L:L,O:O,O212)</f>
        <v>14806.109999999982</v>
      </c>
      <c r="W212" s="1" t="str">
        <f>VLOOKUP(zara[[#This Row],[price]],L:P,5,FALSE)</f>
        <v>MAN</v>
      </c>
      <c r="X212" s="1" t="str">
        <f>INDEX(O:O,MATCH(zara[[#This Row],[price]],L:L,0))</f>
        <v>jackets</v>
      </c>
      <c r="Y212" s="1" t="str">
        <f>INDEX(P:P,MATCH(zara[[#This Row],[price]],L:L,0))</f>
        <v>MAN</v>
      </c>
      <c r="Z212" s="1" t="str">
        <f>INDEX(P:P,MATCH(zara[[#This Row],[price]],L:L,0))</f>
        <v>MAN</v>
      </c>
      <c r="AA212" s="1">
        <f>SUMIFS(L:L,O:O,zara[[#This Row],[terms]])</f>
        <v>14806.109999999982</v>
      </c>
    </row>
    <row r="213" spans="1:27" hidden="1" x14ac:dyDescent="0.3">
      <c r="A213">
        <v>185154</v>
      </c>
      <c r="B213" s="1" t="s">
        <v>16</v>
      </c>
      <c r="C213" s="1" t="s">
        <v>32</v>
      </c>
      <c r="D213" s="1" t="s">
        <v>18</v>
      </c>
      <c r="E213" s="1" t="s">
        <v>17</v>
      </c>
      <c r="F213">
        <v>996</v>
      </c>
      <c r="G213" s="1" t="s">
        <v>19</v>
      </c>
      <c r="H213" s="1" t="s">
        <v>873</v>
      </c>
      <c r="I213" s="1" t="s">
        <v>874</v>
      </c>
      <c r="J213" s="1" t="s">
        <v>875</v>
      </c>
      <c r="K213" s="1" t="s">
        <v>876</v>
      </c>
      <c r="L213">
        <v>39.9</v>
      </c>
      <c r="M213" s="1" t="s">
        <v>24</v>
      </c>
      <c r="N213" s="2">
        <v>45341.372589386578</v>
      </c>
      <c r="O213" s="1" t="s">
        <v>836</v>
      </c>
      <c r="P213" s="1" t="s">
        <v>26</v>
      </c>
      <c r="Q213" s="1"/>
      <c r="R213" s="1"/>
      <c r="S213" s="1" t="str">
        <f>IF(M213="USD","DOLLAR",M213)</f>
        <v>DOLLAR</v>
      </c>
      <c r="T213" s="1" t="str">
        <f>IF(zara[[#This Row],[terms]]="jackets","jacket",IF(O213="shoes","shoe",O213))</f>
        <v>t-shirts</v>
      </c>
      <c r="U213" s="1">
        <f>SUMIF(O:O,zara[[#This Row],[terms]],L:L)</f>
        <v>2157.6900000000005</v>
      </c>
      <c r="V213" s="1">
        <f>SUMIFS(L:L,O:O,O213)</f>
        <v>2157.6900000000005</v>
      </c>
      <c r="W213" s="1" t="str">
        <f>VLOOKUP(zara[[#This Row],[price]],L:P,5,FALSE)</f>
        <v>MAN</v>
      </c>
      <c r="X213" s="1" t="str">
        <f>INDEX(O:O,MATCH(zara[[#This Row],[price]],L:L,0))</f>
        <v>jackets</v>
      </c>
      <c r="Y213" s="1" t="str">
        <f>INDEX(P:P,MATCH(zara[[#This Row],[price]],L:L,0))</f>
        <v>MAN</v>
      </c>
      <c r="Z213" s="1" t="str">
        <f>INDEX(P:P,MATCH(zara[[#This Row],[price]],L:L,0))</f>
        <v>MAN</v>
      </c>
      <c r="AA213" s="1">
        <f>SUMIFS(L:L,O:O,zara[[#This Row],[terms]])</f>
        <v>2157.6900000000005</v>
      </c>
    </row>
    <row r="214" spans="1:27" hidden="1" x14ac:dyDescent="0.3">
      <c r="A214">
        <v>118569</v>
      </c>
      <c r="B214" s="1" t="s">
        <v>16</v>
      </c>
      <c r="C214" s="1" t="s">
        <v>17</v>
      </c>
      <c r="D214" s="1" t="s">
        <v>18</v>
      </c>
      <c r="E214" s="1" t="s">
        <v>32</v>
      </c>
      <c r="F214">
        <v>994</v>
      </c>
      <c r="G214" s="1" t="s">
        <v>19</v>
      </c>
      <c r="H214" s="1" t="s">
        <v>662</v>
      </c>
      <c r="I214" s="1" t="s">
        <v>663</v>
      </c>
      <c r="J214" s="1" t="s">
        <v>664</v>
      </c>
      <c r="K214" s="1" t="s">
        <v>665</v>
      </c>
      <c r="L214">
        <v>49.9</v>
      </c>
      <c r="M214" s="1" t="s">
        <v>24</v>
      </c>
      <c r="N214" s="2">
        <v>45341.382362870369</v>
      </c>
      <c r="O214" s="1" t="s">
        <v>636</v>
      </c>
      <c r="P214" s="1" t="s">
        <v>637</v>
      </c>
      <c r="Q214" s="1"/>
      <c r="R214" s="1"/>
      <c r="S214" s="1" t="str">
        <f>IF(M214="USD","DOLLAR",M214)</f>
        <v>DOLLAR</v>
      </c>
      <c r="T214" s="1" t="str">
        <f>IF(zara[[#This Row],[terms]]="jackets","jacket",IF(O214="shoes","shoe",O214))</f>
        <v>sweaters</v>
      </c>
      <c r="U214" s="1">
        <f>SUMIF(O:O,zara[[#This Row],[terms]],L:L)</f>
        <v>2249.3700000000013</v>
      </c>
      <c r="V214" s="1">
        <f>SUMIFS(L:L,O:O,O214)</f>
        <v>2249.3700000000013</v>
      </c>
      <c r="W214" s="1" t="str">
        <f>VLOOKUP(zara[[#This Row],[price]],L:P,5,FALSE)</f>
        <v>MAN</v>
      </c>
      <c r="X214" s="1" t="str">
        <f>INDEX(O:O,MATCH(zara[[#This Row],[price]],L:L,0))</f>
        <v>jackets</v>
      </c>
      <c r="Y214" s="1" t="str">
        <f>INDEX(P:P,MATCH(zara[[#This Row],[price]],L:L,0))</f>
        <v>MAN</v>
      </c>
      <c r="Z214" s="1" t="str">
        <f>INDEX(P:P,MATCH(zara[[#This Row],[price]],L:L,0))</f>
        <v>MAN</v>
      </c>
      <c r="AA214" s="1">
        <f>SUMIFS(L:L,O:O,zara[[#This Row],[terms]])</f>
        <v>2249.3700000000013</v>
      </c>
    </row>
    <row r="215" spans="1:27" x14ac:dyDescent="0.3">
      <c r="A215">
        <v>181011</v>
      </c>
      <c r="B215" s="1" t="s">
        <v>16</v>
      </c>
      <c r="C215" s="1" t="s">
        <v>32</v>
      </c>
      <c r="D215" s="1" t="s">
        <v>18</v>
      </c>
      <c r="E215" s="1" t="s">
        <v>32</v>
      </c>
      <c r="F215">
        <v>994</v>
      </c>
      <c r="G215" s="1" t="s">
        <v>19</v>
      </c>
      <c r="H215" s="1" t="s">
        <v>674</v>
      </c>
      <c r="I215" s="1" t="s">
        <v>437</v>
      </c>
      <c r="J215" s="1" t="s">
        <v>68</v>
      </c>
      <c r="K215" s="1" t="s">
        <v>552</v>
      </c>
      <c r="L215">
        <v>89.9</v>
      </c>
      <c r="M215" s="1" t="s">
        <v>24</v>
      </c>
      <c r="N215" s="2">
        <v>45341.382313391201</v>
      </c>
      <c r="O215" s="1" t="s">
        <v>517</v>
      </c>
      <c r="P215" s="1" t="s">
        <v>26</v>
      </c>
      <c r="Q215" s="1"/>
      <c r="R215" s="1"/>
      <c r="S215" s="1" t="str">
        <f>IF(M215="USD","DOLLAR",M215)</f>
        <v>DOLLAR</v>
      </c>
      <c r="T215" s="1" t="str">
        <f>IF(zara[[#This Row],[terms]]="jackets","jacket",IF(O215="shoes","shoe",O215))</f>
        <v>shoe</v>
      </c>
      <c r="U215" s="1">
        <f>SUMIF(O:O,zara[[#This Row],[terms]],L:L)</f>
        <v>2011.0800000000013</v>
      </c>
      <c r="V215" s="1">
        <f>SUMIFS(L:L,O:O,O215)</f>
        <v>2011.0800000000013</v>
      </c>
      <c r="W215" s="1" t="str">
        <f>VLOOKUP(zara[[#This Row],[price]],L:P,5,FALSE)</f>
        <v>MAN</v>
      </c>
      <c r="X215" s="1" t="str">
        <f>INDEX(O:O,MATCH(zara[[#This Row],[price]],L:L,0))</f>
        <v>jackets</v>
      </c>
      <c r="Y215" s="1" t="str">
        <f>INDEX(P:P,MATCH(zara[[#This Row],[price]],L:L,0))</f>
        <v>MAN</v>
      </c>
      <c r="Z215" s="1" t="str">
        <f>INDEX(P:P,MATCH(zara[[#This Row],[price]],L:L,0))</f>
        <v>MAN</v>
      </c>
      <c r="AA215" s="1">
        <f>SUMIFS(L:L,O:O,zara[[#This Row],[terms]])</f>
        <v>2011.0800000000013</v>
      </c>
    </row>
    <row r="216" spans="1:27" x14ac:dyDescent="0.3">
      <c r="A216">
        <v>160763</v>
      </c>
      <c r="B216" s="1" t="s">
        <v>49</v>
      </c>
      <c r="C216" s="1" t="s">
        <v>32</v>
      </c>
      <c r="D216" s="1" t="s">
        <v>18</v>
      </c>
      <c r="E216" s="1" t="s">
        <v>32</v>
      </c>
      <c r="F216">
        <v>991</v>
      </c>
      <c r="G216" s="1" t="s">
        <v>19</v>
      </c>
      <c r="H216" s="1" t="s">
        <v>606</v>
      </c>
      <c r="I216" s="1" t="s">
        <v>607</v>
      </c>
      <c r="J216" s="1" t="s">
        <v>608</v>
      </c>
      <c r="K216" s="1" t="s">
        <v>609</v>
      </c>
      <c r="L216">
        <v>45.9</v>
      </c>
      <c r="M216" s="1" t="s">
        <v>24</v>
      </c>
      <c r="N216" s="2">
        <v>45341.375545844909</v>
      </c>
      <c r="O216" s="1" t="s">
        <v>517</v>
      </c>
      <c r="P216" s="1" t="s">
        <v>26</v>
      </c>
      <c r="Q216" s="1"/>
      <c r="R216" s="1"/>
      <c r="S216" s="1" t="str">
        <f>IF(M216="USD","DOLLAR",M216)</f>
        <v>DOLLAR</v>
      </c>
      <c r="T216" s="1" t="str">
        <f>IF(zara[[#This Row],[terms]]="jackets","jacket",IF(O216="shoes","shoe",O216))</f>
        <v>shoe</v>
      </c>
      <c r="U216" s="1">
        <f>SUMIF(O:O,zara[[#This Row],[terms]],L:L)</f>
        <v>2011.0800000000013</v>
      </c>
      <c r="V216" s="1">
        <f>SUMIFS(L:L,O:O,O216)</f>
        <v>2011.0800000000013</v>
      </c>
      <c r="W216" s="1" t="str">
        <f>VLOOKUP(zara[[#This Row],[price]],L:P,5,FALSE)</f>
        <v>MAN</v>
      </c>
      <c r="X216" s="1" t="str">
        <f>INDEX(O:O,MATCH(zara[[#This Row],[price]],L:L,0))</f>
        <v>shoes</v>
      </c>
      <c r="Y216" s="1" t="str">
        <f>INDEX(P:P,MATCH(zara[[#This Row],[price]],L:L,0))</f>
        <v>MAN</v>
      </c>
      <c r="Z216" s="1" t="str">
        <f>INDEX(P:P,MATCH(zara[[#This Row],[price]],L:L,0))</f>
        <v>MAN</v>
      </c>
      <c r="AA216" s="1">
        <f>SUMIFS(L:L,O:O,zara[[#This Row],[terms]])</f>
        <v>2011.0800000000013</v>
      </c>
    </row>
    <row r="217" spans="1:27" hidden="1" x14ac:dyDescent="0.3">
      <c r="A217">
        <v>191230</v>
      </c>
      <c r="B217" s="1" t="s">
        <v>31</v>
      </c>
      <c r="C217" s="1" t="s">
        <v>17</v>
      </c>
      <c r="D217" s="1" t="s">
        <v>18</v>
      </c>
      <c r="E217" s="1" t="s">
        <v>17</v>
      </c>
      <c r="F217">
        <v>966</v>
      </c>
      <c r="G217" s="1" t="s">
        <v>19</v>
      </c>
      <c r="H217" s="1" t="s">
        <v>129</v>
      </c>
      <c r="I217" s="1" t="s">
        <v>130</v>
      </c>
      <c r="J217" s="1" t="s">
        <v>131</v>
      </c>
      <c r="K217" s="1" t="s">
        <v>132</v>
      </c>
      <c r="L217">
        <v>89.9</v>
      </c>
      <c r="M217" s="1" t="s">
        <v>24</v>
      </c>
      <c r="N217" s="2">
        <v>45341.36829791667</v>
      </c>
      <c r="O217" s="1" t="s">
        <v>25</v>
      </c>
      <c r="P217" s="1" t="s">
        <v>26</v>
      </c>
      <c r="Q217" s="1"/>
      <c r="R217" s="1"/>
      <c r="S217" s="1" t="str">
        <f>IF(M217="USD","DOLLAR",M217)</f>
        <v>DOLLAR</v>
      </c>
      <c r="T217" s="1" t="str">
        <f>IF(zara[[#This Row],[terms]]="jackets","jacket",IF(O217="shoes","shoe",O217))</f>
        <v>jacket</v>
      </c>
      <c r="U217" s="1">
        <f>SUMIF(O:O,zara[[#This Row],[terms]],L:L)</f>
        <v>14806.109999999982</v>
      </c>
      <c r="V217" s="1">
        <f>SUMIFS(L:L,O:O,O217)</f>
        <v>14806.109999999982</v>
      </c>
      <c r="W217" s="1" t="str">
        <f>VLOOKUP(zara[[#This Row],[price]],L:P,5,FALSE)</f>
        <v>MAN</v>
      </c>
      <c r="X217" s="1" t="str">
        <f>INDEX(O:O,MATCH(zara[[#This Row],[price]],L:L,0))</f>
        <v>jackets</v>
      </c>
      <c r="Y217" s="1" t="str">
        <f>INDEX(P:P,MATCH(zara[[#This Row],[price]],L:L,0))</f>
        <v>MAN</v>
      </c>
      <c r="Z217" s="1" t="str">
        <f>INDEX(P:P,MATCH(zara[[#This Row],[price]],L:L,0))</f>
        <v>MAN</v>
      </c>
      <c r="AA217" s="1">
        <f>SUMIFS(L:L,O:O,zara[[#This Row],[terms]])</f>
        <v>14806.109999999982</v>
      </c>
    </row>
    <row r="218" spans="1:27" hidden="1" x14ac:dyDescent="0.3">
      <c r="A218">
        <v>189118</v>
      </c>
      <c r="B218" s="1" t="s">
        <v>49</v>
      </c>
      <c r="C218" s="1" t="s">
        <v>32</v>
      </c>
      <c r="D218" s="1" t="s">
        <v>18</v>
      </c>
      <c r="E218" s="1" t="s">
        <v>32</v>
      </c>
      <c r="F218">
        <v>952</v>
      </c>
      <c r="G218" s="1" t="s">
        <v>19</v>
      </c>
      <c r="H218" s="1" t="s">
        <v>50</v>
      </c>
      <c r="I218" s="1" t="s">
        <v>51</v>
      </c>
      <c r="J218" s="1" t="s">
        <v>52</v>
      </c>
      <c r="K218" s="1" t="s">
        <v>53</v>
      </c>
      <c r="L218">
        <v>69.989999999999995</v>
      </c>
      <c r="M218" s="1" t="s">
        <v>24</v>
      </c>
      <c r="N218" s="2">
        <v>45341.368167685185</v>
      </c>
      <c r="O218" s="1" t="s">
        <v>25</v>
      </c>
      <c r="P218" s="1" t="s">
        <v>26</v>
      </c>
      <c r="Q218" s="1"/>
      <c r="R218" s="1"/>
      <c r="S218" s="1" t="str">
        <f>IF(M218="USD","DOLLAR",M218)</f>
        <v>DOLLAR</v>
      </c>
      <c r="T218" s="1" t="str">
        <f>IF(zara[[#This Row],[terms]]="jackets","jacket",IF(O218="shoes","shoe",O218))</f>
        <v>jacket</v>
      </c>
      <c r="U218" s="1">
        <f>SUMIF(O:O,zara[[#This Row],[terms]],L:L)</f>
        <v>14806.109999999982</v>
      </c>
      <c r="V218" s="1">
        <f>SUMIFS(L:L,O:O,O218)</f>
        <v>14806.109999999982</v>
      </c>
      <c r="W218" s="1" t="str">
        <f>VLOOKUP(zara[[#This Row],[price]],L:P,5,FALSE)</f>
        <v>MAN</v>
      </c>
      <c r="X218" s="1" t="str">
        <f>INDEX(O:O,MATCH(zara[[#This Row],[price]],L:L,0))</f>
        <v>jackets</v>
      </c>
      <c r="Y218" s="1" t="str">
        <f>INDEX(P:P,MATCH(zara[[#This Row],[price]],L:L,0))</f>
        <v>MAN</v>
      </c>
      <c r="Z218" s="1" t="str">
        <f>INDEX(P:P,MATCH(zara[[#This Row],[price]],L:L,0))</f>
        <v>MAN</v>
      </c>
      <c r="AA218" s="1">
        <f>SUMIFS(L:L,O:O,zara[[#This Row],[terms]])</f>
        <v>14806.109999999982</v>
      </c>
    </row>
    <row r="219" spans="1:27" hidden="1" x14ac:dyDescent="0.3">
      <c r="A219">
        <v>154676</v>
      </c>
      <c r="B219" s="1" t="s">
        <v>16</v>
      </c>
      <c r="C219" s="1" t="s">
        <v>17</v>
      </c>
      <c r="D219" s="1" t="s">
        <v>18</v>
      </c>
      <c r="E219" s="1" t="s">
        <v>17</v>
      </c>
      <c r="F219">
        <v>943</v>
      </c>
      <c r="G219" s="1" t="s">
        <v>19</v>
      </c>
      <c r="H219" s="1" t="s">
        <v>774</v>
      </c>
      <c r="I219" s="1" t="s">
        <v>775</v>
      </c>
      <c r="J219" s="1" t="s">
        <v>776</v>
      </c>
      <c r="K219" s="1" t="s">
        <v>777</v>
      </c>
      <c r="L219">
        <v>69.900000000000006</v>
      </c>
      <c r="M219" s="1" t="s">
        <v>24</v>
      </c>
      <c r="N219" s="2">
        <v>45341.369086689818</v>
      </c>
      <c r="O219" s="1" t="s">
        <v>25</v>
      </c>
      <c r="P219" s="1" t="s">
        <v>26</v>
      </c>
      <c r="Q219" s="1"/>
      <c r="R219" s="1"/>
      <c r="S219" s="1" t="str">
        <f>IF(M219="USD","DOLLAR",M219)</f>
        <v>DOLLAR</v>
      </c>
      <c r="T219" s="1" t="str">
        <f>IF(zara[[#This Row],[terms]]="jackets","jacket",IF(O219="shoes","shoe",O219))</f>
        <v>jacket</v>
      </c>
      <c r="U219" s="1">
        <f>SUMIF(O:O,zara[[#This Row],[terms]],L:L)</f>
        <v>14806.109999999982</v>
      </c>
      <c r="V219" s="1">
        <f>SUMIFS(L:L,O:O,O219)</f>
        <v>14806.109999999982</v>
      </c>
      <c r="W219" s="1" t="str">
        <f>VLOOKUP(zara[[#This Row],[price]],L:P,5,FALSE)</f>
        <v>MAN</v>
      </c>
      <c r="X219" s="1" t="str">
        <f>INDEX(O:O,MATCH(zara[[#This Row],[price]],L:L,0))</f>
        <v>jeans</v>
      </c>
      <c r="Y219" s="1" t="str">
        <f>INDEX(P:P,MATCH(zara[[#This Row],[price]],L:L,0))</f>
        <v>MAN</v>
      </c>
      <c r="Z219" s="1" t="str">
        <f>INDEX(P:P,MATCH(zara[[#This Row],[price]],L:L,0))</f>
        <v>MAN</v>
      </c>
      <c r="AA219" s="1">
        <f>SUMIFS(L:L,O:O,zara[[#This Row],[terms]])</f>
        <v>14806.109999999982</v>
      </c>
    </row>
    <row r="220" spans="1:27" x14ac:dyDescent="0.3">
      <c r="A220">
        <v>195082</v>
      </c>
      <c r="B220" s="1" t="s">
        <v>49</v>
      </c>
      <c r="C220" s="1" t="s">
        <v>17</v>
      </c>
      <c r="D220" s="1" t="s">
        <v>18</v>
      </c>
      <c r="E220" s="1" t="s">
        <v>17</v>
      </c>
      <c r="F220">
        <v>923</v>
      </c>
      <c r="G220" s="1" t="s">
        <v>19</v>
      </c>
      <c r="H220" s="1" t="s">
        <v>613</v>
      </c>
      <c r="I220" s="1" t="s">
        <v>614</v>
      </c>
      <c r="J220" s="1" t="s">
        <v>615</v>
      </c>
      <c r="K220" s="1" t="s">
        <v>616</v>
      </c>
      <c r="L220">
        <v>69.900000000000006</v>
      </c>
      <c r="M220" s="1" t="s">
        <v>24</v>
      </c>
      <c r="N220" s="2">
        <v>45341.375558263891</v>
      </c>
      <c r="O220" s="1" t="s">
        <v>517</v>
      </c>
      <c r="P220" s="1" t="s">
        <v>26</v>
      </c>
      <c r="Q220" s="1"/>
      <c r="R220" s="1"/>
      <c r="S220" s="1" t="str">
        <f>IF(M220="USD","DOLLAR",M220)</f>
        <v>DOLLAR</v>
      </c>
      <c r="T220" s="1" t="str">
        <f>IF(zara[[#This Row],[terms]]="jackets","jacket",IF(O220="shoes","shoe",O220))</f>
        <v>shoe</v>
      </c>
      <c r="U220" s="1">
        <f>SUMIF(O:O,zara[[#This Row],[terms]],L:L)</f>
        <v>2011.0800000000013</v>
      </c>
      <c r="V220" s="1">
        <f>SUMIFS(L:L,O:O,O220)</f>
        <v>2011.0800000000013</v>
      </c>
      <c r="W220" s="1" t="str">
        <f>VLOOKUP(zara[[#This Row],[price]],L:P,5,FALSE)</f>
        <v>MAN</v>
      </c>
      <c r="X220" s="1" t="str">
        <f>INDEX(O:O,MATCH(zara[[#This Row],[price]],L:L,0))</f>
        <v>jeans</v>
      </c>
      <c r="Y220" s="1" t="str">
        <f>INDEX(P:P,MATCH(zara[[#This Row],[price]],L:L,0))</f>
        <v>MAN</v>
      </c>
      <c r="Z220" s="1" t="str">
        <f>INDEX(P:P,MATCH(zara[[#This Row],[price]],L:L,0))</f>
        <v>MAN</v>
      </c>
      <c r="AA220" s="1">
        <f>SUMIFS(L:L,O:O,zara[[#This Row],[terms]])</f>
        <v>2011.0800000000013</v>
      </c>
    </row>
    <row r="221" spans="1:27" hidden="1" x14ac:dyDescent="0.3">
      <c r="A221">
        <v>154846</v>
      </c>
      <c r="B221" s="1" t="s">
        <v>31</v>
      </c>
      <c r="C221" s="1" t="s">
        <v>32</v>
      </c>
      <c r="D221" s="1" t="s">
        <v>18</v>
      </c>
      <c r="E221" s="1" t="s">
        <v>17</v>
      </c>
      <c r="F221">
        <v>917</v>
      </c>
      <c r="G221" s="1" t="s">
        <v>19</v>
      </c>
      <c r="H221" s="1" t="s">
        <v>853</v>
      </c>
      <c r="I221" s="1" t="s">
        <v>854</v>
      </c>
      <c r="J221" s="1" t="s">
        <v>855</v>
      </c>
      <c r="K221" s="1" t="s">
        <v>856</v>
      </c>
      <c r="L221">
        <v>39.9</v>
      </c>
      <c r="M221" s="1" t="s">
        <v>24</v>
      </c>
      <c r="N221" s="2">
        <v>45341.372557627314</v>
      </c>
      <c r="O221" s="1" t="s">
        <v>836</v>
      </c>
      <c r="P221" s="1" t="s">
        <v>26</v>
      </c>
      <c r="Q221" s="1"/>
      <c r="R221" s="1"/>
      <c r="S221" s="1" t="str">
        <f>IF(M221="USD","DOLLAR",M221)</f>
        <v>DOLLAR</v>
      </c>
      <c r="T221" s="1" t="str">
        <f>IF(zara[[#This Row],[terms]]="jackets","jacket",IF(O221="shoes","shoe",O221))</f>
        <v>t-shirts</v>
      </c>
      <c r="U221" s="1">
        <f>SUMIF(O:O,zara[[#This Row],[terms]],L:L)</f>
        <v>2157.6900000000005</v>
      </c>
      <c r="V221" s="1">
        <f>SUMIFS(L:L,O:O,O221)</f>
        <v>2157.6900000000005</v>
      </c>
      <c r="W221" s="1" t="str">
        <f>VLOOKUP(zara[[#This Row],[price]],L:P,5,FALSE)</f>
        <v>MAN</v>
      </c>
      <c r="X221" s="1" t="str">
        <f>INDEX(O:O,MATCH(zara[[#This Row],[price]],L:L,0))</f>
        <v>jackets</v>
      </c>
      <c r="Y221" s="1" t="str">
        <f>INDEX(P:P,MATCH(zara[[#This Row],[price]],L:L,0))</f>
        <v>MAN</v>
      </c>
      <c r="Z221" s="1" t="str">
        <f>INDEX(P:P,MATCH(zara[[#This Row],[price]],L:L,0))</f>
        <v>MAN</v>
      </c>
      <c r="AA221" s="1">
        <f>SUMIFS(L:L,O:O,zara[[#This Row],[terms]])</f>
        <v>2157.6900000000005</v>
      </c>
    </row>
    <row r="222" spans="1:27" hidden="1" x14ac:dyDescent="0.3">
      <c r="A222">
        <v>158958</v>
      </c>
      <c r="B222" s="1" t="s">
        <v>31</v>
      </c>
      <c r="C222" s="1" t="s">
        <v>17</v>
      </c>
      <c r="D222" s="1" t="s">
        <v>18</v>
      </c>
      <c r="E222" s="1" t="s">
        <v>17</v>
      </c>
      <c r="F222">
        <v>903</v>
      </c>
      <c r="G222" s="1" t="s">
        <v>19</v>
      </c>
      <c r="H222" s="1" t="s">
        <v>881</v>
      </c>
      <c r="I222" s="1" t="s">
        <v>882</v>
      </c>
      <c r="J222" s="1" t="s">
        <v>859</v>
      </c>
      <c r="K222" s="1" t="s">
        <v>883</v>
      </c>
      <c r="L222">
        <v>45.9</v>
      </c>
      <c r="M222" s="1" t="s">
        <v>24</v>
      </c>
      <c r="N222" s="2">
        <v>45341.37260609954</v>
      </c>
      <c r="O222" s="1" t="s">
        <v>836</v>
      </c>
      <c r="P222" s="1" t="s">
        <v>26</v>
      </c>
      <c r="Q222" s="1"/>
      <c r="R222" s="1"/>
      <c r="S222" s="1" t="str">
        <f>IF(M222="USD","DOLLAR",M222)</f>
        <v>DOLLAR</v>
      </c>
      <c r="T222" s="1" t="str">
        <f>IF(zara[[#This Row],[terms]]="jackets","jacket",IF(O222="shoes","shoe",O222))</f>
        <v>t-shirts</v>
      </c>
      <c r="U222" s="1">
        <f>SUMIF(O:O,zara[[#This Row],[terms]],L:L)</f>
        <v>2157.6900000000005</v>
      </c>
      <c r="V222" s="1">
        <f>SUMIFS(L:L,O:O,O222)</f>
        <v>2157.6900000000005</v>
      </c>
      <c r="W222" s="1" t="str">
        <f>VLOOKUP(zara[[#This Row],[price]],L:P,5,FALSE)</f>
        <v>MAN</v>
      </c>
      <c r="X222" s="1" t="str">
        <f>INDEX(O:O,MATCH(zara[[#This Row],[price]],L:L,0))</f>
        <v>shoes</v>
      </c>
      <c r="Y222" s="1" t="str">
        <f>INDEX(P:P,MATCH(zara[[#This Row],[price]],L:L,0))</f>
        <v>MAN</v>
      </c>
      <c r="Z222" s="1" t="str">
        <f>INDEX(P:P,MATCH(zara[[#This Row],[price]],L:L,0))</f>
        <v>MAN</v>
      </c>
      <c r="AA222" s="1">
        <f>SUMIFS(L:L,O:O,zara[[#This Row],[terms]])</f>
        <v>2157.6900000000005</v>
      </c>
    </row>
    <row r="223" spans="1:27" hidden="1" x14ac:dyDescent="0.3">
      <c r="A223">
        <v>155674</v>
      </c>
      <c r="B223" s="1" t="s">
        <v>49</v>
      </c>
      <c r="C223" s="1" t="s">
        <v>17</v>
      </c>
      <c r="D223" s="1" t="s">
        <v>18</v>
      </c>
      <c r="E223" s="1" t="s">
        <v>17</v>
      </c>
      <c r="F223">
        <v>897</v>
      </c>
      <c r="G223" s="1" t="s">
        <v>19</v>
      </c>
      <c r="H223" s="1" t="s">
        <v>694</v>
      </c>
      <c r="I223" s="1" t="s">
        <v>695</v>
      </c>
      <c r="J223" s="1" t="s">
        <v>696</v>
      </c>
      <c r="K223" s="1" t="s">
        <v>697</v>
      </c>
      <c r="L223">
        <v>49.9</v>
      </c>
      <c r="M223" s="1" t="s">
        <v>24</v>
      </c>
      <c r="N223" s="2">
        <v>45341.382424988427</v>
      </c>
      <c r="O223" s="1" t="s">
        <v>636</v>
      </c>
      <c r="P223" s="1" t="s">
        <v>637</v>
      </c>
      <c r="Q223" s="1"/>
      <c r="R223" s="1"/>
      <c r="S223" s="1" t="str">
        <f>IF(M223="USD","DOLLAR",M223)</f>
        <v>DOLLAR</v>
      </c>
      <c r="T223" s="1" t="str">
        <f>IF(zara[[#This Row],[terms]]="jackets","jacket",IF(O223="shoes","shoe",O223))</f>
        <v>sweaters</v>
      </c>
      <c r="U223" s="1">
        <f>SUMIF(O:O,zara[[#This Row],[terms]],L:L)</f>
        <v>2249.3700000000013</v>
      </c>
      <c r="V223" s="1">
        <f>SUMIFS(L:L,O:O,O223)</f>
        <v>2249.3700000000013</v>
      </c>
      <c r="W223" s="1" t="str">
        <f>VLOOKUP(zara[[#This Row],[price]],L:P,5,FALSE)</f>
        <v>MAN</v>
      </c>
      <c r="X223" s="1" t="str">
        <f>INDEX(O:O,MATCH(zara[[#This Row],[price]],L:L,0))</f>
        <v>jackets</v>
      </c>
      <c r="Y223" s="1" t="str">
        <f>INDEX(P:P,MATCH(zara[[#This Row],[price]],L:L,0))</f>
        <v>MAN</v>
      </c>
      <c r="Z223" s="1" t="str">
        <f>INDEX(P:P,MATCH(zara[[#This Row],[price]],L:L,0))</f>
        <v>MAN</v>
      </c>
      <c r="AA223" s="1">
        <f>SUMIFS(L:L,O:O,zara[[#This Row],[terms]])</f>
        <v>2249.3700000000013</v>
      </c>
    </row>
    <row r="224" spans="1:27" x14ac:dyDescent="0.3">
      <c r="A224">
        <v>167281</v>
      </c>
      <c r="B224" s="1" t="s">
        <v>31</v>
      </c>
      <c r="C224" s="1" t="s">
        <v>32</v>
      </c>
      <c r="D224" s="1" t="s">
        <v>18</v>
      </c>
      <c r="E224" s="1" t="s">
        <v>32</v>
      </c>
      <c r="F224">
        <v>892</v>
      </c>
      <c r="G224" s="1" t="s">
        <v>19</v>
      </c>
      <c r="H224" s="1" t="s">
        <v>534</v>
      </c>
      <c r="I224" s="1" t="s">
        <v>535</v>
      </c>
      <c r="J224" s="1" t="s">
        <v>536</v>
      </c>
      <c r="K224" s="1" t="s">
        <v>537</v>
      </c>
      <c r="L224">
        <v>59.9</v>
      </c>
      <c r="M224" s="1" t="s">
        <v>24</v>
      </c>
      <c r="N224" s="2">
        <v>45341.375370694448</v>
      </c>
      <c r="O224" s="1" t="s">
        <v>517</v>
      </c>
      <c r="P224" s="1" t="s">
        <v>26</v>
      </c>
      <c r="Q224" s="1"/>
      <c r="R224" s="1"/>
      <c r="S224" s="1" t="str">
        <f>IF(M224="USD","DOLLAR",M224)</f>
        <v>DOLLAR</v>
      </c>
      <c r="T224" s="1" t="str">
        <f>IF(zara[[#This Row],[terms]]="jackets","jacket",IF(O224="shoes","shoe",O224))</f>
        <v>shoe</v>
      </c>
      <c r="U224" s="1">
        <f>SUMIF(O:O,zara[[#This Row],[terms]],L:L)</f>
        <v>2011.0800000000013</v>
      </c>
      <c r="V224" s="1">
        <f>SUMIFS(L:L,O:O,O224)</f>
        <v>2011.0800000000013</v>
      </c>
      <c r="W224" s="1" t="str">
        <f>VLOOKUP(zara[[#This Row],[price]],L:P,5,FALSE)</f>
        <v>WOMAN</v>
      </c>
      <c r="X224" s="1" t="str">
        <f>INDEX(O:O,MATCH(zara[[#This Row],[price]],L:L,0))</f>
        <v>sweaters</v>
      </c>
      <c r="Y224" s="1" t="str">
        <f>INDEX(P:P,MATCH(zara[[#This Row],[price]],L:L,0))</f>
        <v>WOMAN</v>
      </c>
      <c r="Z224" s="1" t="str">
        <f>INDEX(P:P,MATCH(zara[[#This Row],[price]],L:L,0))</f>
        <v>WOMAN</v>
      </c>
      <c r="AA224" s="1">
        <f>SUMIFS(L:L,O:O,zara[[#This Row],[terms]])</f>
        <v>2011.0800000000013</v>
      </c>
    </row>
    <row r="225" spans="1:27" hidden="1" x14ac:dyDescent="0.3">
      <c r="A225">
        <v>147690</v>
      </c>
      <c r="B225" s="1" t="s">
        <v>16</v>
      </c>
      <c r="C225" s="1" t="s">
        <v>32</v>
      </c>
      <c r="D225" s="1" t="s">
        <v>18</v>
      </c>
      <c r="E225" s="1" t="s">
        <v>17</v>
      </c>
      <c r="F225">
        <v>881</v>
      </c>
      <c r="G225" s="1" t="s">
        <v>19</v>
      </c>
      <c r="H225" s="1" t="s">
        <v>892</v>
      </c>
      <c r="I225" s="1" t="s">
        <v>893</v>
      </c>
      <c r="J225" s="1" t="s">
        <v>894</v>
      </c>
      <c r="K225" s="1" t="s">
        <v>895</v>
      </c>
      <c r="L225">
        <v>39.9</v>
      </c>
      <c r="M225" s="1" t="s">
        <v>24</v>
      </c>
      <c r="N225" s="2">
        <v>45341.372624606483</v>
      </c>
      <c r="O225" s="1" t="s">
        <v>836</v>
      </c>
      <c r="P225" s="1" t="s">
        <v>26</v>
      </c>
      <c r="Q225" s="1"/>
      <c r="R225" s="1"/>
      <c r="S225" s="1" t="str">
        <f>IF(M225="USD","DOLLAR",M225)</f>
        <v>DOLLAR</v>
      </c>
      <c r="T225" s="1" t="str">
        <f>IF(zara[[#This Row],[terms]]="jackets","jacket",IF(O225="shoes","shoe",O225))</f>
        <v>t-shirts</v>
      </c>
      <c r="U225" s="1">
        <f>SUMIF(O:O,zara[[#This Row],[terms]],L:L)</f>
        <v>2157.6900000000005</v>
      </c>
      <c r="V225" s="1">
        <f>SUMIFS(L:L,O:O,O225)</f>
        <v>2157.6900000000005</v>
      </c>
      <c r="W225" s="1" t="str">
        <f>VLOOKUP(zara[[#This Row],[price]],L:P,5,FALSE)</f>
        <v>MAN</v>
      </c>
      <c r="X225" s="1" t="str">
        <f>INDEX(O:O,MATCH(zara[[#This Row],[price]],L:L,0))</f>
        <v>jackets</v>
      </c>
      <c r="Y225" s="1" t="str">
        <f>INDEX(P:P,MATCH(zara[[#This Row],[price]],L:L,0))</f>
        <v>MAN</v>
      </c>
      <c r="Z225" s="1" t="str">
        <f>INDEX(P:P,MATCH(zara[[#This Row],[price]],L:L,0))</f>
        <v>MAN</v>
      </c>
      <c r="AA225" s="1">
        <f>SUMIFS(L:L,O:O,zara[[#This Row],[terms]])</f>
        <v>2157.6900000000005</v>
      </c>
    </row>
    <row r="226" spans="1:27" hidden="1" x14ac:dyDescent="0.3">
      <c r="A226">
        <v>123230</v>
      </c>
      <c r="B226" s="1" t="s">
        <v>16</v>
      </c>
      <c r="C226" s="1" t="s">
        <v>17</v>
      </c>
      <c r="D226" s="1" t="s">
        <v>18</v>
      </c>
      <c r="E226" s="1" t="s">
        <v>32</v>
      </c>
      <c r="F226">
        <v>880</v>
      </c>
      <c r="G226" s="1" t="s">
        <v>19</v>
      </c>
      <c r="H226" s="1" t="s">
        <v>770</v>
      </c>
      <c r="I226" s="1" t="s">
        <v>771</v>
      </c>
      <c r="J226" s="1" t="s">
        <v>772</v>
      </c>
      <c r="K226" s="1" t="s">
        <v>773</v>
      </c>
      <c r="L226">
        <v>69.900000000000006</v>
      </c>
      <c r="M226" s="1" t="s">
        <v>24</v>
      </c>
      <c r="N226" s="2">
        <v>45341.369081793979</v>
      </c>
      <c r="O226" s="1" t="s">
        <v>25</v>
      </c>
      <c r="P226" s="1" t="s">
        <v>26</v>
      </c>
      <c r="Q226" s="1"/>
      <c r="R226" s="1"/>
      <c r="S226" s="1" t="str">
        <f>IF(M226="USD","DOLLAR",M226)</f>
        <v>DOLLAR</v>
      </c>
      <c r="T226" s="1" t="str">
        <f>IF(zara[[#This Row],[terms]]="jackets","jacket",IF(O226="shoes","shoe",O226))</f>
        <v>jacket</v>
      </c>
      <c r="U226" s="1">
        <f>SUMIF(O:O,zara[[#This Row],[terms]],L:L)</f>
        <v>14806.109999999982</v>
      </c>
      <c r="V226" s="1">
        <f>SUMIFS(L:L,O:O,O226)</f>
        <v>14806.109999999982</v>
      </c>
      <c r="W226" s="1" t="str">
        <f>VLOOKUP(zara[[#This Row],[price]],L:P,5,FALSE)</f>
        <v>MAN</v>
      </c>
      <c r="X226" s="1" t="str">
        <f>INDEX(O:O,MATCH(zara[[#This Row],[price]],L:L,0))</f>
        <v>jeans</v>
      </c>
      <c r="Y226" s="1" t="str">
        <f>INDEX(P:P,MATCH(zara[[#This Row],[price]],L:L,0))</f>
        <v>MAN</v>
      </c>
      <c r="Z226" s="1" t="str">
        <f>INDEX(P:P,MATCH(zara[[#This Row],[price]],L:L,0))</f>
        <v>MAN</v>
      </c>
      <c r="AA226" s="1">
        <f>SUMIFS(L:L,O:O,zara[[#This Row],[terms]])</f>
        <v>14806.109999999982</v>
      </c>
    </row>
    <row r="227" spans="1:27" hidden="1" x14ac:dyDescent="0.3">
      <c r="A227">
        <v>122926</v>
      </c>
      <c r="B227" s="1" t="s">
        <v>31</v>
      </c>
      <c r="C227" s="1" t="s">
        <v>17</v>
      </c>
      <c r="D227" s="1" t="s">
        <v>18</v>
      </c>
      <c r="E227" s="1" t="s">
        <v>17</v>
      </c>
      <c r="F227">
        <v>867</v>
      </c>
      <c r="G227" s="1" t="s">
        <v>19</v>
      </c>
      <c r="H227" s="1" t="s">
        <v>722</v>
      </c>
      <c r="I227" s="1" t="s">
        <v>723</v>
      </c>
      <c r="J227" s="1" t="s">
        <v>724</v>
      </c>
      <c r="K227" s="1" t="s">
        <v>725</v>
      </c>
      <c r="L227">
        <v>45.9</v>
      </c>
      <c r="M227" s="1" t="s">
        <v>24</v>
      </c>
      <c r="N227" s="2">
        <v>45341.382472581019</v>
      </c>
      <c r="O227" s="1" t="s">
        <v>636</v>
      </c>
      <c r="P227" s="1" t="s">
        <v>637</v>
      </c>
      <c r="Q227" s="1"/>
      <c r="R227" s="1"/>
      <c r="S227" s="1" t="str">
        <f>IF(M227="USD","DOLLAR",M227)</f>
        <v>DOLLAR</v>
      </c>
      <c r="T227" s="1" t="str">
        <f>IF(zara[[#This Row],[terms]]="jackets","jacket",IF(O227="shoes","shoe",O227))</f>
        <v>sweaters</v>
      </c>
      <c r="U227" s="1">
        <f>SUMIF(O:O,zara[[#This Row],[terms]],L:L)</f>
        <v>2249.3700000000013</v>
      </c>
      <c r="V227" s="1">
        <f>SUMIFS(L:L,O:O,O227)</f>
        <v>2249.3700000000013</v>
      </c>
      <c r="W227" s="1" t="str">
        <f>VLOOKUP(zara[[#This Row],[price]],L:P,5,FALSE)</f>
        <v>MAN</v>
      </c>
      <c r="X227" s="1" t="str">
        <f>INDEX(O:O,MATCH(zara[[#This Row],[price]],L:L,0))</f>
        <v>shoes</v>
      </c>
      <c r="Y227" s="1" t="str">
        <f>INDEX(P:P,MATCH(zara[[#This Row],[price]],L:L,0))</f>
        <v>MAN</v>
      </c>
      <c r="Z227" s="1" t="str">
        <f>INDEX(P:P,MATCH(zara[[#This Row],[price]],L:L,0))</f>
        <v>MAN</v>
      </c>
      <c r="AA227" s="1">
        <f>SUMIFS(L:L,O:O,zara[[#This Row],[terms]])</f>
        <v>2249.3700000000013</v>
      </c>
    </row>
    <row r="228" spans="1:27" x14ac:dyDescent="0.3">
      <c r="A228">
        <v>170364</v>
      </c>
      <c r="B228" s="1" t="s">
        <v>16</v>
      </c>
      <c r="C228" s="1" t="s">
        <v>17</v>
      </c>
      <c r="D228" s="1" t="s">
        <v>18</v>
      </c>
      <c r="E228" s="1" t="s">
        <v>17</v>
      </c>
      <c r="F228">
        <v>818</v>
      </c>
      <c r="G228" s="1" t="s">
        <v>19</v>
      </c>
      <c r="H228" s="1" t="s">
        <v>570</v>
      </c>
      <c r="I228" s="1" t="s">
        <v>571</v>
      </c>
      <c r="J228" s="1" t="s">
        <v>572</v>
      </c>
      <c r="K228" s="1" t="s">
        <v>573</v>
      </c>
      <c r="L228">
        <v>45.9</v>
      </c>
      <c r="M228" s="1" t="s">
        <v>24</v>
      </c>
      <c r="N228" s="2">
        <v>45341.375455914349</v>
      </c>
      <c r="O228" s="1" t="s">
        <v>517</v>
      </c>
      <c r="P228" s="1" t="s">
        <v>26</v>
      </c>
      <c r="Q228" s="1"/>
      <c r="R228" s="1"/>
      <c r="S228" s="1" t="str">
        <f>IF(M228="USD","DOLLAR",M228)</f>
        <v>DOLLAR</v>
      </c>
      <c r="T228" s="1" t="str">
        <f>IF(zara[[#This Row],[terms]]="jackets","jacket",IF(O228="shoes","shoe",O228))</f>
        <v>shoe</v>
      </c>
      <c r="U228" s="1">
        <f>SUMIF(O:O,zara[[#This Row],[terms]],L:L)</f>
        <v>2011.0800000000013</v>
      </c>
      <c r="V228" s="1">
        <f>SUMIFS(L:L,O:O,O228)</f>
        <v>2011.0800000000013</v>
      </c>
      <c r="W228" s="1" t="str">
        <f>VLOOKUP(zara[[#This Row],[price]],L:P,5,FALSE)</f>
        <v>MAN</v>
      </c>
      <c r="X228" s="1" t="str">
        <f>INDEX(O:O,MATCH(zara[[#This Row],[price]],L:L,0))</f>
        <v>shoes</v>
      </c>
      <c r="Y228" s="1" t="str">
        <f>INDEX(P:P,MATCH(zara[[#This Row],[price]],L:L,0))</f>
        <v>MAN</v>
      </c>
      <c r="Z228" s="1" t="str">
        <f>INDEX(P:P,MATCH(zara[[#This Row],[price]],L:L,0))</f>
        <v>MAN</v>
      </c>
      <c r="AA228" s="1">
        <f>SUMIFS(L:L,O:O,zara[[#This Row],[terms]])</f>
        <v>2011.0800000000013</v>
      </c>
    </row>
    <row r="229" spans="1:27" hidden="1" x14ac:dyDescent="0.3">
      <c r="A229">
        <v>162883</v>
      </c>
      <c r="B229" s="1" t="s">
        <v>49</v>
      </c>
      <c r="C229" s="1" t="s">
        <v>32</v>
      </c>
      <c r="D229" s="1" t="s">
        <v>18</v>
      </c>
      <c r="E229" s="1" t="s">
        <v>17</v>
      </c>
      <c r="F229">
        <v>786</v>
      </c>
      <c r="G229" s="1" t="s">
        <v>19</v>
      </c>
      <c r="H229" s="1" t="s">
        <v>311</v>
      </c>
      <c r="I229" s="1" t="s">
        <v>312</v>
      </c>
      <c r="J229" s="1" t="s">
        <v>313</v>
      </c>
      <c r="K229" s="1" t="s">
        <v>314</v>
      </c>
      <c r="L229">
        <v>139</v>
      </c>
      <c r="M229" s="1" t="s">
        <v>24</v>
      </c>
      <c r="N229" s="2">
        <v>45341.368702523148</v>
      </c>
      <c r="O229" s="1" t="s">
        <v>25</v>
      </c>
      <c r="P229" s="1" t="s">
        <v>26</v>
      </c>
      <c r="Q229" s="1"/>
      <c r="R229" s="1"/>
      <c r="S229" s="1" t="str">
        <f>IF(M229="USD","DOLLAR",M229)</f>
        <v>DOLLAR</v>
      </c>
      <c r="T229" s="1" t="str">
        <f>IF(zara[[#This Row],[terms]]="jackets","jacket",IF(O229="shoes","shoe",O229))</f>
        <v>jacket</v>
      </c>
      <c r="U229" s="1">
        <f>SUMIF(O:O,zara[[#This Row],[terms]],L:L)</f>
        <v>14806.109999999982</v>
      </c>
      <c r="V229" s="1">
        <f>SUMIFS(L:L,O:O,O229)</f>
        <v>14806.109999999982</v>
      </c>
      <c r="W229" s="1" t="str">
        <f>VLOOKUP(zara[[#This Row],[price]],L:P,5,FALSE)</f>
        <v>MAN</v>
      </c>
      <c r="X229" s="1" t="str">
        <f>INDEX(O:O,MATCH(zara[[#This Row],[price]],L:L,0))</f>
        <v>jackets</v>
      </c>
      <c r="Y229" s="1" t="str">
        <f>INDEX(P:P,MATCH(zara[[#This Row],[price]],L:L,0))</f>
        <v>MAN</v>
      </c>
      <c r="Z229" s="1" t="str">
        <f>INDEX(P:P,MATCH(zara[[#This Row],[price]],L:L,0))</f>
        <v>MAN</v>
      </c>
      <c r="AA229" s="1">
        <f>SUMIFS(L:L,O:O,zara[[#This Row],[terms]])</f>
        <v>14806.109999999982</v>
      </c>
    </row>
    <row r="230" spans="1:27" hidden="1" x14ac:dyDescent="0.3">
      <c r="A230">
        <v>117065</v>
      </c>
      <c r="B230" s="1" t="s">
        <v>16</v>
      </c>
      <c r="C230" s="1" t="s">
        <v>32</v>
      </c>
      <c r="D230" s="1" t="s">
        <v>18</v>
      </c>
      <c r="E230" s="1" t="s">
        <v>32</v>
      </c>
      <c r="F230">
        <v>758</v>
      </c>
      <c r="G230" s="1" t="s">
        <v>19</v>
      </c>
      <c r="H230" s="1" t="s">
        <v>268</v>
      </c>
      <c r="I230" s="1" t="s">
        <v>269</v>
      </c>
      <c r="J230" s="1" t="s">
        <v>270</v>
      </c>
      <c r="K230" s="1" t="s">
        <v>271</v>
      </c>
      <c r="L230">
        <v>109</v>
      </c>
      <c r="M230" s="1" t="s">
        <v>24</v>
      </c>
      <c r="N230" s="2">
        <v>45341.368585752316</v>
      </c>
      <c r="O230" s="1" t="s">
        <v>25</v>
      </c>
      <c r="P230" s="1" t="s">
        <v>26</v>
      </c>
      <c r="Q230" s="1"/>
      <c r="R230" s="1"/>
      <c r="S230" s="1" t="str">
        <f>IF(M230="USD","DOLLAR",M230)</f>
        <v>DOLLAR</v>
      </c>
      <c r="T230" s="1" t="str">
        <f>IF(zara[[#This Row],[terms]]="jackets","jacket",IF(O230="shoes","shoe",O230))</f>
        <v>jacket</v>
      </c>
      <c r="U230" s="1">
        <f>SUMIF(O:O,zara[[#This Row],[terms]],L:L)</f>
        <v>14806.109999999982</v>
      </c>
      <c r="V230" s="1">
        <f>SUMIFS(L:L,O:O,O230)</f>
        <v>14806.109999999982</v>
      </c>
      <c r="W230" s="1" t="str">
        <f>VLOOKUP(zara[[#This Row],[price]],L:P,5,FALSE)</f>
        <v>MAN</v>
      </c>
      <c r="X230" s="1" t="str">
        <f>INDEX(O:O,MATCH(zara[[#This Row],[price]],L:L,0))</f>
        <v>t-shirts</v>
      </c>
      <c r="Y230" s="1" t="str">
        <f>INDEX(P:P,MATCH(zara[[#This Row],[price]],L:L,0))</f>
        <v>MAN</v>
      </c>
      <c r="Z230" s="1" t="str">
        <f>INDEX(P:P,MATCH(zara[[#This Row],[price]],L:L,0))</f>
        <v>MAN</v>
      </c>
      <c r="AA230" s="1">
        <f>SUMIFS(L:L,O:O,zara[[#This Row],[terms]])</f>
        <v>14806.109999999982</v>
      </c>
    </row>
    <row r="231" spans="1:27" hidden="1" x14ac:dyDescent="0.3">
      <c r="A231">
        <v>144012</v>
      </c>
      <c r="B231" s="1" t="s">
        <v>49</v>
      </c>
      <c r="C231" s="1" t="s">
        <v>32</v>
      </c>
      <c r="D231" s="1" t="s">
        <v>18</v>
      </c>
      <c r="E231" s="1" t="s">
        <v>17</v>
      </c>
      <c r="F231">
        <v>743</v>
      </c>
      <c r="G231" s="1" t="s">
        <v>19</v>
      </c>
      <c r="H231" s="1" t="s">
        <v>498</v>
      </c>
      <c r="I231" s="1" t="s">
        <v>499</v>
      </c>
      <c r="J231" s="1" t="s">
        <v>500</v>
      </c>
      <c r="K231" s="1" t="s">
        <v>501</v>
      </c>
      <c r="L231">
        <v>59.9</v>
      </c>
      <c r="M231" s="1" t="s">
        <v>24</v>
      </c>
      <c r="N231" s="2">
        <v>45341.369232442128</v>
      </c>
      <c r="O231" s="1" t="s">
        <v>25</v>
      </c>
      <c r="P231" s="1" t="s">
        <v>26</v>
      </c>
      <c r="Q231" s="1"/>
      <c r="R231" s="1"/>
      <c r="S231" s="1" t="str">
        <f>IF(M231="USD","DOLLAR",M231)</f>
        <v>DOLLAR</v>
      </c>
      <c r="T231" s="1" t="str">
        <f>IF(zara[[#This Row],[terms]]="jackets","jacket",IF(O231="shoes","shoe",O231))</f>
        <v>jacket</v>
      </c>
      <c r="U231" s="1">
        <f>SUMIF(O:O,zara[[#This Row],[terms]],L:L)</f>
        <v>14806.109999999982</v>
      </c>
      <c r="V231" s="1">
        <f>SUMIFS(L:L,O:O,O231)</f>
        <v>14806.109999999982</v>
      </c>
      <c r="W231" s="1" t="str">
        <f>VLOOKUP(zara[[#This Row],[price]],L:P,5,FALSE)</f>
        <v>WOMAN</v>
      </c>
      <c r="X231" s="1" t="str">
        <f>INDEX(O:O,MATCH(zara[[#This Row],[price]],L:L,0))</f>
        <v>sweaters</v>
      </c>
      <c r="Y231" s="1" t="str">
        <f>INDEX(P:P,MATCH(zara[[#This Row],[price]],L:L,0))</f>
        <v>WOMAN</v>
      </c>
      <c r="Z231" s="1" t="str">
        <f>INDEX(P:P,MATCH(zara[[#This Row],[price]],L:L,0))</f>
        <v>WOMAN</v>
      </c>
      <c r="AA231" s="1">
        <f>SUMIFS(L:L,O:O,zara[[#This Row],[terms]])</f>
        <v>14806.109999999982</v>
      </c>
    </row>
    <row r="232" spans="1:27" hidden="1" x14ac:dyDescent="0.3">
      <c r="A232">
        <v>167981</v>
      </c>
      <c r="B232" s="1" t="s">
        <v>31</v>
      </c>
      <c r="C232" s="1" t="s">
        <v>17</v>
      </c>
      <c r="D232" s="1" t="s">
        <v>18</v>
      </c>
      <c r="E232" s="1" t="s">
        <v>17</v>
      </c>
      <c r="F232">
        <v>730</v>
      </c>
      <c r="G232" s="1" t="s">
        <v>19</v>
      </c>
      <c r="H232" s="1" t="s">
        <v>372</v>
      </c>
      <c r="I232" s="1" t="s">
        <v>373</v>
      </c>
      <c r="J232" s="1" t="s">
        <v>374</v>
      </c>
      <c r="K232" s="1" t="s">
        <v>375</v>
      </c>
      <c r="L232">
        <v>139</v>
      </c>
      <c r="M232" s="1" t="s">
        <v>24</v>
      </c>
      <c r="N232" s="2">
        <v>45341.36881630787</v>
      </c>
      <c r="O232" s="1" t="s">
        <v>25</v>
      </c>
      <c r="P232" s="1" t="s">
        <v>26</v>
      </c>
      <c r="Q232" s="1"/>
      <c r="R232" s="1"/>
      <c r="S232" s="1" t="str">
        <f>IF(M232="USD","DOLLAR",M232)</f>
        <v>DOLLAR</v>
      </c>
      <c r="T232" s="1" t="str">
        <f>IF(zara[[#This Row],[terms]]="jackets","jacket",IF(O232="shoes","shoe",O232))</f>
        <v>jacket</v>
      </c>
      <c r="U232" s="1">
        <f>SUMIF(O:O,zara[[#This Row],[terms]],L:L)</f>
        <v>14806.109999999982</v>
      </c>
      <c r="V232" s="1">
        <f>SUMIFS(L:L,O:O,O232)</f>
        <v>14806.109999999982</v>
      </c>
      <c r="W232" s="1" t="str">
        <f>VLOOKUP(zara[[#This Row],[price]],L:P,5,FALSE)</f>
        <v>MAN</v>
      </c>
      <c r="X232" s="1" t="str">
        <f>INDEX(O:O,MATCH(zara[[#This Row],[price]],L:L,0))</f>
        <v>jackets</v>
      </c>
      <c r="Y232" s="1" t="str">
        <f>INDEX(P:P,MATCH(zara[[#This Row],[price]],L:L,0))</f>
        <v>MAN</v>
      </c>
      <c r="Z232" s="1" t="str">
        <f>INDEX(P:P,MATCH(zara[[#This Row],[price]],L:L,0))</f>
        <v>MAN</v>
      </c>
      <c r="AA232" s="1">
        <f>SUMIFS(L:L,O:O,zara[[#This Row],[terms]])</f>
        <v>14806.109999999982</v>
      </c>
    </row>
    <row r="233" spans="1:27" hidden="1" x14ac:dyDescent="0.3">
      <c r="A233">
        <v>151396</v>
      </c>
      <c r="B233" s="1" t="s">
        <v>49</v>
      </c>
      <c r="C233" s="1" t="s">
        <v>32</v>
      </c>
      <c r="D233" s="1" t="s">
        <v>18</v>
      </c>
      <c r="E233" s="1" t="s">
        <v>32</v>
      </c>
      <c r="F233">
        <v>729</v>
      </c>
      <c r="G233" s="1" t="s">
        <v>19</v>
      </c>
      <c r="H233" s="1" t="s">
        <v>78</v>
      </c>
      <c r="I233" s="1" t="s">
        <v>79</v>
      </c>
      <c r="J233" s="1" t="s">
        <v>80</v>
      </c>
      <c r="K233" s="1" t="s">
        <v>81</v>
      </c>
      <c r="L233">
        <v>439</v>
      </c>
      <c r="M233" s="1" t="s">
        <v>24</v>
      </c>
      <c r="N233" s="2">
        <v>45341.368214942129</v>
      </c>
      <c r="O233" s="1" t="s">
        <v>25</v>
      </c>
      <c r="P233" s="1" t="s">
        <v>26</v>
      </c>
      <c r="Q233" s="1"/>
      <c r="R233" s="1"/>
      <c r="S233" s="1" t="str">
        <f>IF(M233="USD","DOLLAR",M233)</f>
        <v>DOLLAR</v>
      </c>
      <c r="T233" s="1" t="str">
        <f>IF(zara[[#This Row],[terms]]="jackets","jacket",IF(O233="shoes","shoe",O233))</f>
        <v>jacket</v>
      </c>
      <c r="U233" s="1">
        <f>SUMIF(O:O,zara[[#This Row],[terms]],L:L)</f>
        <v>14806.109999999982</v>
      </c>
      <c r="V233" s="1">
        <f>SUMIFS(L:L,O:O,O233)</f>
        <v>14806.109999999982</v>
      </c>
      <c r="W233" s="1" t="str">
        <f>VLOOKUP(zara[[#This Row],[price]],L:P,5,FALSE)</f>
        <v>MAN</v>
      </c>
      <c r="X233" s="1" t="str">
        <f>INDEX(O:O,MATCH(zara[[#This Row],[price]],L:L,0))</f>
        <v>jackets</v>
      </c>
      <c r="Y233" s="1" t="str">
        <f>INDEX(P:P,MATCH(zara[[#This Row],[price]],L:L,0))</f>
        <v>MAN</v>
      </c>
      <c r="Z233" s="1" t="str">
        <f>INDEX(P:P,MATCH(zara[[#This Row],[price]],L:L,0))</f>
        <v>MAN</v>
      </c>
      <c r="AA233" s="1">
        <f>SUMIFS(L:L,O:O,zara[[#This Row],[terms]])</f>
        <v>14806.109999999982</v>
      </c>
    </row>
    <row r="234" spans="1:27" hidden="1" x14ac:dyDescent="0.3">
      <c r="A234">
        <v>155010</v>
      </c>
      <c r="B234" s="1" t="s">
        <v>16</v>
      </c>
      <c r="C234" s="1" t="s">
        <v>32</v>
      </c>
      <c r="D234" s="1" t="s">
        <v>18</v>
      </c>
      <c r="E234" s="1" t="s">
        <v>32</v>
      </c>
      <c r="F234">
        <v>729</v>
      </c>
      <c r="G234" s="1" t="s">
        <v>19</v>
      </c>
      <c r="H234" s="1" t="s">
        <v>884</v>
      </c>
      <c r="I234" s="1" t="s">
        <v>885</v>
      </c>
      <c r="J234" s="1" t="s">
        <v>886</v>
      </c>
      <c r="K234" s="1" t="s">
        <v>887</v>
      </c>
      <c r="L234">
        <v>45.9</v>
      </c>
      <c r="M234" s="1" t="s">
        <v>24</v>
      </c>
      <c r="N234" s="2">
        <v>45341.37261244213</v>
      </c>
      <c r="O234" s="1" t="s">
        <v>836</v>
      </c>
      <c r="P234" s="1" t="s">
        <v>26</v>
      </c>
      <c r="Q234" s="1"/>
      <c r="R234" s="1"/>
      <c r="S234" s="1" t="str">
        <f>IF(M234="USD","DOLLAR",M234)</f>
        <v>DOLLAR</v>
      </c>
      <c r="T234" s="1" t="str">
        <f>IF(zara[[#This Row],[terms]]="jackets","jacket",IF(O234="shoes","shoe",O234))</f>
        <v>t-shirts</v>
      </c>
      <c r="U234" s="1">
        <f>SUMIF(O:O,zara[[#This Row],[terms]],L:L)</f>
        <v>2157.6900000000005</v>
      </c>
      <c r="V234" s="1">
        <f>SUMIFS(L:L,O:O,O234)</f>
        <v>2157.6900000000005</v>
      </c>
      <c r="W234" s="1" t="str">
        <f>VLOOKUP(zara[[#This Row],[price]],L:P,5,FALSE)</f>
        <v>MAN</v>
      </c>
      <c r="X234" s="1" t="str">
        <f>INDEX(O:O,MATCH(zara[[#This Row],[price]],L:L,0))</f>
        <v>shoes</v>
      </c>
      <c r="Y234" s="1" t="str">
        <f>INDEX(P:P,MATCH(zara[[#This Row],[price]],L:L,0))</f>
        <v>MAN</v>
      </c>
      <c r="Z234" s="1" t="str">
        <f>INDEX(P:P,MATCH(zara[[#This Row],[price]],L:L,0))</f>
        <v>MAN</v>
      </c>
      <c r="AA234" s="1">
        <f>SUMIFS(L:L,O:O,zara[[#This Row],[terms]])</f>
        <v>2157.6900000000005</v>
      </c>
    </row>
    <row r="235" spans="1:27" hidden="1" x14ac:dyDescent="0.3">
      <c r="A235">
        <v>149315</v>
      </c>
      <c r="B235" s="1" t="s">
        <v>31</v>
      </c>
      <c r="C235" s="1" t="s">
        <v>32</v>
      </c>
      <c r="D235" s="1" t="s">
        <v>18</v>
      </c>
      <c r="E235" s="1" t="s">
        <v>17</v>
      </c>
      <c r="F235">
        <v>718</v>
      </c>
      <c r="G235" s="1" t="s">
        <v>19</v>
      </c>
      <c r="H235" s="1" t="s">
        <v>272</v>
      </c>
      <c r="I235" s="1" t="s">
        <v>273</v>
      </c>
      <c r="J235" s="1" t="s">
        <v>274</v>
      </c>
      <c r="K235" s="1" t="s">
        <v>275</v>
      </c>
      <c r="L235">
        <v>109</v>
      </c>
      <c r="M235" s="1" t="s">
        <v>24</v>
      </c>
      <c r="N235" s="2">
        <v>45341.36859096065</v>
      </c>
      <c r="O235" s="1" t="s">
        <v>25</v>
      </c>
      <c r="P235" s="1" t="s">
        <v>26</v>
      </c>
      <c r="Q235" s="1"/>
      <c r="R235" s="1"/>
      <c r="S235" s="1" t="str">
        <f>IF(M235="USD","DOLLAR",M235)</f>
        <v>DOLLAR</v>
      </c>
      <c r="T235" s="1" t="str">
        <f>IF(zara[[#This Row],[terms]]="jackets","jacket",IF(O235="shoes","shoe",O235))</f>
        <v>jacket</v>
      </c>
      <c r="U235" s="1">
        <f>SUMIF(O:O,zara[[#This Row],[terms]],L:L)</f>
        <v>14806.109999999982</v>
      </c>
      <c r="V235" s="1">
        <f>SUMIFS(L:L,O:O,O235)</f>
        <v>14806.109999999982</v>
      </c>
      <c r="W235" s="1" t="str">
        <f>VLOOKUP(zara[[#This Row],[price]],L:P,5,FALSE)</f>
        <v>MAN</v>
      </c>
      <c r="X235" s="1" t="str">
        <f>INDEX(O:O,MATCH(zara[[#This Row],[price]],L:L,0))</f>
        <v>t-shirts</v>
      </c>
      <c r="Y235" s="1" t="str">
        <f>INDEX(P:P,MATCH(zara[[#This Row],[price]],L:L,0))</f>
        <v>MAN</v>
      </c>
      <c r="Z235" s="1" t="str">
        <f>INDEX(P:P,MATCH(zara[[#This Row],[price]],L:L,0))</f>
        <v>MAN</v>
      </c>
      <c r="AA235" s="1">
        <f>SUMIFS(L:L,O:O,zara[[#This Row],[terms]])</f>
        <v>14806.109999999982</v>
      </c>
    </row>
    <row r="236" spans="1:27" hidden="1" x14ac:dyDescent="0.3">
      <c r="A236">
        <v>167592</v>
      </c>
      <c r="B236" s="1" t="s">
        <v>49</v>
      </c>
      <c r="C236" s="1" t="s">
        <v>32</v>
      </c>
      <c r="D236" s="1" t="s">
        <v>18</v>
      </c>
      <c r="E236" s="1" t="s">
        <v>17</v>
      </c>
      <c r="F236">
        <v>707</v>
      </c>
      <c r="G236" s="1" t="s">
        <v>19</v>
      </c>
      <c r="H236" s="1" t="s">
        <v>209</v>
      </c>
      <c r="I236" s="1" t="s">
        <v>210</v>
      </c>
      <c r="J236" s="1" t="s">
        <v>211</v>
      </c>
      <c r="K236" s="1" t="s">
        <v>212</v>
      </c>
      <c r="L236">
        <v>89.9</v>
      </c>
      <c r="M236" s="1" t="s">
        <v>24</v>
      </c>
      <c r="N236" s="2">
        <v>45341.368475439813</v>
      </c>
      <c r="O236" s="1" t="s">
        <v>25</v>
      </c>
      <c r="P236" s="1" t="s">
        <v>26</v>
      </c>
      <c r="Q236" s="1"/>
      <c r="R236" s="1"/>
      <c r="S236" s="1" t="str">
        <f>IF(M236="USD","DOLLAR",M236)</f>
        <v>DOLLAR</v>
      </c>
      <c r="T236" s="1" t="str">
        <f>IF(zara[[#This Row],[terms]]="jackets","jacket",IF(O236="shoes","shoe",O236))</f>
        <v>jacket</v>
      </c>
      <c r="U236" s="1">
        <f>SUMIF(O:O,zara[[#This Row],[terms]],L:L)</f>
        <v>14806.109999999982</v>
      </c>
      <c r="V236" s="1">
        <f>SUMIFS(L:L,O:O,O236)</f>
        <v>14806.109999999982</v>
      </c>
      <c r="W236" s="1" t="str">
        <f>VLOOKUP(zara[[#This Row],[price]],L:P,5,FALSE)</f>
        <v>MAN</v>
      </c>
      <c r="X236" s="1" t="str">
        <f>INDEX(O:O,MATCH(zara[[#This Row],[price]],L:L,0))</f>
        <v>jackets</v>
      </c>
      <c r="Y236" s="1" t="str">
        <f>INDEX(P:P,MATCH(zara[[#This Row],[price]],L:L,0))</f>
        <v>MAN</v>
      </c>
      <c r="Z236" s="1" t="str">
        <f>INDEX(P:P,MATCH(zara[[#This Row],[price]],L:L,0))</f>
        <v>MAN</v>
      </c>
      <c r="AA236" s="1">
        <f>SUMIFS(L:L,O:O,zara[[#This Row],[terms]])</f>
        <v>14806.109999999982</v>
      </c>
    </row>
    <row r="237" spans="1:27" hidden="1" x14ac:dyDescent="0.3">
      <c r="A237">
        <v>171860</v>
      </c>
      <c r="B237" s="1" t="s">
        <v>16</v>
      </c>
      <c r="C237" s="1" t="s">
        <v>32</v>
      </c>
      <c r="D237" s="1" t="s">
        <v>18</v>
      </c>
      <c r="E237" s="1" t="s">
        <v>17</v>
      </c>
      <c r="F237">
        <v>707</v>
      </c>
      <c r="G237" s="1" t="s">
        <v>19</v>
      </c>
      <c r="H237" s="1" t="s">
        <v>718</v>
      </c>
      <c r="I237" s="1" t="s">
        <v>476</v>
      </c>
      <c r="J237" s="1" t="s">
        <v>111</v>
      </c>
      <c r="K237" s="1" t="s">
        <v>331</v>
      </c>
      <c r="L237">
        <v>109</v>
      </c>
      <c r="M237" s="1" t="s">
        <v>24</v>
      </c>
      <c r="N237" s="2">
        <v>45341.382394490742</v>
      </c>
      <c r="O237" s="1" t="s">
        <v>836</v>
      </c>
      <c r="P237" s="1" t="s">
        <v>26</v>
      </c>
      <c r="Q237" s="1"/>
      <c r="R237" s="1"/>
      <c r="S237" s="1" t="str">
        <f>IF(M237="USD","DOLLAR",M237)</f>
        <v>DOLLAR</v>
      </c>
      <c r="T237" s="1" t="str">
        <f>IF(zara[[#This Row],[terms]]="jackets","jacket",IF(O237="shoes","shoe",O237))</f>
        <v>t-shirts</v>
      </c>
      <c r="U237" s="1">
        <f>SUMIF(O:O,zara[[#This Row],[terms]],L:L)</f>
        <v>2157.6900000000005</v>
      </c>
      <c r="V237" s="1">
        <f>SUMIFS(L:L,O:O,O237)</f>
        <v>2157.6900000000005</v>
      </c>
      <c r="W237" s="1" t="str">
        <f>VLOOKUP(zara[[#This Row],[price]],L:P,5,FALSE)</f>
        <v>MAN</v>
      </c>
      <c r="X237" s="1" t="str">
        <f>INDEX(O:O,MATCH(zara[[#This Row],[price]],L:L,0))</f>
        <v>t-shirts</v>
      </c>
      <c r="Y237" s="1" t="str">
        <f>INDEX(P:P,MATCH(zara[[#This Row],[price]],L:L,0))</f>
        <v>MAN</v>
      </c>
      <c r="Z237" s="1" t="str">
        <f>INDEX(P:P,MATCH(zara[[#This Row],[price]],L:L,0))</f>
        <v>MAN</v>
      </c>
      <c r="AA237" s="1">
        <f>SUMIFS(L:L,O:O,zara[[#This Row],[terms]])</f>
        <v>2157.6900000000005</v>
      </c>
    </row>
    <row r="238" spans="1:27" hidden="1" x14ac:dyDescent="0.3">
      <c r="A238">
        <v>187930</v>
      </c>
      <c r="B238" s="1" t="s">
        <v>31</v>
      </c>
      <c r="C238" s="1" t="s">
        <v>17</v>
      </c>
      <c r="D238" s="1" t="s">
        <v>18</v>
      </c>
      <c r="E238" s="1" t="s">
        <v>32</v>
      </c>
      <c r="F238">
        <v>706</v>
      </c>
      <c r="G238" s="1" t="s">
        <v>19</v>
      </c>
      <c r="H238" s="1" t="s">
        <v>244</v>
      </c>
      <c r="I238" s="1" t="s">
        <v>245</v>
      </c>
      <c r="J238" s="1" t="s">
        <v>246</v>
      </c>
      <c r="K238" s="1" t="s">
        <v>247</v>
      </c>
      <c r="L238">
        <v>89.9</v>
      </c>
      <c r="M238" s="1" t="s">
        <v>24</v>
      </c>
      <c r="N238" s="2">
        <v>45341.368541018521</v>
      </c>
      <c r="O238" s="1" t="s">
        <v>25</v>
      </c>
      <c r="P238" s="1" t="s">
        <v>26</v>
      </c>
      <c r="Q238" s="1"/>
      <c r="R238" s="1"/>
      <c r="S238" s="1" t="str">
        <f>IF(M238="USD","DOLLAR",M238)</f>
        <v>DOLLAR</v>
      </c>
      <c r="T238" s="1" t="str">
        <f>IF(zara[[#This Row],[terms]]="jackets","jacket",IF(O238="shoes","shoe",O238))</f>
        <v>jacket</v>
      </c>
      <c r="U238" s="1">
        <f>SUMIF(O:O,zara[[#This Row],[terms]],L:L)</f>
        <v>14806.109999999982</v>
      </c>
      <c r="V238" s="1">
        <f>SUMIFS(L:L,O:O,O238)</f>
        <v>14806.109999999982</v>
      </c>
      <c r="W238" s="1" t="str">
        <f>VLOOKUP(zara[[#This Row],[price]],L:P,5,FALSE)</f>
        <v>MAN</v>
      </c>
      <c r="X238" s="1" t="str">
        <f>INDEX(O:O,MATCH(zara[[#This Row],[price]],L:L,0))</f>
        <v>jackets</v>
      </c>
      <c r="Y238" s="1" t="str">
        <f>INDEX(P:P,MATCH(zara[[#This Row],[price]],L:L,0))</f>
        <v>MAN</v>
      </c>
      <c r="Z238" s="1" t="str">
        <f>INDEX(P:P,MATCH(zara[[#This Row],[price]],L:L,0))</f>
        <v>MAN</v>
      </c>
      <c r="AA238" s="1">
        <f>SUMIFS(L:L,O:O,zara[[#This Row],[terms]])</f>
        <v>14806.109999999982</v>
      </c>
    </row>
    <row r="239" spans="1:27" hidden="1" x14ac:dyDescent="0.3">
      <c r="A239">
        <v>122307</v>
      </c>
      <c r="B239" s="1" t="s">
        <v>31</v>
      </c>
      <c r="C239" s="1" t="s">
        <v>17</v>
      </c>
      <c r="D239" s="1" t="s">
        <v>18</v>
      </c>
      <c r="E239" s="1" t="s">
        <v>17</v>
      </c>
      <c r="F239">
        <v>702</v>
      </c>
      <c r="G239" s="1" t="s">
        <v>19</v>
      </c>
      <c r="H239" s="1" t="s">
        <v>857</v>
      </c>
      <c r="I239" s="1" t="s">
        <v>858</v>
      </c>
      <c r="J239" s="1" t="s">
        <v>859</v>
      </c>
      <c r="K239" s="1" t="s">
        <v>860</v>
      </c>
      <c r="L239">
        <v>49.9</v>
      </c>
      <c r="M239" s="1" t="s">
        <v>24</v>
      </c>
      <c r="N239" s="2">
        <v>45341.37256369213</v>
      </c>
      <c r="O239" s="1" t="s">
        <v>836</v>
      </c>
      <c r="P239" s="1" t="s">
        <v>26</v>
      </c>
      <c r="Q239" s="1"/>
      <c r="R239" s="1"/>
      <c r="S239" s="1" t="str">
        <f>IF(M239="USD","DOLLAR",M239)</f>
        <v>DOLLAR</v>
      </c>
      <c r="T239" s="1" t="str">
        <f>IF(zara[[#This Row],[terms]]="jackets","jacket",IF(O239="shoes","shoe",O239))</f>
        <v>t-shirts</v>
      </c>
      <c r="U239" s="1">
        <f>SUMIF(O:O,zara[[#This Row],[terms]],L:L)</f>
        <v>2157.6900000000005</v>
      </c>
      <c r="V239" s="1">
        <f>SUMIFS(L:L,O:O,O239)</f>
        <v>2157.6900000000005</v>
      </c>
      <c r="W239" s="1" t="str">
        <f>VLOOKUP(zara[[#This Row],[price]],L:P,5,FALSE)</f>
        <v>MAN</v>
      </c>
      <c r="X239" s="1" t="str">
        <f>INDEX(O:O,MATCH(zara[[#This Row],[price]],L:L,0))</f>
        <v>jackets</v>
      </c>
      <c r="Y239" s="1" t="str">
        <f>INDEX(P:P,MATCH(zara[[#This Row],[price]],L:L,0))</f>
        <v>MAN</v>
      </c>
      <c r="Z239" s="1" t="str">
        <f>INDEX(P:P,MATCH(zara[[#This Row],[price]],L:L,0))</f>
        <v>MAN</v>
      </c>
      <c r="AA239" s="1">
        <f>SUMIFS(L:L,O:O,zara[[#This Row],[terms]])</f>
        <v>2157.6900000000005</v>
      </c>
    </row>
    <row r="240" spans="1:27" hidden="1" x14ac:dyDescent="0.3">
      <c r="A240">
        <v>118985</v>
      </c>
      <c r="B240" s="1" t="s">
        <v>16</v>
      </c>
      <c r="C240" s="1" t="s">
        <v>17</v>
      </c>
      <c r="D240" s="1" t="s">
        <v>18</v>
      </c>
      <c r="E240" s="1" t="s">
        <v>32</v>
      </c>
      <c r="F240">
        <v>694</v>
      </c>
      <c r="G240" s="1" t="s">
        <v>19</v>
      </c>
      <c r="H240" s="1" t="s">
        <v>738</v>
      </c>
      <c r="I240" s="1" t="s">
        <v>495</v>
      </c>
      <c r="J240" s="1" t="s">
        <v>131</v>
      </c>
      <c r="K240" s="1" t="s">
        <v>351</v>
      </c>
      <c r="L240">
        <v>139</v>
      </c>
      <c r="M240" s="1" t="s">
        <v>24</v>
      </c>
      <c r="N240" s="2">
        <v>45341.382430740741</v>
      </c>
      <c r="O240" s="1" t="s">
        <v>836</v>
      </c>
      <c r="P240" s="1" t="s">
        <v>26</v>
      </c>
      <c r="Q240" s="1"/>
      <c r="R240" s="1"/>
      <c r="S240" s="1" t="str">
        <f>IF(M240="USD","DOLLAR",M240)</f>
        <v>DOLLAR</v>
      </c>
      <c r="T240" s="1" t="str">
        <f>IF(zara[[#This Row],[terms]]="jackets","jacket",IF(O240="shoes","shoe",O240))</f>
        <v>t-shirts</v>
      </c>
      <c r="U240" s="1">
        <f>SUMIF(O:O,zara[[#This Row],[terms]],L:L)</f>
        <v>2157.6900000000005</v>
      </c>
      <c r="V240" s="1">
        <f>SUMIFS(L:L,O:O,O240)</f>
        <v>2157.6900000000005</v>
      </c>
      <c r="W240" s="1" t="str">
        <f>VLOOKUP(zara[[#This Row],[price]],L:P,5,FALSE)</f>
        <v>MAN</v>
      </c>
      <c r="X240" s="1" t="str">
        <f>INDEX(O:O,MATCH(zara[[#This Row],[price]],L:L,0))</f>
        <v>jackets</v>
      </c>
      <c r="Y240" s="1" t="str">
        <f>INDEX(P:P,MATCH(zara[[#This Row],[price]],L:L,0))</f>
        <v>MAN</v>
      </c>
      <c r="Z240" s="1" t="str">
        <f>INDEX(P:P,MATCH(zara[[#This Row],[price]],L:L,0))</f>
        <v>MAN</v>
      </c>
      <c r="AA240" s="1">
        <f>SUMIFS(L:L,O:O,zara[[#This Row],[terms]])</f>
        <v>2157.6900000000005</v>
      </c>
    </row>
    <row r="241" spans="1:27" hidden="1" x14ac:dyDescent="0.3">
      <c r="A241">
        <v>194410</v>
      </c>
      <c r="B241" s="1" t="s">
        <v>31</v>
      </c>
      <c r="C241" s="1" t="s">
        <v>17</v>
      </c>
      <c r="D241" s="1" t="s">
        <v>18</v>
      </c>
      <c r="E241" s="1" t="s">
        <v>17</v>
      </c>
      <c r="F241">
        <v>669</v>
      </c>
      <c r="G241" s="1" t="s">
        <v>19</v>
      </c>
      <c r="H241" s="1" t="s">
        <v>102</v>
      </c>
      <c r="I241" s="1" t="s">
        <v>103</v>
      </c>
      <c r="J241" s="1" t="s">
        <v>56</v>
      </c>
      <c r="K241" s="1" t="s">
        <v>104</v>
      </c>
      <c r="L241">
        <v>159</v>
      </c>
      <c r="M241" s="1" t="s">
        <v>24</v>
      </c>
      <c r="N241" s="2">
        <v>45341.368254085646</v>
      </c>
      <c r="O241" s="1" t="s">
        <v>25</v>
      </c>
      <c r="P241" s="1" t="s">
        <v>26</v>
      </c>
      <c r="Q241" s="1"/>
      <c r="R241" s="1"/>
      <c r="S241" s="1" t="str">
        <f>IF(M241="USD","DOLLAR",M241)</f>
        <v>DOLLAR</v>
      </c>
      <c r="T241" s="1" t="str">
        <f>IF(zara[[#This Row],[terms]]="jackets","jacket",IF(O241="shoes","shoe",O241))</f>
        <v>jacket</v>
      </c>
      <c r="U241" s="1">
        <f>SUMIF(O:O,zara[[#This Row],[terms]],L:L)</f>
        <v>14806.109999999982</v>
      </c>
      <c r="V241" s="1">
        <f>SUMIFS(L:L,O:O,O241)</f>
        <v>14806.109999999982</v>
      </c>
      <c r="W241" s="1" t="str">
        <f>VLOOKUP(zara[[#This Row],[price]],L:P,5,FALSE)</f>
        <v>MAN</v>
      </c>
      <c r="X241" s="1" t="str">
        <f>INDEX(O:O,MATCH(zara[[#This Row],[price]],L:L,0))</f>
        <v>jackets</v>
      </c>
      <c r="Y241" s="1" t="str">
        <f>INDEX(P:P,MATCH(zara[[#This Row],[price]],L:L,0))</f>
        <v>MAN</v>
      </c>
      <c r="Z241" s="1" t="str">
        <f>INDEX(P:P,MATCH(zara[[#This Row],[price]],L:L,0))</f>
        <v>MAN</v>
      </c>
      <c r="AA241" s="1">
        <f>SUMIFS(L:L,O:O,zara[[#This Row],[terms]])</f>
        <v>14806.109999999982</v>
      </c>
    </row>
    <row r="242" spans="1:27" hidden="1" x14ac:dyDescent="0.3">
      <c r="A242">
        <v>168837</v>
      </c>
      <c r="B242" s="1" t="s">
        <v>16</v>
      </c>
      <c r="C242" s="1" t="s">
        <v>17</v>
      </c>
      <c r="D242" s="1" t="s">
        <v>18</v>
      </c>
      <c r="E242" s="1" t="s">
        <v>17</v>
      </c>
      <c r="F242">
        <v>665</v>
      </c>
      <c r="G242" s="1" t="s">
        <v>19</v>
      </c>
      <c r="H242" s="1" t="s">
        <v>199</v>
      </c>
      <c r="I242" s="1" t="s">
        <v>200</v>
      </c>
      <c r="J242" s="1" t="s">
        <v>168</v>
      </c>
      <c r="K242" s="1" t="s">
        <v>169</v>
      </c>
      <c r="L242">
        <v>89.9</v>
      </c>
      <c r="M242" s="1" t="s">
        <v>24</v>
      </c>
      <c r="N242" s="2">
        <v>45341.36845347222</v>
      </c>
      <c r="O242" s="1" t="s">
        <v>25</v>
      </c>
      <c r="P242" s="1" t="s">
        <v>26</v>
      </c>
      <c r="Q242" s="1"/>
      <c r="R242" s="1"/>
      <c r="S242" s="1" t="str">
        <f>IF(M242="USD","DOLLAR",M242)</f>
        <v>DOLLAR</v>
      </c>
      <c r="T242" s="1" t="str">
        <f>IF(zara[[#This Row],[terms]]="jackets","jacket",IF(O242="shoes","shoe",O242))</f>
        <v>jacket</v>
      </c>
      <c r="U242" s="1">
        <f>SUMIF(O:O,zara[[#This Row],[terms]],L:L)</f>
        <v>14806.109999999982</v>
      </c>
      <c r="V242" s="1">
        <f>SUMIFS(L:L,O:O,O242)</f>
        <v>14806.109999999982</v>
      </c>
      <c r="W242" s="1" t="str">
        <f>VLOOKUP(zara[[#This Row],[price]],L:P,5,FALSE)</f>
        <v>MAN</v>
      </c>
      <c r="X242" s="1" t="str">
        <f>INDEX(O:O,MATCH(zara[[#This Row],[price]],L:L,0))</f>
        <v>jackets</v>
      </c>
      <c r="Y242" s="1" t="str">
        <f>INDEX(P:P,MATCH(zara[[#This Row],[price]],L:L,0))</f>
        <v>MAN</v>
      </c>
      <c r="Z242" s="1" t="str">
        <f>INDEX(P:P,MATCH(zara[[#This Row],[price]],L:L,0))</f>
        <v>MAN</v>
      </c>
      <c r="AA242" s="1">
        <f>SUMIFS(L:L,O:O,zara[[#This Row],[terms]])</f>
        <v>14806.109999999982</v>
      </c>
    </row>
    <row r="243" spans="1:27" hidden="1" x14ac:dyDescent="0.3">
      <c r="A243">
        <v>137121</v>
      </c>
      <c r="B243" s="1" t="s">
        <v>16</v>
      </c>
      <c r="C243" s="1" t="s">
        <v>17</v>
      </c>
      <c r="D243" s="1" t="s">
        <v>18</v>
      </c>
      <c r="E243" s="1" t="s">
        <v>32</v>
      </c>
      <c r="F243">
        <v>656</v>
      </c>
      <c r="G243" s="1" t="s">
        <v>19</v>
      </c>
      <c r="H243" s="1" t="s">
        <v>62</v>
      </c>
      <c r="I243" s="1" t="s">
        <v>63</v>
      </c>
      <c r="J243" s="1" t="s">
        <v>64</v>
      </c>
      <c r="K243" s="1" t="s">
        <v>65</v>
      </c>
      <c r="L243">
        <v>169</v>
      </c>
      <c r="M243" s="1" t="s">
        <v>24</v>
      </c>
      <c r="N243" s="2">
        <v>45341.368187268519</v>
      </c>
      <c r="O243" s="1" t="s">
        <v>25</v>
      </c>
      <c r="P243" s="1" t="s">
        <v>26</v>
      </c>
      <c r="Q243" s="1"/>
      <c r="R243" s="1"/>
      <c r="S243" s="1" t="str">
        <f>IF(M243="USD","DOLLAR",M243)</f>
        <v>DOLLAR</v>
      </c>
      <c r="T243" s="1" t="str">
        <f>IF(zara[[#This Row],[terms]]="jackets","jacket",IF(O243="shoes","shoe",O243))</f>
        <v>jacket</v>
      </c>
      <c r="U243" s="1">
        <f>SUMIF(O:O,zara[[#This Row],[terms]],L:L)</f>
        <v>14806.109999999982</v>
      </c>
      <c r="V243" s="1">
        <f>SUMIFS(L:L,O:O,O243)</f>
        <v>14806.109999999982</v>
      </c>
      <c r="W243" s="1" t="str">
        <f>VLOOKUP(zara[[#This Row],[price]],L:P,5,FALSE)</f>
        <v>MAN</v>
      </c>
      <c r="X243" s="1" t="str">
        <f>INDEX(O:O,MATCH(zara[[#This Row],[price]],L:L,0))</f>
        <v>jackets</v>
      </c>
      <c r="Y243" s="1" t="str">
        <f>INDEX(P:P,MATCH(zara[[#This Row],[price]],L:L,0))</f>
        <v>MAN</v>
      </c>
      <c r="Z243" s="1" t="str">
        <f>INDEX(P:P,MATCH(zara[[#This Row],[price]],L:L,0))</f>
        <v>MAN</v>
      </c>
      <c r="AA243" s="1">
        <f>SUMIFS(L:L,O:O,zara[[#This Row],[terms]])</f>
        <v>14806.109999999982</v>
      </c>
    </row>
    <row r="244" spans="1:27" hidden="1" x14ac:dyDescent="0.3">
      <c r="A244">
        <v>188771</v>
      </c>
      <c r="B244" s="1" t="s">
        <v>16</v>
      </c>
      <c r="C244" s="1" t="s">
        <v>17</v>
      </c>
      <c r="D244" s="1" t="s">
        <v>18</v>
      </c>
      <c r="E244" s="1" t="s">
        <v>17</v>
      </c>
      <c r="F244">
        <v>654</v>
      </c>
      <c r="G244" s="1" t="s">
        <v>19</v>
      </c>
      <c r="H244" s="1" t="s">
        <v>27</v>
      </c>
      <c r="I244" s="1" t="s">
        <v>28</v>
      </c>
      <c r="J244" s="1" t="s">
        <v>29</v>
      </c>
      <c r="K244" s="1" t="s">
        <v>30</v>
      </c>
      <c r="L244">
        <v>169</v>
      </c>
      <c r="M244" s="1" t="s">
        <v>24</v>
      </c>
      <c r="N244" s="2">
        <v>45341.368131828705</v>
      </c>
      <c r="O244" s="1" t="s">
        <v>25</v>
      </c>
      <c r="P244" s="1" t="s">
        <v>26</v>
      </c>
      <c r="Q244" s="1">
        <f>MAX(F:F)</f>
        <v>2989</v>
      </c>
      <c r="R244" s="1" t="s">
        <v>905</v>
      </c>
      <c r="S244" s="1" t="str">
        <f>IF(M244="USD","DOLLAR",M244)</f>
        <v>DOLLAR</v>
      </c>
      <c r="T244" s="1" t="str">
        <f>IF(zara[[#This Row],[terms]]="jackets","jacket",IF(O244="shoes","shoe",O244))</f>
        <v>jacket</v>
      </c>
      <c r="U244" s="1">
        <f>SUMIF(O:O,zara[[#This Row],[terms]],L:L)</f>
        <v>14806.109999999982</v>
      </c>
      <c r="V244" s="1">
        <f>SUMIFS(L:L,O:O,O244)</f>
        <v>14806.109999999982</v>
      </c>
      <c r="W244" s="1" t="str">
        <f>VLOOKUP(zara[[#This Row],[price]],L:P,5,FALSE)</f>
        <v>MAN</v>
      </c>
      <c r="X244" s="1" t="str">
        <f>INDEX(O:O,MATCH(zara[[#This Row],[price]],L:L,0))</f>
        <v>jackets</v>
      </c>
      <c r="Y244" s="1" t="str">
        <f>INDEX(P:P,MATCH(zara[[#This Row],[price]],L:L,0))</f>
        <v>MAN</v>
      </c>
      <c r="Z244" s="1" t="str">
        <f>INDEX(P:P,MATCH(zara[[#This Row],[price]],L:L,0))</f>
        <v>MAN</v>
      </c>
      <c r="AA244" s="1">
        <f>SUMIFS(L:L,O:O,zara[[#This Row],[terms]])</f>
        <v>14806.109999999982</v>
      </c>
    </row>
    <row r="245" spans="1:27" hidden="1" x14ac:dyDescent="0.3">
      <c r="A245">
        <v>116228</v>
      </c>
      <c r="B245" s="1" t="s">
        <v>31</v>
      </c>
      <c r="C245" s="1" t="s">
        <v>32</v>
      </c>
      <c r="D245" s="1" t="s">
        <v>18</v>
      </c>
      <c r="E245" s="1" t="s">
        <v>17</v>
      </c>
      <c r="F245">
        <v>647</v>
      </c>
      <c r="G245" s="1" t="s">
        <v>19</v>
      </c>
      <c r="H245" s="1" t="s">
        <v>205</v>
      </c>
      <c r="I245" s="1" t="s">
        <v>206</v>
      </c>
      <c r="J245" s="1" t="s">
        <v>207</v>
      </c>
      <c r="K245" s="1" t="s">
        <v>208</v>
      </c>
      <c r="L245">
        <v>89.9</v>
      </c>
      <c r="M245" s="1" t="s">
        <v>24</v>
      </c>
      <c r="N245" s="2">
        <v>45341.368466828702</v>
      </c>
      <c r="O245" s="1" t="s">
        <v>25</v>
      </c>
      <c r="P245" s="1" t="s">
        <v>26</v>
      </c>
      <c r="Q245" s="1"/>
      <c r="R245" s="1"/>
      <c r="S245" s="1" t="str">
        <f>IF(M245="USD","DOLLAR",M245)</f>
        <v>DOLLAR</v>
      </c>
      <c r="T245" s="1" t="str">
        <f>IF(zara[[#This Row],[terms]]="jackets","jacket",IF(O245="shoes","shoe",O245))</f>
        <v>jacket</v>
      </c>
      <c r="U245" s="1">
        <f>SUMIF(O:O,zara[[#This Row],[terms]],L:L)</f>
        <v>14806.109999999982</v>
      </c>
      <c r="V245" s="1">
        <f>SUMIFS(L:L,O:O,O245)</f>
        <v>14806.109999999982</v>
      </c>
      <c r="W245" s="1" t="str">
        <f>VLOOKUP(zara[[#This Row],[price]],L:P,5,FALSE)</f>
        <v>MAN</v>
      </c>
      <c r="X245" s="1" t="str">
        <f>INDEX(O:O,MATCH(zara[[#This Row],[price]],L:L,0))</f>
        <v>jackets</v>
      </c>
      <c r="Y245" s="1" t="str">
        <f>INDEX(P:P,MATCH(zara[[#This Row],[price]],L:L,0))</f>
        <v>MAN</v>
      </c>
      <c r="Z245" s="1" t="str">
        <f>INDEX(P:P,MATCH(zara[[#This Row],[price]],L:L,0))</f>
        <v>MAN</v>
      </c>
      <c r="AA245" s="1">
        <f>SUMIFS(L:L,O:O,zara[[#This Row],[terms]])</f>
        <v>14806.109999999982</v>
      </c>
    </row>
    <row r="246" spans="1:27" hidden="1" x14ac:dyDescent="0.3">
      <c r="A246">
        <v>187180</v>
      </c>
      <c r="B246" s="1" t="s">
        <v>49</v>
      </c>
      <c r="C246" s="1" t="s">
        <v>17</v>
      </c>
      <c r="D246" s="1" t="s">
        <v>18</v>
      </c>
      <c r="E246" s="1" t="s">
        <v>32</v>
      </c>
      <c r="F246">
        <v>647</v>
      </c>
      <c r="G246" s="1" t="s">
        <v>19</v>
      </c>
      <c r="H246" s="1" t="s">
        <v>379</v>
      </c>
      <c r="I246" s="1" t="s">
        <v>380</v>
      </c>
      <c r="J246" s="1" t="s">
        <v>370</v>
      </c>
      <c r="K246" s="1" t="s">
        <v>381</v>
      </c>
      <c r="L246">
        <v>109</v>
      </c>
      <c r="M246" s="1" t="s">
        <v>24</v>
      </c>
      <c r="N246" s="2">
        <v>45341.368827627317</v>
      </c>
      <c r="O246" s="1" t="s">
        <v>25</v>
      </c>
      <c r="P246" s="1" t="s">
        <v>26</v>
      </c>
      <c r="Q246" s="1"/>
      <c r="R246" s="1"/>
      <c r="S246" s="1" t="str">
        <f>IF(M246="USD","DOLLAR",M246)</f>
        <v>DOLLAR</v>
      </c>
      <c r="T246" s="1" t="str">
        <f>IF(zara[[#This Row],[terms]]="jackets","jacket",IF(O246="shoes","shoe",O246))</f>
        <v>jacket</v>
      </c>
      <c r="U246" s="1">
        <f>SUMIF(O:O,zara[[#This Row],[terms]],L:L)</f>
        <v>14806.109999999982</v>
      </c>
      <c r="V246" s="1">
        <f>SUMIFS(L:L,O:O,O246)</f>
        <v>14806.109999999982</v>
      </c>
      <c r="W246" s="1" t="str">
        <f>VLOOKUP(zara[[#This Row],[price]],L:P,5,FALSE)</f>
        <v>MAN</v>
      </c>
      <c r="X246" s="1" t="str">
        <f>INDEX(O:O,MATCH(zara[[#This Row],[price]],L:L,0))</f>
        <v>t-shirts</v>
      </c>
      <c r="Y246" s="1" t="str">
        <f>INDEX(P:P,MATCH(zara[[#This Row],[price]],L:L,0))</f>
        <v>MAN</v>
      </c>
      <c r="Z246" s="1" t="str">
        <f>INDEX(P:P,MATCH(zara[[#This Row],[price]],L:L,0))</f>
        <v>MAN</v>
      </c>
      <c r="AA246" s="1">
        <f>SUMIFS(L:L,O:O,zara[[#This Row],[terms]])</f>
        <v>14806.109999999982</v>
      </c>
    </row>
    <row r="247" spans="1:27" hidden="1" x14ac:dyDescent="0.3">
      <c r="A247">
        <v>198329</v>
      </c>
      <c r="B247" s="1" t="s">
        <v>49</v>
      </c>
      <c r="C247" s="1" t="s">
        <v>32</v>
      </c>
      <c r="D247" s="1" t="s">
        <v>18</v>
      </c>
      <c r="E247" s="1" t="s">
        <v>32</v>
      </c>
      <c r="F247">
        <v>628</v>
      </c>
      <c r="G247" s="1" t="s">
        <v>19</v>
      </c>
      <c r="H247" s="1" t="s">
        <v>404</v>
      </c>
      <c r="I247" s="1" t="s">
        <v>405</v>
      </c>
      <c r="J247" s="1" t="s">
        <v>406</v>
      </c>
      <c r="K247" s="1" t="s">
        <v>407</v>
      </c>
      <c r="L247">
        <v>109</v>
      </c>
      <c r="M247" s="1" t="s">
        <v>24</v>
      </c>
      <c r="N247" s="2">
        <v>45341.36894670139</v>
      </c>
      <c r="O247" s="1" t="s">
        <v>25</v>
      </c>
      <c r="P247" s="1" t="s">
        <v>26</v>
      </c>
      <c r="Q247" s="1"/>
      <c r="R247" s="1"/>
      <c r="S247" s="1" t="str">
        <f>IF(M247="USD","DOLLAR",M247)</f>
        <v>DOLLAR</v>
      </c>
      <c r="T247" s="1" t="str">
        <f>IF(zara[[#This Row],[terms]]="jackets","jacket",IF(O247="shoes","shoe",O247))</f>
        <v>jacket</v>
      </c>
      <c r="U247" s="1">
        <f>SUMIF(O:O,zara[[#This Row],[terms]],L:L)</f>
        <v>14806.109999999982</v>
      </c>
      <c r="V247" s="1">
        <f>SUMIFS(L:L,O:O,O247)</f>
        <v>14806.109999999982</v>
      </c>
      <c r="W247" s="1" t="str">
        <f>VLOOKUP(zara[[#This Row],[price]],L:P,5,FALSE)</f>
        <v>MAN</v>
      </c>
      <c r="X247" s="1" t="str">
        <f>INDEX(O:O,MATCH(zara[[#This Row],[price]],L:L,0))</f>
        <v>t-shirts</v>
      </c>
      <c r="Y247" s="1" t="str">
        <f>INDEX(P:P,MATCH(zara[[#This Row],[price]],L:L,0))</f>
        <v>MAN</v>
      </c>
      <c r="Z247" s="1" t="str">
        <f>INDEX(P:P,MATCH(zara[[#This Row],[price]],L:L,0))</f>
        <v>MAN</v>
      </c>
      <c r="AA247" s="1">
        <f>SUMIFS(L:L,O:O,zara[[#This Row],[terms]])</f>
        <v>14806.109999999982</v>
      </c>
    </row>
    <row r="248" spans="1:27" hidden="1" x14ac:dyDescent="0.3">
      <c r="A248">
        <v>186083</v>
      </c>
      <c r="B248" s="1" t="s">
        <v>31</v>
      </c>
      <c r="C248" s="1" t="s">
        <v>17</v>
      </c>
      <c r="D248" s="1" t="s">
        <v>18</v>
      </c>
      <c r="E248" s="1" t="s">
        <v>32</v>
      </c>
      <c r="F248">
        <v>624</v>
      </c>
      <c r="G248" s="1" t="s">
        <v>19</v>
      </c>
      <c r="H248" s="1" t="s">
        <v>800</v>
      </c>
      <c r="I248" s="1" t="s">
        <v>801</v>
      </c>
      <c r="J248" s="1" t="s">
        <v>802</v>
      </c>
      <c r="K248" s="1" t="s">
        <v>803</v>
      </c>
      <c r="L248">
        <v>49.9</v>
      </c>
      <c r="M248" s="1" t="s">
        <v>24</v>
      </c>
      <c r="N248" s="2">
        <v>45341.371302638887</v>
      </c>
      <c r="O248" s="1" t="s">
        <v>785</v>
      </c>
      <c r="P248" s="1" t="s">
        <v>26</v>
      </c>
      <c r="Q248" s="1"/>
      <c r="R248" s="1"/>
      <c r="S248" s="1" t="str">
        <f>IF(M248="USD","DOLLAR",M248)</f>
        <v>DOLLAR</v>
      </c>
      <c r="T248" s="1" t="str">
        <f>IF(zara[[#This Row],[terms]]="jackets","jacket",IF(O248="shoes","shoe",O248))</f>
        <v>jeans</v>
      </c>
      <c r="U248" s="1">
        <f>SUMIF(O:O,zara[[#This Row],[terms]],L:L)</f>
        <v>511.39</v>
      </c>
      <c r="V248" s="1">
        <f>SUMIFS(L:L,O:O,O248)</f>
        <v>511.39</v>
      </c>
      <c r="W248" s="1" t="str">
        <f>VLOOKUP(zara[[#This Row],[price]],L:P,5,FALSE)</f>
        <v>MAN</v>
      </c>
      <c r="X248" s="1" t="str">
        <f>INDEX(O:O,MATCH(zara[[#This Row],[price]],L:L,0))</f>
        <v>jackets</v>
      </c>
      <c r="Y248" s="1" t="str">
        <f>INDEX(P:P,MATCH(zara[[#This Row],[price]],L:L,0))</f>
        <v>MAN</v>
      </c>
      <c r="Z248" s="1" t="str">
        <f>INDEX(P:P,MATCH(zara[[#This Row],[price]],L:L,0))</f>
        <v>MAN</v>
      </c>
      <c r="AA248" s="1">
        <f>SUMIFS(L:L,O:O,zara[[#This Row],[terms]])</f>
        <v>511.39</v>
      </c>
    </row>
    <row r="249" spans="1:27" hidden="1" x14ac:dyDescent="0.3">
      <c r="A249">
        <v>185809</v>
      </c>
      <c r="B249" s="1" t="s">
        <v>31</v>
      </c>
      <c r="C249" s="1" t="s">
        <v>17</v>
      </c>
      <c r="D249" s="1" t="s">
        <v>18</v>
      </c>
      <c r="E249" s="1" t="s">
        <v>17</v>
      </c>
      <c r="F249">
        <v>622</v>
      </c>
      <c r="G249" s="1" t="s">
        <v>19</v>
      </c>
      <c r="H249" s="1" t="s">
        <v>714</v>
      </c>
      <c r="I249" s="1" t="s">
        <v>715</v>
      </c>
      <c r="J249" s="1" t="s">
        <v>716</v>
      </c>
      <c r="K249" s="1" t="s">
        <v>717</v>
      </c>
      <c r="L249">
        <v>49.9</v>
      </c>
      <c r="M249" s="1" t="s">
        <v>24</v>
      </c>
      <c r="N249" s="2">
        <v>45341.382459062501</v>
      </c>
      <c r="O249" s="1" t="s">
        <v>636</v>
      </c>
      <c r="P249" s="1" t="s">
        <v>637</v>
      </c>
      <c r="Q249" s="1"/>
      <c r="R249" s="1"/>
      <c r="S249" s="1" t="str">
        <f>IF(M249="USD","DOLLAR",M249)</f>
        <v>DOLLAR</v>
      </c>
      <c r="T249" s="1" t="str">
        <f>IF(zara[[#This Row],[terms]]="jackets","jacket",IF(O249="shoes","shoe",O249))</f>
        <v>sweaters</v>
      </c>
      <c r="U249" s="1">
        <f>SUMIF(O:O,zara[[#This Row],[terms]],L:L)</f>
        <v>2249.3700000000013</v>
      </c>
      <c r="V249" s="1">
        <f>SUMIFS(L:L,O:O,O249)</f>
        <v>2249.3700000000013</v>
      </c>
      <c r="W249" s="1" t="str">
        <f>VLOOKUP(zara[[#This Row],[price]],L:P,5,FALSE)</f>
        <v>MAN</v>
      </c>
      <c r="X249" s="1" t="str">
        <f>INDEX(O:O,MATCH(zara[[#This Row],[price]],L:L,0))</f>
        <v>jackets</v>
      </c>
      <c r="Y249" s="1" t="str">
        <f>INDEX(P:P,MATCH(zara[[#This Row],[price]],L:L,0))</f>
        <v>MAN</v>
      </c>
      <c r="Z249" s="1" t="str">
        <f>INDEX(P:P,MATCH(zara[[#This Row],[price]],L:L,0))</f>
        <v>MAN</v>
      </c>
      <c r="AA249" s="1">
        <f>SUMIFS(L:L,O:O,zara[[#This Row],[terms]])</f>
        <v>2249.3700000000013</v>
      </c>
    </row>
    <row r="250" spans="1:27" hidden="1" x14ac:dyDescent="0.3">
      <c r="A250">
        <v>140142</v>
      </c>
      <c r="B250" s="1" t="s">
        <v>49</v>
      </c>
      <c r="C250" s="1" t="s">
        <v>32</v>
      </c>
      <c r="D250" s="1" t="s">
        <v>18</v>
      </c>
      <c r="E250" s="1" t="s">
        <v>17</v>
      </c>
      <c r="F250">
        <v>606</v>
      </c>
      <c r="G250" s="1" t="s">
        <v>19</v>
      </c>
      <c r="H250" s="1" t="s">
        <v>762</v>
      </c>
      <c r="I250" s="1" t="s">
        <v>763</v>
      </c>
      <c r="J250" s="1" t="s">
        <v>764</v>
      </c>
      <c r="K250" s="1" t="s">
        <v>765</v>
      </c>
      <c r="L250">
        <v>49.9</v>
      </c>
      <c r="M250" s="1" t="s">
        <v>24</v>
      </c>
      <c r="N250" s="2">
        <v>45341.382543807871</v>
      </c>
      <c r="O250" s="1" t="s">
        <v>636</v>
      </c>
      <c r="P250" s="1" t="s">
        <v>637</v>
      </c>
      <c r="Q250" s="1"/>
      <c r="R250" s="1"/>
      <c r="S250" s="1" t="str">
        <f>IF(M250="USD","DOLLAR",M250)</f>
        <v>DOLLAR</v>
      </c>
      <c r="T250" s="1" t="str">
        <f>IF(zara[[#This Row],[terms]]="jackets","jacket",IF(O250="shoes","shoe",O250))</f>
        <v>sweaters</v>
      </c>
      <c r="U250" s="1">
        <f>SUMIF(O:O,zara[[#This Row],[terms]],L:L)</f>
        <v>2249.3700000000013</v>
      </c>
      <c r="V250" s="1">
        <f>SUMIFS(L:L,O:O,O250)</f>
        <v>2249.3700000000013</v>
      </c>
      <c r="W250" s="1" t="str">
        <f>VLOOKUP(zara[[#This Row],[price]],L:P,5,FALSE)</f>
        <v>MAN</v>
      </c>
      <c r="X250" s="1" t="str">
        <f>INDEX(O:O,MATCH(zara[[#This Row],[price]],L:L,0))</f>
        <v>jackets</v>
      </c>
      <c r="Y250" s="1" t="str">
        <f>INDEX(P:P,MATCH(zara[[#This Row],[price]],L:L,0))</f>
        <v>MAN</v>
      </c>
      <c r="Z250" s="1" t="str">
        <f>INDEX(P:P,MATCH(zara[[#This Row],[price]],L:L,0))</f>
        <v>MAN</v>
      </c>
      <c r="AA250" s="1">
        <f>SUMIFS(L:L,O:O,zara[[#This Row],[terms]])</f>
        <v>2249.3700000000013</v>
      </c>
    </row>
    <row r="251" spans="1:27" hidden="1" x14ac:dyDescent="0.3">
      <c r="A251">
        <v>122484</v>
      </c>
      <c r="B251" s="1" t="s">
        <v>16</v>
      </c>
      <c r="C251" s="1" t="s">
        <v>32</v>
      </c>
      <c r="D251" s="1" t="s">
        <v>18</v>
      </c>
      <c r="E251" s="1" t="s">
        <v>32</v>
      </c>
      <c r="F251">
        <v>558</v>
      </c>
      <c r="G251" s="1" t="s">
        <v>19</v>
      </c>
      <c r="H251" s="1" t="s">
        <v>742</v>
      </c>
      <c r="I251" s="1" t="s">
        <v>743</v>
      </c>
      <c r="J251" s="1" t="s">
        <v>744</v>
      </c>
      <c r="K251" s="1" t="s">
        <v>745</v>
      </c>
      <c r="L251">
        <v>47.9</v>
      </c>
      <c r="M251" s="1" t="s">
        <v>24</v>
      </c>
      <c r="N251" s="2">
        <v>45341.38250832176</v>
      </c>
      <c r="O251" s="1" t="s">
        <v>636</v>
      </c>
      <c r="P251" s="1" t="s">
        <v>637</v>
      </c>
      <c r="Q251" s="1"/>
      <c r="R251" s="1"/>
      <c r="S251" s="1" t="str">
        <f>IF(M251="USD","DOLLAR",M251)</f>
        <v>DOLLAR</v>
      </c>
      <c r="T251" s="1" t="str">
        <f>IF(zara[[#This Row],[terms]]="jackets","jacket",IF(O251="shoes","shoe",O251))</f>
        <v>sweaters</v>
      </c>
      <c r="U251" s="1">
        <f>SUMIF(O:O,zara[[#This Row],[terms]],L:L)</f>
        <v>2249.3700000000013</v>
      </c>
      <c r="V251" s="1">
        <f>SUMIFS(L:L,O:O,O251)</f>
        <v>2249.3700000000013</v>
      </c>
      <c r="W251" s="1" t="str">
        <f>VLOOKUP(zara[[#This Row],[price]],L:P,5,FALSE)</f>
        <v>WOMAN</v>
      </c>
      <c r="X251" s="1" t="str">
        <f>INDEX(O:O,MATCH(zara[[#This Row],[price]],L:L,0))</f>
        <v>sweaters</v>
      </c>
      <c r="Y251" s="1" t="str">
        <f>INDEX(P:P,MATCH(zara[[#This Row],[price]],L:L,0))</f>
        <v>WOMAN</v>
      </c>
      <c r="Z251" s="1" t="str">
        <f>INDEX(P:P,MATCH(zara[[#This Row],[price]],L:L,0))</f>
        <v>WOMAN</v>
      </c>
      <c r="AA251" s="1">
        <f>SUMIFS(L:L,O:O,zara[[#This Row],[terms]])</f>
        <v>2249.3700000000013</v>
      </c>
    </row>
    <row r="252" spans="1:27" hidden="1" x14ac:dyDescent="0.3">
      <c r="A252">
        <v>136738</v>
      </c>
      <c r="B252" s="1" t="s">
        <v>49</v>
      </c>
      <c r="C252" s="1" t="s">
        <v>17</v>
      </c>
      <c r="D252" s="1" t="s">
        <v>18</v>
      </c>
      <c r="E252" s="1" t="s">
        <v>32</v>
      </c>
      <c r="F252">
        <v>542</v>
      </c>
      <c r="G252" s="1" t="s">
        <v>19</v>
      </c>
      <c r="H252" s="1" t="s">
        <v>642</v>
      </c>
      <c r="I252" s="1" t="s">
        <v>643</v>
      </c>
      <c r="J252" s="1" t="s">
        <v>644</v>
      </c>
      <c r="K252" s="1" t="s">
        <v>645</v>
      </c>
      <c r="L252">
        <v>7.99</v>
      </c>
      <c r="M252" s="1" t="s">
        <v>24</v>
      </c>
      <c r="N252" s="2">
        <v>45341.382327870371</v>
      </c>
      <c r="O252" s="1" t="s">
        <v>636</v>
      </c>
      <c r="P252" s="1" t="s">
        <v>637</v>
      </c>
      <c r="Q252" s="1"/>
      <c r="R252" s="1"/>
      <c r="S252" s="1" t="str">
        <f>IF(M252="USD","DOLLAR",M252)</f>
        <v>DOLLAR</v>
      </c>
      <c r="T252" s="1" t="str">
        <f>IF(zara[[#This Row],[terms]]="jackets","jacket",IF(O252="shoes","shoe",O252))</f>
        <v>sweaters</v>
      </c>
      <c r="U252" s="1">
        <f>SUMIF(O:O,zara[[#This Row],[terms]],L:L)</f>
        <v>2249.3700000000013</v>
      </c>
      <c r="V252" s="1">
        <f>SUMIFS(L:L,O:O,O252)</f>
        <v>2249.3700000000013</v>
      </c>
      <c r="W252" s="1" t="str">
        <f>VLOOKUP(zara[[#This Row],[price]],L:P,5,FALSE)</f>
        <v>WOMAN</v>
      </c>
      <c r="X252" s="1" t="str">
        <f>INDEX(O:O,MATCH(zara[[#This Row],[price]],L:L,0))</f>
        <v>sweaters</v>
      </c>
      <c r="Y252" s="1" t="str">
        <f>INDEX(P:P,MATCH(zara[[#This Row],[price]],L:L,0))</f>
        <v>WOMAN</v>
      </c>
      <c r="Z252" s="1" t="str">
        <f>INDEX(P:P,MATCH(zara[[#This Row],[price]],L:L,0))</f>
        <v>WOMAN</v>
      </c>
      <c r="AA252" s="1">
        <f>SUMIFS(L:L,O:O,zara[[#This Row],[terms]])</f>
        <v>2249.3700000000013</v>
      </c>
    </row>
    <row r="253" spans="1:27" hidden="1" x14ac:dyDescent="0.3">
      <c r="A253">
        <v>174708</v>
      </c>
      <c r="B253" s="1" t="s">
        <v>49</v>
      </c>
      <c r="C253" s="1" t="s">
        <v>17</v>
      </c>
      <c r="D253" s="1" t="s">
        <v>18</v>
      </c>
      <c r="E253" s="1" t="s">
        <v>32</v>
      </c>
      <c r="F253">
        <v>529</v>
      </c>
      <c r="G253" s="1" t="s">
        <v>19</v>
      </c>
      <c r="H253" s="1" t="s">
        <v>828</v>
      </c>
      <c r="I253" s="1" t="s">
        <v>829</v>
      </c>
      <c r="J253" s="1" t="s">
        <v>830</v>
      </c>
      <c r="K253" s="1" t="s">
        <v>831</v>
      </c>
      <c r="L253">
        <v>59.9</v>
      </c>
      <c r="M253" s="1" t="s">
        <v>24</v>
      </c>
      <c r="N253" s="2">
        <v>45341.371378067131</v>
      </c>
      <c r="O253" s="1" t="s">
        <v>636</v>
      </c>
      <c r="P253" s="1" t="s">
        <v>26</v>
      </c>
      <c r="Q253" s="1"/>
      <c r="R253" s="1"/>
      <c r="S253" s="1" t="str">
        <f>IF(M253="USD","DOLLAR",M253)</f>
        <v>DOLLAR</v>
      </c>
      <c r="T253" s="1" t="str">
        <f>IF(zara[[#This Row],[terms]]="jackets","jacket",IF(O253="shoes","shoe",O253))</f>
        <v>sweaters</v>
      </c>
      <c r="U253" s="1">
        <f>SUMIF(O:O,zara[[#This Row],[terms]],L:L)</f>
        <v>2249.3700000000013</v>
      </c>
      <c r="V253" s="1">
        <f>SUMIFS(L:L,O:O,O253)</f>
        <v>2249.3700000000013</v>
      </c>
      <c r="W253" s="1" t="str">
        <f>VLOOKUP(zara[[#This Row],[price]],L:P,5,FALSE)</f>
        <v>WOMAN</v>
      </c>
      <c r="X253" s="1" t="str">
        <f>INDEX(O:O,MATCH(zara[[#This Row],[price]],L:L,0))</f>
        <v>sweaters</v>
      </c>
      <c r="Y253" s="1" t="str">
        <f>INDEX(P:P,MATCH(zara[[#This Row],[price]],L:L,0))</f>
        <v>WOMAN</v>
      </c>
      <c r="Z253" s="1" t="str">
        <f>INDEX(P:P,MATCH(zara[[#This Row],[price]],L:L,0))</f>
        <v>WOMAN</v>
      </c>
      <c r="AA253" s="1">
        <f>SUMIFS(L:L,O:O,zara[[#This Row],[terms]])</f>
        <v>2249.3700000000013</v>
      </c>
    </row>
  </sheetData>
  <conditionalFormatting sqref="E1:E1048576">
    <cfRule type="cellIs" dxfId="2" priority="1" operator="equal">
      <formula>"NO"</formula>
    </cfRule>
  </conditionalFormatting>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084C596-1249-4638-B8C8-0A260B504BCD}">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table </vt:lpstr>
      <vt:lpstr>dashbaord </vt:lpstr>
      <vt:lpstr>zara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mudit agarwal</dc:creator>
  <cp:lastModifiedBy>mudit agarwal</cp:lastModifiedBy>
  <dcterms:created xsi:type="dcterms:W3CDTF">2026-06-18T15:12:27Z</dcterms:created>
  <dcterms:modified xsi:type="dcterms:W3CDTF">2026-06-18T16:04:17Z</dcterms:modified>
</cp:coreProperties>
</file>