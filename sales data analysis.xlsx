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31654F0-612B-4CC7-8495-2D966982A7E6}" xr6:coauthVersionLast="47" xr6:coauthVersionMax="47" xr10:uidLastSave="{00000000-0000-0000-0000-000000000000}"/>
  <bookViews>
    <workbookView xWindow="-108" yWindow="-108" windowWidth="23256" windowHeight="12456" activeTab="1" xr2:uid="{7B52960E-F9AB-434C-B315-827A8C4C92DC}"/>
  </bookViews>
  <sheets>
    <sheet name="pivot table analysis " sheetId="3" r:id="rId1"/>
    <sheet name="sales" sheetId="2" r:id="rId2"/>
  </sheets>
  <definedNames>
    <definedName name="ExternalData_1" localSheetId="1" hidden="1">sales!$A$1:$R$644</definedName>
  </definedNames>
  <calcPr calcId="191029"/>
  <pivotCaches>
    <pivotCache cacheId="11" r:id="rId3"/>
    <pivotCache cacheId="1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16" i="2" l="1"/>
  <c r="U146" i="2"/>
  <c r="U608" i="2"/>
  <c r="U322" i="2"/>
  <c r="U158" i="2"/>
  <c r="U557" i="2"/>
  <c r="U362" i="2"/>
  <c r="U583" i="2"/>
  <c r="U341" i="2"/>
  <c r="U75" i="2"/>
  <c r="U190" i="2"/>
  <c r="U367" i="2"/>
  <c r="U109" i="2"/>
  <c r="U640" i="2"/>
  <c r="U250" i="2"/>
  <c r="U616" i="2"/>
  <c r="U434" i="2"/>
  <c r="U458" i="2"/>
  <c r="U378" i="2"/>
  <c r="U406" i="2"/>
  <c r="U313" i="2"/>
  <c r="U498" i="2"/>
  <c r="U307" i="2"/>
  <c r="U282" i="2"/>
  <c r="U156" i="2"/>
  <c r="U495" i="2"/>
  <c r="U140" i="2"/>
  <c r="U499" i="2"/>
  <c r="U617" i="2"/>
  <c r="U375" i="2"/>
  <c r="U32" i="2"/>
  <c r="U595" i="2"/>
  <c r="U3" i="2"/>
  <c r="U494" i="2"/>
  <c r="U152" i="2"/>
  <c r="U489" i="2"/>
  <c r="U508" i="2"/>
  <c r="U197" i="2"/>
  <c r="U464" i="2"/>
  <c r="U200" i="2"/>
  <c r="U125" i="2"/>
  <c r="U46" i="2"/>
  <c r="U411" i="2"/>
  <c r="U333" i="2"/>
  <c r="U379" i="2"/>
  <c r="U358" i="2"/>
  <c r="U223" i="2"/>
  <c r="U510" i="2"/>
  <c r="U371" i="2"/>
  <c r="U537" i="2"/>
  <c r="U295" i="2"/>
  <c r="U376" i="2"/>
  <c r="U286" i="2"/>
  <c r="U593" i="2"/>
  <c r="U462" i="2"/>
  <c r="U317" i="2"/>
  <c r="U575" i="2"/>
  <c r="U576" i="2"/>
  <c r="U7" i="2"/>
  <c r="U509" i="2"/>
  <c r="U351" i="2"/>
  <c r="U199" i="2"/>
  <c r="U80" i="2"/>
  <c r="U597" i="2"/>
  <c r="U403" i="2"/>
  <c r="U552" i="2"/>
  <c r="U463" i="2"/>
  <c r="U348" i="2"/>
  <c r="U56" i="2"/>
  <c r="U147" i="2"/>
  <c r="U49" i="2"/>
  <c r="U339" i="2"/>
  <c r="U246" i="2"/>
  <c r="U244" i="2"/>
  <c r="U94" i="2"/>
  <c r="U207" i="2"/>
  <c r="U336" i="2"/>
  <c r="U413" i="2"/>
  <c r="U19" i="2"/>
  <c r="U229" i="2"/>
  <c r="U571" i="2"/>
  <c r="U62" i="2"/>
  <c r="U475" i="2"/>
  <c r="U277" i="2"/>
  <c r="U606" i="2"/>
  <c r="U64" i="2"/>
  <c r="U314" i="2"/>
  <c r="U15" i="2"/>
  <c r="U210" i="2"/>
  <c r="U502" i="2"/>
  <c r="U360" i="2"/>
  <c r="U268" i="2"/>
  <c r="U561" i="2"/>
  <c r="U389" i="2"/>
  <c r="U205" i="2"/>
  <c r="U220" i="2"/>
  <c r="U525" i="2"/>
  <c r="U45" i="2"/>
  <c r="U6" i="2"/>
  <c r="U468" i="2"/>
  <c r="U179" i="2"/>
  <c r="U100" i="2"/>
  <c r="U236" i="2"/>
  <c r="U470" i="2"/>
  <c r="U530" i="2"/>
  <c r="U66" i="2"/>
  <c r="U384" i="2"/>
  <c r="U386" i="2"/>
  <c r="U201" i="2"/>
  <c r="U4" i="2"/>
  <c r="U637" i="2"/>
  <c r="U532" i="2"/>
  <c r="U382" i="2"/>
  <c r="U141" i="2"/>
  <c r="U276" i="2"/>
  <c r="U590" i="2"/>
  <c r="U497" i="2"/>
  <c r="U81" i="2"/>
  <c r="U110" i="2"/>
  <c r="U614" i="2"/>
  <c r="U514" i="2"/>
  <c r="U187" i="2"/>
  <c r="U523" i="2"/>
  <c r="U260" i="2"/>
  <c r="U239" i="2"/>
  <c r="U309" i="2"/>
  <c r="U37" i="2"/>
  <c r="U155" i="2"/>
  <c r="U397" i="2"/>
  <c r="U477" i="2"/>
  <c r="U415" i="2"/>
  <c r="U448" i="2"/>
  <c r="U63" i="2"/>
  <c r="U419" i="2"/>
  <c r="U165" i="2"/>
  <c r="U520" i="2"/>
  <c r="U387" i="2"/>
  <c r="U34" i="2"/>
  <c r="U67" i="2"/>
  <c r="U126" i="2"/>
  <c r="U228" i="2"/>
  <c r="U553" i="2"/>
  <c r="U580" i="2"/>
  <c r="U570" i="2"/>
  <c r="U218" i="2"/>
  <c r="U237" i="2"/>
  <c r="U613" i="2"/>
  <c r="U416" i="2"/>
  <c r="U633" i="2"/>
  <c r="U77" i="2"/>
  <c r="U331" i="2"/>
  <c r="U294" i="2"/>
  <c r="U549" i="2"/>
  <c r="U567" i="2"/>
  <c r="U8" i="2"/>
  <c r="U219" i="2"/>
  <c r="U513" i="2"/>
  <c r="U120" i="2"/>
  <c r="U374" i="2"/>
  <c r="U327" i="2"/>
  <c r="U272" i="2"/>
  <c r="U90" i="2"/>
  <c r="U271" i="2"/>
  <c r="U623" i="2"/>
  <c r="U449" i="2"/>
  <c r="U408" i="2"/>
  <c r="U551" i="2"/>
  <c r="U344" i="2"/>
  <c r="U601" i="2"/>
  <c r="U364" i="2"/>
  <c r="U58" i="2"/>
  <c r="U483" i="2"/>
  <c r="U589" i="2"/>
  <c r="U36" i="2"/>
  <c r="U612" i="2"/>
  <c r="U258" i="2"/>
  <c r="U14" i="2"/>
  <c r="U349" i="2"/>
  <c r="U582" i="2"/>
  <c r="U443" i="2"/>
  <c r="U626" i="2"/>
  <c r="U340" i="2"/>
  <c r="U538" i="2"/>
  <c r="U149" i="2"/>
  <c r="U86" i="2"/>
  <c r="U465" i="2"/>
  <c r="U251" i="2"/>
  <c r="U639" i="2"/>
  <c r="U71" i="2"/>
  <c r="U563" i="2"/>
  <c r="U404" i="2"/>
  <c r="U484" i="2"/>
  <c r="U428" i="2"/>
  <c r="U215" i="2"/>
  <c r="U11" i="2"/>
  <c r="U441" i="2"/>
  <c r="U57" i="2"/>
  <c r="U444" i="2"/>
  <c r="U212" i="2"/>
  <c r="U585" i="2"/>
  <c r="U273" i="2"/>
  <c r="U485" i="2"/>
  <c r="U319" i="2"/>
  <c r="U610" i="2"/>
  <c r="U168" i="2"/>
  <c r="U297" i="2"/>
  <c r="U461" i="2"/>
  <c r="U565" i="2"/>
  <c r="U292" i="2"/>
  <c r="U619" i="2"/>
  <c r="U104" i="2"/>
  <c r="U189" i="2"/>
  <c r="U202" i="2"/>
  <c r="U390" i="2"/>
  <c r="U132" i="2"/>
  <c r="U25" i="2"/>
  <c r="U548" i="2"/>
  <c r="U402" i="2"/>
  <c r="U151" i="2"/>
  <c r="U82" i="2"/>
  <c r="U193" i="2"/>
  <c r="U79" i="2"/>
  <c r="U334" i="2"/>
  <c r="U430" i="2"/>
  <c r="U522" i="2"/>
  <c r="U391" i="2"/>
  <c r="U87" i="2"/>
  <c r="U377" i="2"/>
  <c r="U108" i="2"/>
  <c r="U453" i="2"/>
  <c r="U452" i="2"/>
  <c r="U20" i="2"/>
  <c r="U163" i="2"/>
  <c r="U74" i="2"/>
  <c r="U23" i="2"/>
  <c r="U288" i="2"/>
  <c r="U78" i="2"/>
  <c r="U524" i="2"/>
  <c r="U270" i="2"/>
  <c r="U412" i="2"/>
  <c r="U512" i="2"/>
  <c r="U555" i="2"/>
  <c r="U182" i="2"/>
  <c r="U181" i="2"/>
  <c r="U533" i="2"/>
  <c r="U496" i="2"/>
  <c r="U528" i="2"/>
  <c r="U435" i="2"/>
  <c r="U222" i="2"/>
  <c r="U255" i="2"/>
  <c r="U355" i="2"/>
  <c r="U10" i="2"/>
  <c r="U143" i="2"/>
  <c r="U642" i="2"/>
  <c r="U148" i="2"/>
  <c r="U486" i="2"/>
  <c r="U425" i="2"/>
  <c r="U469" i="2"/>
  <c r="U318" i="2"/>
  <c r="U547" i="2"/>
  <c r="U98" i="2"/>
  <c r="U602" i="2"/>
  <c r="U227" i="2"/>
  <c r="U518" i="2"/>
  <c r="U457" i="2"/>
  <c r="U445" i="2"/>
  <c r="U310" i="2"/>
  <c r="U175" i="2"/>
  <c r="U479" i="2"/>
  <c r="U478" i="2"/>
  <c r="U111" i="2"/>
  <c r="U33" i="2"/>
  <c r="U114" i="2"/>
  <c r="U347" i="2"/>
  <c r="U624" i="2"/>
  <c r="U330" i="2"/>
  <c r="U527" i="2"/>
  <c r="U177" i="2"/>
  <c r="U261" i="2"/>
  <c r="U269" i="2"/>
  <c r="U542" i="2"/>
  <c r="U629" i="2"/>
  <c r="U95" i="2"/>
  <c r="U213" i="2"/>
  <c r="U127" i="2"/>
  <c r="U178" i="2"/>
  <c r="U630" i="2"/>
  <c r="U511" i="2"/>
  <c r="U361" i="2"/>
  <c r="U332" i="2"/>
  <c r="U92" i="2"/>
  <c r="U106" i="2"/>
  <c r="U278" i="2"/>
  <c r="U323" i="2"/>
  <c r="U437" i="2"/>
  <c r="U41" i="2"/>
  <c r="U285" i="2"/>
  <c r="U217" i="2"/>
  <c r="U13" i="2"/>
  <c r="U164" i="2"/>
  <c r="U305" i="2"/>
  <c r="U621" i="2"/>
  <c r="U48" i="2"/>
  <c r="U174" i="2"/>
  <c r="U138" i="2"/>
  <c r="U459" i="2"/>
  <c r="U30" i="2"/>
  <c r="U365" i="2"/>
  <c r="U161" i="2"/>
  <c r="U316" i="2"/>
  <c r="U85" i="2"/>
  <c r="U622" i="2"/>
  <c r="U131" i="2"/>
  <c r="U392" i="2"/>
  <c r="U159" i="2"/>
  <c r="U116" i="2"/>
  <c r="U308" i="2"/>
  <c r="U128" i="2"/>
  <c r="U172" i="2"/>
  <c r="U233" i="2"/>
  <c r="U35" i="2"/>
  <c r="U492" i="2"/>
  <c r="U50" i="2"/>
  <c r="U31" i="2"/>
  <c r="U93" i="2"/>
  <c r="U22" i="2"/>
  <c r="U245" i="2"/>
  <c r="U2" i="2"/>
  <c r="U638" i="2"/>
  <c r="U102" i="2"/>
  <c r="U636" i="2"/>
  <c r="U569" i="2"/>
  <c r="U28" i="2"/>
  <c r="U460" i="2"/>
  <c r="U418" i="2"/>
  <c r="U139" i="2"/>
  <c r="U112" i="2"/>
  <c r="U160" i="2"/>
  <c r="U162" i="2"/>
  <c r="U395" i="2"/>
  <c r="U275" i="2"/>
  <c r="U224" i="2"/>
  <c r="U257" i="2"/>
  <c r="U84" i="2"/>
  <c r="U472" i="2"/>
  <c r="U105" i="2"/>
  <c r="U29" i="2"/>
  <c r="U99" i="2"/>
  <c r="U76" i="2"/>
  <c r="U51" i="2"/>
  <c r="U291" i="2"/>
  <c r="U438" i="2"/>
  <c r="U194" i="2"/>
  <c r="U18" i="2"/>
  <c r="U368" i="2"/>
  <c r="U248" i="2"/>
  <c r="U540" i="2"/>
  <c r="U60" i="2"/>
  <c r="U216" i="2"/>
  <c r="U27" i="2"/>
  <c r="U65" i="2"/>
  <c r="U519" i="2"/>
  <c r="U579" i="2"/>
  <c r="U97" i="2"/>
  <c r="U214" i="2"/>
  <c r="U107" i="2"/>
  <c r="U115" i="2"/>
  <c r="U603" i="2"/>
  <c r="U293" i="2"/>
  <c r="U17" i="2"/>
  <c r="U515" i="2"/>
  <c r="U383" i="2"/>
  <c r="U598" i="2"/>
  <c r="U117" i="2"/>
  <c r="U321" i="2"/>
  <c r="U591" i="2"/>
  <c r="U59" i="2"/>
  <c r="U600" i="2"/>
  <c r="U176" i="2"/>
  <c r="U55" i="2"/>
  <c r="U121" i="2"/>
  <c r="U423" i="2"/>
  <c r="U394" i="2"/>
  <c r="U206" i="2"/>
  <c r="U356" i="2"/>
  <c r="U225" i="2"/>
  <c r="U283" i="2"/>
  <c r="U370" i="2"/>
  <c r="U103" i="2"/>
  <c r="U398" i="2"/>
  <c r="U69" i="2"/>
  <c r="U573" i="2"/>
  <c r="U252" i="2"/>
  <c r="U586" i="2"/>
  <c r="U381" i="2"/>
  <c r="U454" i="2"/>
  <c r="U221" i="2"/>
  <c r="U409" i="2"/>
  <c r="U324" i="2"/>
  <c r="U541" i="2"/>
  <c r="U536" i="2"/>
  <c r="U280" i="2"/>
  <c r="U607" i="2"/>
  <c r="U393" i="2"/>
  <c r="U254" i="2"/>
  <c r="U256" i="2"/>
  <c r="U5" i="2"/>
  <c r="U401" i="2"/>
  <c r="U400" i="2"/>
  <c r="U173" i="2"/>
  <c r="U476" i="2"/>
  <c r="U24" i="2"/>
  <c r="U625" i="2"/>
  <c r="U47" i="2"/>
  <c r="U170" i="2"/>
  <c r="U611" i="2"/>
  <c r="U556" i="2"/>
  <c r="U167" i="2"/>
  <c r="U195" i="2"/>
  <c r="U290" i="2"/>
  <c r="U88" i="2"/>
  <c r="U209" i="2"/>
  <c r="U123" i="2"/>
  <c r="U289" i="2"/>
  <c r="U265" i="2"/>
  <c r="U490" i="2"/>
  <c r="U544" i="2"/>
  <c r="U171" i="2"/>
  <c r="U491" i="2"/>
  <c r="U253" i="2"/>
  <c r="U488" i="2"/>
  <c r="U560" i="2"/>
  <c r="U188" i="2"/>
  <c r="U432" i="2"/>
  <c r="U16" i="2"/>
  <c r="U466" i="2"/>
  <c r="U137" i="2"/>
  <c r="U26" i="2"/>
  <c r="U136" i="2"/>
  <c r="U118" i="2"/>
  <c r="U300" i="2"/>
  <c r="U526" i="2"/>
  <c r="U615" i="2"/>
  <c r="U410" i="2"/>
  <c r="U634" i="2"/>
  <c r="U431" i="2"/>
  <c r="U396" i="2"/>
  <c r="U450" i="2"/>
  <c r="U338" i="2"/>
  <c r="U363" i="2"/>
  <c r="U96" i="2"/>
  <c r="U373" i="2"/>
  <c r="U620" i="2"/>
  <c r="U631" i="2"/>
  <c r="U357" i="2"/>
  <c r="U451" i="2"/>
  <c r="U279" i="2"/>
  <c r="U231" i="2"/>
  <c r="U417" i="2"/>
  <c r="U366" i="2"/>
  <c r="U267" i="2"/>
  <c r="U635" i="2"/>
  <c r="U183" i="2"/>
  <c r="U605" i="2"/>
  <c r="U154" i="2"/>
  <c r="U599" i="2"/>
  <c r="U455" i="2"/>
  <c r="U196" i="2"/>
  <c r="U38" i="2"/>
  <c r="U266" i="2"/>
  <c r="U40" i="2"/>
  <c r="U521" i="2"/>
  <c r="U481" i="2"/>
  <c r="U315" i="2"/>
  <c r="U133" i="2"/>
  <c r="U113" i="2"/>
  <c r="U352" i="2"/>
  <c r="U426" i="2"/>
  <c r="U264" i="2"/>
  <c r="U405" i="2"/>
  <c r="U150" i="2"/>
  <c r="U191" i="2"/>
  <c r="U311" i="2"/>
  <c r="U596" i="2"/>
  <c r="U12" i="2"/>
  <c r="U369" i="2"/>
  <c r="U337" i="2"/>
  <c r="U507" i="2"/>
  <c r="U226" i="2"/>
  <c r="U303" i="2"/>
  <c r="U304" i="2"/>
  <c r="U281" i="2"/>
  <c r="U135" i="2"/>
  <c r="U70" i="2"/>
  <c r="U129" i="2"/>
  <c r="U144" i="2"/>
  <c r="U604" i="2"/>
  <c r="U554" i="2"/>
  <c r="U145" i="2"/>
  <c r="U559" i="2"/>
  <c r="U274" i="2"/>
  <c r="U439" i="2"/>
  <c r="U9" i="2"/>
  <c r="U326" i="2"/>
  <c r="U474" i="2"/>
  <c r="U68" i="2"/>
  <c r="U54" i="2"/>
  <c r="U545" i="2"/>
  <c r="U420" i="2"/>
  <c r="U517" i="2"/>
  <c r="U546" i="2"/>
  <c r="U456" i="2"/>
  <c r="U240" i="2"/>
  <c r="U180" i="2"/>
  <c r="U142" i="2"/>
  <c r="U578" i="2"/>
  <c r="U262" i="2"/>
  <c r="U618" i="2"/>
  <c r="U234" i="2"/>
  <c r="U594" i="2"/>
  <c r="U588" i="2"/>
  <c r="U335" i="2"/>
  <c r="U628" i="2"/>
  <c r="U644" i="2"/>
  <c r="U298" i="2"/>
  <c r="U186" i="2"/>
  <c r="U299" i="2"/>
  <c r="U592" i="2"/>
  <c r="U447" i="2"/>
  <c r="U566" i="2"/>
  <c r="U259" i="2"/>
  <c r="U130" i="2"/>
  <c r="U482" i="2"/>
  <c r="U343" i="2"/>
  <c r="U550" i="2"/>
  <c r="U436" i="2"/>
  <c r="U184" i="2"/>
  <c r="U203" i="2"/>
  <c r="U232" i="2"/>
  <c r="U493" i="2"/>
  <c r="U73" i="2"/>
  <c r="U211" i="2"/>
  <c r="U501" i="2"/>
  <c r="U584" i="2"/>
  <c r="U504" i="2"/>
  <c r="U124" i="2"/>
  <c r="U235" i="2"/>
  <c r="U325" i="2"/>
  <c r="U134" i="2"/>
  <c r="U609" i="2"/>
  <c r="U43" i="2"/>
  <c r="U350" i="2"/>
  <c r="U372" i="2"/>
  <c r="U122" i="2"/>
  <c r="U440" i="2"/>
  <c r="U503" i="2"/>
  <c r="U204" i="2"/>
  <c r="U306" i="2"/>
  <c r="U446" i="2"/>
  <c r="U359" i="2"/>
  <c r="U263" i="2"/>
  <c r="U42" i="2"/>
  <c r="U487" i="2"/>
  <c r="U581" i="2"/>
  <c r="U312" i="2"/>
  <c r="U249" i="2"/>
  <c r="U427" i="2"/>
  <c r="U157" i="2"/>
  <c r="U119" i="2"/>
  <c r="U534" i="2"/>
  <c r="U424" i="2"/>
  <c r="U572" i="2"/>
  <c r="U185" i="2"/>
  <c r="U39" i="2"/>
  <c r="U562" i="2"/>
  <c r="U287" i="2"/>
  <c r="U543" i="2"/>
  <c r="U238" i="2"/>
  <c r="U44" i="2"/>
  <c r="U247" i="2"/>
  <c r="U296" i="2"/>
  <c r="U284" i="2"/>
  <c r="U380" i="2"/>
  <c r="U153" i="2"/>
  <c r="U539" i="2"/>
  <c r="U422" i="2"/>
  <c r="U414" i="2"/>
  <c r="U407" i="2"/>
  <c r="U198" i="2"/>
  <c r="U467" i="2"/>
  <c r="U83" i="2"/>
  <c r="U385" i="2"/>
  <c r="U208" i="2"/>
  <c r="U568" i="2"/>
  <c r="U89" i="2"/>
  <c r="U192" i="2"/>
  <c r="U301" i="2"/>
  <c r="U643" i="2"/>
  <c r="U329" i="2"/>
  <c r="U353" i="2"/>
  <c r="U242" i="2"/>
  <c r="U302" i="2"/>
  <c r="U535" i="2"/>
  <c r="U230" i="2"/>
  <c r="U627" i="2"/>
  <c r="U531" i="2"/>
  <c r="U574" i="2"/>
  <c r="U243" i="2"/>
  <c r="U480" i="2"/>
  <c r="U320" i="2"/>
  <c r="U91" i="2"/>
  <c r="U169" i="2"/>
  <c r="U345" i="2"/>
  <c r="U101" i="2"/>
  <c r="U505" i="2"/>
  <c r="U564" i="2"/>
  <c r="U21" i="2"/>
  <c r="U328" i="2"/>
  <c r="U72" i="2"/>
  <c r="U429" i="2"/>
  <c r="U421" i="2"/>
  <c r="U500" i="2"/>
  <c r="U53" i="2"/>
  <c r="U354" i="2"/>
  <c r="U346" i="2"/>
  <c r="U388" i="2"/>
  <c r="U558" i="2"/>
  <c r="U433" i="2"/>
  <c r="U471" i="2"/>
  <c r="U52" i="2"/>
  <c r="U342" i="2"/>
  <c r="U529" i="2"/>
  <c r="U166" i="2"/>
  <c r="U442" i="2"/>
  <c r="U577" i="2"/>
  <c r="U587" i="2"/>
  <c r="U641" i="2"/>
  <c r="U399" i="2"/>
  <c r="U473" i="2"/>
  <c r="U241" i="2"/>
  <c r="U632" i="2"/>
  <c r="U61" i="2"/>
  <c r="U506" i="2"/>
  <c r="T146" i="2"/>
  <c r="T608" i="2"/>
  <c r="T322" i="2"/>
  <c r="T158" i="2"/>
  <c r="T557" i="2"/>
  <c r="T362" i="2"/>
  <c r="T583" i="2"/>
  <c r="T341" i="2"/>
  <c r="T75" i="2"/>
  <c r="T190" i="2"/>
  <c r="T367" i="2"/>
  <c r="T109" i="2"/>
  <c r="T640" i="2"/>
  <c r="T250" i="2"/>
  <c r="T616" i="2"/>
  <c r="T434" i="2"/>
  <c r="T458" i="2"/>
  <c r="T378" i="2"/>
  <c r="T406" i="2"/>
  <c r="T313" i="2"/>
  <c r="T498" i="2"/>
  <c r="T307" i="2"/>
  <c r="T282" i="2"/>
  <c r="T156" i="2"/>
  <c r="T495" i="2"/>
  <c r="T140" i="2"/>
  <c r="T499" i="2"/>
  <c r="T617" i="2"/>
  <c r="T375" i="2"/>
  <c r="T32" i="2"/>
  <c r="T595" i="2"/>
  <c r="T3" i="2"/>
  <c r="T494" i="2"/>
  <c r="T152" i="2"/>
  <c r="T489" i="2"/>
  <c r="T508" i="2"/>
  <c r="T197" i="2"/>
  <c r="T464" i="2"/>
  <c r="T200" i="2"/>
  <c r="T125" i="2"/>
  <c r="T46" i="2"/>
  <c r="T411" i="2"/>
  <c r="T333" i="2"/>
  <c r="T379" i="2"/>
  <c r="T358" i="2"/>
  <c r="T223" i="2"/>
  <c r="T510" i="2"/>
  <c r="T371" i="2"/>
  <c r="T537" i="2"/>
  <c r="T295" i="2"/>
  <c r="T376" i="2"/>
  <c r="T286" i="2"/>
  <c r="T593" i="2"/>
  <c r="T462" i="2"/>
  <c r="T317" i="2"/>
  <c r="T575" i="2"/>
  <c r="T576" i="2"/>
  <c r="T7" i="2"/>
  <c r="T509" i="2"/>
  <c r="T351" i="2"/>
  <c r="T199" i="2"/>
  <c r="T80" i="2"/>
  <c r="T597" i="2"/>
  <c r="T403" i="2"/>
  <c r="T552" i="2"/>
  <c r="T463" i="2"/>
  <c r="T348" i="2"/>
  <c r="T56" i="2"/>
  <c r="T147" i="2"/>
  <c r="T49" i="2"/>
  <c r="T339" i="2"/>
  <c r="T246" i="2"/>
  <c r="T244" i="2"/>
  <c r="T94" i="2"/>
  <c r="T207" i="2"/>
  <c r="T336" i="2"/>
  <c r="T413" i="2"/>
  <c r="T19" i="2"/>
  <c r="T229" i="2"/>
  <c r="T571" i="2"/>
  <c r="T62" i="2"/>
  <c r="T475" i="2"/>
  <c r="T277" i="2"/>
  <c r="T606" i="2"/>
  <c r="T64" i="2"/>
  <c r="T314" i="2"/>
  <c r="T15" i="2"/>
  <c r="T210" i="2"/>
  <c r="T502" i="2"/>
  <c r="T360" i="2"/>
  <c r="T268" i="2"/>
  <c r="T561" i="2"/>
  <c r="T389" i="2"/>
  <c r="T205" i="2"/>
  <c r="T220" i="2"/>
  <c r="T525" i="2"/>
  <c r="T45" i="2"/>
  <c r="T6" i="2"/>
  <c r="T468" i="2"/>
  <c r="T179" i="2"/>
  <c r="T100" i="2"/>
  <c r="T236" i="2"/>
  <c r="T470" i="2"/>
  <c r="T530" i="2"/>
  <c r="T66" i="2"/>
  <c r="T384" i="2"/>
  <c r="T386" i="2"/>
  <c r="T201" i="2"/>
  <c r="T4" i="2"/>
  <c r="T637" i="2"/>
  <c r="T532" i="2"/>
  <c r="T382" i="2"/>
  <c r="T141" i="2"/>
  <c r="T276" i="2"/>
  <c r="T590" i="2"/>
  <c r="T497" i="2"/>
  <c r="T81" i="2"/>
  <c r="T110" i="2"/>
  <c r="T614" i="2"/>
  <c r="T514" i="2"/>
  <c r="T187" i="2"/>
  <c r="T523" i="2"/>
  <c r="T260" i="2"/>
  <c r="T239" i="2"/>
  <c r="T309" i="2"/>
  <c r="T37" i="2"/>
  <c r="T155" i="2"/>
  <c r="T397" i="2"/>
  <c r="T477" i="2"/>
  <c r="T415" i="2"/>
  <c r="T448" i="2"/>
  <c r="T63" i="2"/>
  <c r="T419" i="2"/>
  <c r="T165" i="2"/>
  <c r="T520" i="2"/>
  <c r="T387" i="2"/>
  <c r="T34" i="2"/>
  <c r="T67" i="2"/>
  <c r="T126" i="2"/>
  <c r="T228" i="2"/>
  <c r="T553" i="2"/>
  <c r="T580" i="2"/>
  <c r="T570" i="2"/>
  <c r="T218" i="2"/>
  <c r="T237" i="2"/>
  <c r="T613" i="2"/>
  <c r="T416" i="2"/>
  <c r="T633" i="2"/>
  <c r="T77" i="2"/>
  <c r="T331" i="2"/>
  <c r="T294" i="2"/>
  <c r="T549" i="2"/>
  <c r="T567" i="2"/>
  <c r="T8" i="2"/>
  <c r="T219" i="2"/>
  <c r="T513" i="2"/>
  <c r="T120" i="2"/>
  <c r="T374" i="2"/>
  <c r="T327" i="2"/>
  <c r="T272" i="2"/>
  <c r="T90" i="2"/>
  <c r="T271" i="2"/>
  <c r="T623" i="2"/>
  <c r="T449" i="2"/>
  <c r="T408" i="2"/>
  <c r="T551" i="2"/>
  <c r="T344" i="2"/>
  <c r="T601" i="2"/>
  <c r="T364" i="2"/>
  <c r="T58" i="2"/>
  <c r="T483" i="2"/>
  <c r="T589" i="2"/>
  <c r="T36" i="2"/>
  <c r="T612" i="2"/>
  <c r="T258" i="2"/>
  <c r="T14" i="2"/>
  <c r="T349" i="2"/>
  <c r="T582" i="2"/>
  <c r="T443" i="2"/>
  <c r="T626" i="2"/>
  <c r="T340" i="2"/>
  <c r="T538" i="2"/>
  <c r="T149" i="2"/>
  <c r="T86" i="2"/>
  <c r="T465" i="2"/>
  <c r="T251" i="2"/>
  <c r="T639" i="2"/>
  <c r="T71" i="2"/>
  <c r="T563" i="2"/>
  <c r="T404" i="2"/>
  <c r="T484" i="2"/>
  <c r="T428" i="2"/>
  <c r="T215" i="2"/>
  <c r="T11" i="2"/>
  <c r="T441" i="2"/>
  <c r="T57" i="2"/>
  <c r="T444" i="2"/>
  <c r="T212" i="2"/>
  <c r="T585" i="2"/>
  <c r="T273" i="2"/>
  <c r="T485" i="2"/>
  <c r="T319" i="2"/>
  <c r="T610" i="2"/>
  <c r="T168" i="2"/>
  <c r="T297" i="2"/>
  <c r="T461" i="2"/>
  <c r="T565" i="2"/>
  <c r="T292" i="2"/>
  <c r="T619" i="2"/>
  <c r="T104" i="2"/>
  <c r="T189" i="2"/>
  <c r="T202" i="2"/>
  <c r="T390" i="2"/>
  <c r="T132" i="2"/>
  <c r="T25" i="2"/>
  <c r="T548" i="2"/>
  <c r="T402" i="2"/>
  <c r="T151" i="2"/>
  <c r="T82" i="2"/>
  <c r="T193" i="2"/>
  <c r="T79" i="2"/>
  <c r="T334" i="2"/>
  <c r="T430" i="2"/>
  <c r="T522" i="2"/>
  <c r="T391" i="2"/>
  <c r="T87" i="2"/>
  <c r="T377" i="2"/>
  <c r="T108" i="2"/>
  <c r="T453" i="2"/>
  <c r="T452" i="2"/>
  <c r="T20" i="2"/>
  <c r="T163" i="2"/>
  <c r="T74" i="2"/>
  <c r="T23" i="2"/>
  <c r="T288" i="2"/>
  <c r="T78" i="2"/>
  <c r="T524" i="2"/>
  <c r="T270" i="2"/>
  <c r="T412" i="2"/>
  <c r="T512" i="2"/>
  <c r="T555" i="2"/>
  <c r="T182" i="2"/>
  <c r="T181" i="2"/>
  <c r="T533" i="2"/>
  <c r="T496" i="2"/>
  <c r="T528" i="2"/>
  <c r="T435" i="2"/>
  <c r="T222" i="2"/>
  <c r="T255" i="2"/>
  <c r="T355" i="2"/>
  <c r="T10" i="2"/>
  <c r="T143" i="2"/>
  <c r="T642" i="2"/>
  <c r="T148" i="2"/>
  <c r="T486" i="2"/>
  <c r="T425" i="2"/>
  <c r="T469" i="2"/>
  <c r="T318" i="2"/>
  <c r="T547" i="2"/>
  <c r="T98" i="2"/>
  <c r="T602" i="2"/>
  <c r="T227" i="2"/>
  <c r="T518" i="2"/>
  <c r="T457" i="2"/>
  <c r="T445" i="2"/>
  <c r="T310" i="2"/>
  <c r="T175" i="2"/>
  <c r="T479" i="2"/>
  <c r="T478" i="2"/>
  <c r="T111" i="2"/>
  <c r="T33" i="2"/>
  <c r="T114" i="2"/>
  <c r="T347" i="2"/>
  <c r="T624" i="2"/>
  <c r="T330" i="2"/>
  <c r="T527" i="2"/>
  <c r="T177" i="2"/>
  <c r="T261" i="2"/>
  <c r="T269" i="2"/>
  <c r="T542" i="2"/>
  <c r="T629" i="2"/>
  <c r="T95" i="2"/>
  <c r="T213" i="2"/>
  <c r="T127" i="2"/>
  <c r="T178" i="2"/>
  <c r="T630" i="2"/>
  <c r="T511" i="2"/>
  <c r="T361" i="2"/>
  <c r="T332" i="2"/>
  <c r="T92" i="2"/>
  <c r="T106" i="2"/>
  <c r="T278" i="2"/>
  <c r="T323" i="2"/>
  <c r="T437" i="2"/>
  <c r="T41" i="2"/>
  <c r="T285" i="2"/>
  <c r="T217" i="2"/>
  <c r="T13" i="2"/>
  <c r="T164" i="2"/>
  <c r="T305" i="2"/>
  <c r="T621" i="2"/>
  <c r="T48" i="2"/>
  <c r="T174" i="2"/>
  <c r="T138" i="2"/>
  <c r="T459" i="2"/>
  <c r="T30" i="2"/>
  <c r="T365" i="2"/>
  <c r="T161" i="2"/>
  <c r="T316" i="2"/>
  <c r="T85" i="2"/>
  <c r="T622" i="2"/>
  <c r="T131" i="2"/>
  <c r="T392" i="2"/>
  <c r="T159" i="2"/>
  <c r="T116" i="2"/>
  <c r="T308" i="2"/>
  <c r="T128" i="2"/>
  <c r="T172" i="2"/>
  <c r="T233" i="2"/>
  <c r="T35" i="2"/>
  <c r="T492" i="2"/>
  <c r="T50" i="2"/>
  <c r="T31" i="2"/>
  <c r="T93" i="2"/>
  <c r="T22" i="2"/>
  <c r="T245" i="2"/>
  <c r="T2" i="2"/>
  <c r="T638" i="2"/>
  <c r="T102" i="2"/>
  <c r="T636" i="2"/>
  <c r="T569" i="2"/>
  <c r="T28" i="2"/>
  <c r="T460" i="2"/>
  <c r="T418" i="2"/>
  <c r="T139" i="2"/>
  <c r="T112" i="2"/>
  <c r="T160" i="2"/>
  <c r="T162" i="2"/>
  <c r="T395" i="2"/>
  <c r="T275" i="2"/>
  <c r="T224" i="2"/>
  <c r="T257" i="2"/>
  <c r="T84" i="2"/>
  <c r="T472" i="2"/>
  <c r="T105" i="2"/>
  <c r="T29" i="2"/>
  <c r="T99" i="2"/>
  <c r="T76" i="2"/>
  <c r="T51" i="2"/>
  <c r="T291" i="2"/>
  <c r="T438" i="2"/>
  <c r="T194" i="2"/>
  <c r="T18" i="2"/>
  <c r="T368" i="2"/>
  <c r="T248" i="2"/>
  <c r="T540" i="2"/>
  <c r="T60" i="2"/>
  <c r="T216" i="2"/>
  <c r="T27" i="2"/>
  <c r="T65" i="2"/>
  <c r="T519" i="2"/>
  <c r="T579" i="2"/>
  <c r="T97" i="2"/>
  <c r="T214" i="2"/>
  <c r="T107" i="2"/>
  <c r="T115" i="2"/>
  <c r="T603" i="2"/>
  <c r="T293" i="2"/>
  <c r="T17" i="2"/>
  <c r="T515" i="2"/>
  <c r="T383" i="2"/>
  <c r="T598" i="2"/>
  <c r="T117" i="2"/>
  <c r="T321" i="2"/>
  <c r="T591" i="2"/>
  <c r="T59" i="2"/>
  <c r="T600" i="2"/>
  <c r="T176" i="2"/>
  <c r="T55" i="2"/>
  <c r="T121" i="2"/>
  <c r="T423" i="2"/>
  <c r="T394" i="2"/>
  <c r="T206" i="2"/>
  <c r="T356" i="2"/>
  <c r="T225" i="2"/>
  <c r="T283" i="2"/>
  <c r="T370" i="2"/>
  <c r="T103" i="2"/>
  <c r="T398" i="2"/>
  <c r="T69" i="2"/>
  <c r="T573" i="2"/>
  <c r="T252" i="2"/>
  <c r="T586" i="2"/>
  <c r="T381" i="2"/>
  <c r="T454" i="2"/>
  <c r="T221" i="2"/>
  <c r="T409" i="2"/>
  <c r="T324" i="2"/>
  <c r="T541" i="2"/>
  <c r="T536" i="2"/>
  <c r="T280" i="2"/>
  <c r="T607" i="2"/>
  <c r="T393" i="2"/>
  <c r="T254" i="2"/>
  <c r="T256" i="2"/>
  <c r="T5" i="2"/>
  <c r="T401" i="2"/>
  <c r="T400" i="2"/>
  <c r="T173" i="2"/>
  <c r="T476" i="2"/>
  <c r="T24" i="2"/>
  <c r="T625" i="2"/>
  <c r="T47" i="2"/>
  <c r="T170" i="2"/>
  <c r="T611" i="2"/>
  <c r="T556" i="2"/>
  <c r="T167" i="2"/>
  <c r="T195" i="2"/>
  <c r="T290" i="2"/>
  <c r="T88" i="2"/>
  <c r="T209" i="2"/>
  <c r="T123" i="2"/>
  <c r="T289" i="2"/>
  <c r="T265" i="2"/>
  <c r="T490" i="2"/>
  <c r="T544" i="2"/>
  <c r="T171" i="2"/>
  <c r="T491" i="2"/>
  <c r="T253" i="2"/>
  <c r="T488" i="2"/>
  <c r="T560" i="2"/>
  <c r="T188" i="2"/>
  <c r="T432" i="2"/>
  <c r="T16" i="2"/>
  <c r="T466" i="2"/>
  <c r="T137" i="2"/>
  <c r="T26" i="2"/>
  <c r="T136" i="2"/>
  <c r="T118" i="2"/>
  <c r="T300" i="2"/>
  <c r="T526" i="2"/>
  <c r="T615" i="2"/>
  <c r="T410" i="2"/>
  <c r="T634" i="2"/>
  <c r="T431" i="2"/>
  <c r="T396" i="2"/>
  <c r="T450" i="2"/>
  <c r="T338" i="2"/>
  <c r="T363" i="2"/>
  <c r="T96" i="2"/>
  <c r="T373" i="2"/>
  <c r="T620" i="2"/>
  <c r="T631" i="2"/>
  <c r="T357" i="2"/>
  <c r="T451" i="2"/>
  <c r="T279" i="2"/>
  <c r="T231" i="2"/>
  <c r="T417" i="2"/>
  <c r="T366" i="2"/>
  <c r="T267" i="2"/>
  <c r="T635" i="2"/>
  <c r="T183" i="2"/>
  <c r="T605" i="2"/>
  <c r="T154" i="2"/>
  <c r="T599" i="2"/>
  <c r="T455" i="2"/>
  <c r="T196" i="2"/>
  <c r="T38" i="2"/>
  <c r="T266" i="2"/>
  <c r="T40" i="2"/>
  <c r="T521" i="2"/>
  <c r="T481" i="2"/>
  <c r="T315" i="2"/>
  <c r="T133" i="2"/>
  <c r="T113" i="2"/>
  <c r="T352" i="2"/>
  <c r="T426" i="2"/>
  <c r="T264" i="2"/>
  <c r="T405" i="2"/>
  <c r="T150" i="2"/>
  <c r="T191" i="2"/>
  <c r="T311" i="2"/>
  <c r="T596" i="2"/>
  <c r="T12" i="2"/>
  <c r="T369" i="2"/>
  <c r="T337" i="2"/>
  <c r="T507" i="2"/>
  <c r="T226" i="2"/>
  <c r="T303" i="2"/>
  <c r="T304" i="2"/>
  <c r="T281" i="2"/>
  <c r="T135" i="2"/>
  <c r="T70" i="2"/>
  <c r="T129" i="2"/>
  <c r="T144" i="2"/>
  <c r="T604" i="2"/>
  <c r="T554" i="2"/>
  <c r="T145" i="2"/>
  <c r="T559" i="2"/>
  <c r="T274" i="2"/>
  <c r="T439" i="2"/>
  <c r="T9" i="2"/>
  <c r="T326" i="2"/>
  <c r="T474" i="2"/>
  <c r="T68" i="2"/>
  <c r="T54" i="2"/>
  <c r="T545" i="2"/>
  <c r="T420" i="2"/>
  <c r="T517" i="2"/>
  <c r="T546" i="2"/>
  <c r="T456" i="2"/>
  <c r="T240" i="2"/>
  <c r="T180" i="2"/>
  <c r="T142" i="2"/>
  <c r="T578" i="2"/>
  <c r="T262" i="2"/>
  <c r="T618" i="2"/>
  <c r="T234" i="2"/>
  <c r="T594" i="2"/>
  <c r="T588" i="2"/>
  <c r="T335" i="2"/>
  <c r="T628" i="2"/>
  <c r="T644" i="2"/>
  <c r="T298" i="2"/>
  <c r="T186" i="2"/>
  <c r="T299" i="2"/>
  <c r="T592" i="2"/>
  <c r="T447" i="2"/>
  <c r="T566" i="2"/>
  <c r="T259" i="2"/>
  <c r="T130" i="2"/>
  <c r="T482" i="2"/>
  <c r="T343" i="2"/>
  <c r="T550" i="2"/>
  <c r="T436" i="2"/>
  <c r="T184" i="2"/>
  <c r="T203" i="2"/>
  <c r="T232" i="2"/>
  <c r="T493" i="2"/>
  <c r="T73" i="2"/>
  <c r="T211" i="2"/>
  <c r="T501" i="2"/>
  <c r="T584" i="2"/>
  <c r="T504" i="2"/>
  <c r="T124" i="2"/>
  <c r="T235" i="2"/>
  <c r="T325" i="2"/>
  <c r="T134" i="2"/>
  <c r="T609" i="2"/>
  <c r="T43" i="2"/>
  <c r="T350" i="2"/>
  <c r="T372" i="2"/>
  <c r="T122" i="2"/>
  <c r="T440" i="2"/>
  <c r="T503" i="2"/>
  <c r="T204" i="2"/>
  <c r="T306" i="2"/>
  <c r="T446" i="2"/>
  <c r="T359" i="2"/>
  <c r="T263" i="2"/>
  <c r="T42" i="2"/>
  <c r="T487" i="2"/>
  <c r="T581" i="2"/>
  <c r="T312" i="2"/>
  <c r="T249" i="2"/>
  <c r="T427" i="2"/>
  <c r="T157" i="2"/>
  <c r="T119" i="2"/>
  <c r="T534" i="2"/>
  <c r="T424" i="2"/>
  <c r="T572" i="2"/>
  <c r="T185" i="2"/>
  <c r="T39" i="2"/>
  <c r="T562" i="2"/>
  <c r="T287" i="2"/>
  <c r="T543" i="2"/>
  <c r="T238" i="2"/>
  <c r="T44" i="2"/>
  <c r="T247" i="2"/>
  <c r="T296" i="2"/>
  <c r="T284" i="2"/>
  <c r="T380" i="2"/>
  <c r="T153" i="2"/>
  <c r="T539" i="2"/>
  <c r="T422" i="2"/>
  <c r="T414" i="2"/>
  <c r="T407" i="2"/>
  <c r="T198" i="2"/>
  <c r="T467" i="2"/>
  <c r="T83" i="2"/>
  <c r="T385" i="2"/>
  <c r="T208" i="2"/>
  <c r="T568" i="2"/>
  <c r="T89" i="2"/>
  <c r="T192" i="2"/>
  <c r="T301" i="2"/>
  <c r="T643" i="2"/>
  <c r="T329" i="2"/>
  <c r="T353" i="2"/>
  <c r="T242" i="2"/>
  <c r="T302" i="2"/>
  <c r="T535" i="2"/>
  <c r="T230" i="2"/>
  <c r="T627" i="2"/>
  <c r="T531" i="2"/>
  <c r="T574" i="2"/>
  <c r="T243" i="2"/>
  <c r="T480" i="2"/>
  <c r="T320" i="2"/>
  <c r="T91" i="2"/>
  <c r="T169" i="2"/>
  <c r="T345" i="2"/>
  <c r="T101" i="2"/>
  <c r="T505" i="2"/>
  <c r="T564" i="2"/>
  <c r="T21" i="2"/>
  <c r="T328" i="2"/>
  <c r="T72" i="2"/>
  <c r="T429" i="2"/>
  <c r="T421" i="2"/>
  <c r="T500" i="2"/>
  <c r="T53" i="2"/>
  <c r="T354" i="2"/>
  <c r="T346" i="2"/>
  <c r="T388" i="2"/>
  <c r="T558" i="2"/>
  <c r="T433" i="2"/>
  <c r="T471" i="2"/>
  <c r="T52" i="2"/>
  <c r="T342" i="2"/>
  <c r="T529" i="2"/>
  <c r="T166" i="2"/>
  <c r="T442" i="2"/>
  <c r="T577" i="2"/>
  <c r="T587" i="2"/>
  <c r="T641" i="2"/>
  <c r="T399" i="2"/>
  <c r="T473" i="2"/>
  <c r="T241" i="2"/>
  <c r="T632" i="2"/>
  <c r="T61" i="2"/>
  <c r="T506" i="2"/>
  <c r="T516" i="2"/>
  <c r="S557" i="2"/>
  <c r="S158" i="2"/>
  <c r="S322" i="2"/>
  <c r="S608" i="2"/>
  <c r="S146" i="2"/>
  <c r="S51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C439C8-A5C6-40FF-8E09-CA858EFC2F3B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<sst xmlns="http://schemas.openxmlformats.org/spreadsheetml/2006/main" count="12952" uniqueCount="4313">
  <si>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</si>
  <si>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</si>
  <si>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</si>
  <si>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</si>
  <si>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</si>
  <si>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</si>
  <si>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</si>
  <si>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</si>
  <si>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</si>
  <si>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</si>
  <si>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</si>
  <si>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</si>
  <si>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</si>
  <si>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</si>
  <si>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</si>
  <si>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</si>
  <si>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</si>
  <si>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</si>
  <si>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</si>
  <si>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</si>
  <si>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</si>
  <si>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</si>
  <si>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</si>
  <si>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</si>
  <si>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</si>
  <si>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</si>
  <si>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</si>
  <si>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</si>
  <si>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</si>
  <si>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</si>
  <si>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</si>
  <si>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</si>
  <si>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</si>
  <si>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</si>
  <si>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</si>
  <si>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</si>
  <si>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</si>
  <si>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</si>
  <si>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</si>
  <si>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</si>
  <si>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</si>
  <si>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</si>
  <si>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</si>
  <si>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</si>
  <si>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</si>
  <si>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</si>
  <si>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</si>
  <si>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</si>
  <si>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</si>
  <si>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</si>
  <si>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</si>
  <si>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</si>
  <si>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</si>
  <si>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</si>
  <si>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</si>
  <si>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</si>
  <si>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</si>
  <si>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</si>
  <si>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</si>
  <si>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</si>
  <si>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</si>
  <si>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</si>
  <si>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</si>
  <si>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</si>
  <si>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</si>
  <si>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</si>
  <si>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</si>
  <si>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</si>
  <si>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</si>
  <si>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</si>
  <si>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</si>
  <si>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</si>
  <si>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</si>
  <si>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</si>
  <si>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</si>
  <si>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</si>
  <si>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</si>
  <si>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</si>
  <si>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</si>
  <si>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</si>
  <si>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</si>
  <si>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</si>
  <si>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</si>
  <si>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</si>
  <si>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</si>
  <si>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</si>
  <si>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</si>
  <si>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</si>
  <si>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</si>
  <si>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</si>
  <si>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</si>
  <si>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</si>
  <si>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</si>
  <si>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</si>
  <si>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</si>
  <si>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Appliances</t>
  </si>
  <si>
    <t>Holmes Replacement Filter for HEPA Air Cleaner, Very Large Room, HEPA Filter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</si>
  <si>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</si>
  <si>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</si>
  <si>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</si>
  <si>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</si>
  <si>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</si>
  <si>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</si>
  <si>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</si>
  <si>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</si>
  <si>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Storage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</si>
  <si>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</si>
  <si>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</si>
  <si>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</si>
  <si>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</si>
  <si>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</si>
  <si>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</si>
  <si>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</si>
  <si>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</si>
  <si>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</si>
  <si>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</si>
  <si>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</si>
  <si>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</si>
  <si>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</si>
  <si>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</si>
  <si>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</si>
  <si>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</si>
  <si>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</si>
  <si>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Art</t>
  </si>
  <si>
    <t>Newell 341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</si>
  <si>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</si>
  <si>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</si>
  <si>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</si>
  <si>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</si>
  <si>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</si>
  <si>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</si>
  <si>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</si>
  <si>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</si>
  <si>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</si>
  <si>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</si>
  <si>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</si>
  <si>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</si>
  <si>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</si>
  <si>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</si>
  <si>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</si>
  <si>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</si>
  <si>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</si>
  <si>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</si>
  <si>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Chairs</t>
  </si>
  <si>
    <t>Global Deluxe Stacking Chair, Gray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</si>
  <si>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</si>
  <si>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</si>
  <si>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</si>
  <si>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</si>
  <si>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</si>
  <si>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</si>
  <si>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</si>
  <si>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</si>
  <si>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</si>
  <si>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</si>
  <si>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</si>
  <si>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</si>
  <si>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</si>
  <si>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</si>
  <si>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</si>
  <si>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</si>
  <si>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</si>
  <si>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</si>
  <si>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</si>
  <si>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</si>
  <si>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</si>
  <si>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</si>
  <si>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</si>
  <si>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</si>
  <si>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</si>
  <si>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</si>
  <si>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</si>
  <si>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</si>
  <si>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</si>
  <si>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</si>
  <si>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</si>
  <si>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</si>
  <si>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CA-2016-117415</t>
  </si>
  <si>
    <t>27/12/2016</t>
  </si>
  <si>
    <t>31/12/2016</t>
  </si>
  <si>
    <t>SN-20710</t>
  </si>
  <si>
    <t>Steve Nguyen</t>
  </si>
  <si>
    <t>OFF-EN-10002986</t>
  </si>
  <si>
    <t>Envelopes</t>
  </si>
  <si>
    <t>#10-4 1/8" x 9 1/2" Premium Diagonal Seam Envelopes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</si>
  <si>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</si>
  <si>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</si>
  <si>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</si>
  <si>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</si>
  <si>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</si>
  <si>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</si>
  <si>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</si>
  <si>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</si>
  <si>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</si>
  <si>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</si>
  <si>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</si>
  <si>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</si>
  <si>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</si>
  <si>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</si>
  <si>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</si>
  <si>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</si>
  <si>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</si>
  <si>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</si>
  <si>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</si>
  <si>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</si>
  <si>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</si>
  <si>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</si>
  <si>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</si>
  <si>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</si>
  <si>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</si>
  <si>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</si>
  <si>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</si>
  <si>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</si>
  <si>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</si>
  <si>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</si>
  <si>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</si>
  <si>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</si>
  <si>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</si>
  <si>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</si>
  <si>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</si>
  <si>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</si>
  <si>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</si>
  <si>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</si>
  <si>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</si>
  <si>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</si>
  <si>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</si>
  <si>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</si>
  <si>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</si>
  <si>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</si>
  <si>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</si>
  <si>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</si>
  <si>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</si>
  <si>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</si>
  <si>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</si>
  <si>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</si>
  <si>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</si>
  <si>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</si>
  <si>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</si>
  <si>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</si>
  <si>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</si>
  <si>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</si>
  <si>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</si>
  <si>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</si>
  <si>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</si>
  <si>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</si>
  <si>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</si>
  <si>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</si>
  <si>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</si>
  <si>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</si>
  <si>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</si>
  <si>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</si>
  <si>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</si>
  <si>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</si>
  <si>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</si>
  <si>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</si>
  <si>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</si>
  <si>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</si>
  <si>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</si>
  <si>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</si>
  <si>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</si>
  <si>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</si>
  <si>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</si>
  <si>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</si>
  <si>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</si>
  <si>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</si>
  <si>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</si>
  <si>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</si>
  <si>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</si>
  <si>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</si>
  <si>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</si>
  <si>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</si>
  <si>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</si>
  <si>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</si>
  <si>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</si>
  <si>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</si>
  <si>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</si>
  <si>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</si>
  <si>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</si>
  <si>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</si>
  <si>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</si>
  <si>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</si>
  <si>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</si>
  <si>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</si>
  <si>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</si>
  <si>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</si>
  <si>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</si>
  <si>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</si>
  <si>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</si>
  <si>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</si>
  <si>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</si>
  <si>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</si>
  <si>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</si>
  <si>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</si>
  <si>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</si>
  <si>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</si>
  <si>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</si>
  <si>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</si>
  <si>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</si>
  <si>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</si>
  <si>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</si>
  <si>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</si>
  <si>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</si>
  <si>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</si>
  <si>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</si>
  <si>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</si>
  <si>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</si>
  <si>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</si>
  <si>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</si>
  <si>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</si>
  <si>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</si>
  <si>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</si>
  <si>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</si>
  <si>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</si>
  <si>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</si>
  <si>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</si>
  <si>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</si>
  <si>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</si>
  <si>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</si>
  <si>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</si>
  <si>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</si>
  <si>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</si>
  <si>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</si>
  <si>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</si>
  <si>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</si>
  <si>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</si>
  <si>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</si>
  <si>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</si>
  <si>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</si>
  <si>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</si>
  <si>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</si>
  <si>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</si>
  <si>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</si>
  <si>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</si>
  <si>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</si>
  <si>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</si>
  <si>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</si>
  <si>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</si>
  <si>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</si>
  <si>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</si>
  <si>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</si>
  <si>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</si>
  <si>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</si>
  <si>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</si>
  <si>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</si>
  <si>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</si>
  <si>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</si>
  <si>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</si>
  <si>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</si>
  <si>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</si>
  <si>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</si>
  <si>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</si>
  <si>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</si>
  <si>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</si>
  <si>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</si>
  <si>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</si>
  <si>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</si>
  <si>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</si>
  <si>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</si>
  <si>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</si>
  <si>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</si>
  <si>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</si>
  <si>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</si>
  <si>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</si>
  <si>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</si>
  <si>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</si>
  <si>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</si>
  <si>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</si>
  <si>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</si>
  <si>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</si>
  <si>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</si>
  <si>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</si>
  <si>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</si>
  <si>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</si>
  <si>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</si>
  <si>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</si>
  <si>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</si>
  <si>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</si>
  <si>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</si>
  <si>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</si>
  <si>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</si>
  <si>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</si>
  <si>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</si>
  <si>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</si>
  <si>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</si>
  <si>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</si>
  <si>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</si>
  <si>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</si>
  <si>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</si>
  <si>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</si>
  <si>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</si>
  <si>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</si>
  <si>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</si>
  <si>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</si>
  <si>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</si>
  <si>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</si>
  <si>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</si>
  <si>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</si>
  <si>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</si>
  <si>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</si>
  <si>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</si>
  <si>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</si>
  <si>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</si>
  <si>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</si>
  <si>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</si>
  <si>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</si>
  <si>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</si>
  <si>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</si>
  <si>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</si>
  <si>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</si>
  <si>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</si>
  <si>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</si>
  <si>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</si>
  <si>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</si>
  <si>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</si>
  <si>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</si>
  <si>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</si>
  <si>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</si>
  <si>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</si>
  <si>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</si>
  <si>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</si>
  <si>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</si>
  <si>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</si>
  <si>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</si>
  <si>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</si>
  <si>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</si>
  <si>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</si>
  <si>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</si>
  <si>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</si>
  <si>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</si>
  <si>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</si>
  <si>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</si>
  <si>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</si>
  <si>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</si>
  <si>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</si>
  <si>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</si>
  <si>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</si>
  <si>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</si>
  <si>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</si>
  <si>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</si>
  <si>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</si>
  <si>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</si>
  <si>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</si>
  <si>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</si>
  <si>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</si>
  <si>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</si>
  <si>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</si>
  <si>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</si>
  <si>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</si>
  <si>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</si>
  <si>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</si>
  <si>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</si>
  <si>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</si>
  <si>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</si>
  <si>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</si>
  <si>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</si>
  <si>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</si>
  <si>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</si>
  <si>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</si>
  <si>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</si>
  <si>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</si>
  <si>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</si>
  <si>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</si>
  <si>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</si>
  <si>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</si>
  <si>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</si>
  <si>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</si>
  <si>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</si>
  <si>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</si>
  <si>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</si>
  <si>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</si>
  <si>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</si>
  <si>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</si>
  <si>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</si>
  <si>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</si>
  <si>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</si>
  <si>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</si>
  <si>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</si>
  <si>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</si>
  <si>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</si>
  <si>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</si>
  <si>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</si>
  <si>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</si>
  <si>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</si>
  <si>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</si>
  <si>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</si>
  <si>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</si>
  <si>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</si>
  <si>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</si>
  <si>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</si>
  <si>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</si>
  <si>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</si>
  <si>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</si>
  <si>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</si>
  <si>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</si>
  <si>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</si>
  <si>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</si>
  <si>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</si>
  <si>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</si>
  <si>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</si>
  <si>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</si>
  <si>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</si>
  <si>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</si>
  <si>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</si>
  <si>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</si>
  <si>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</si>
  <si>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</si>
  <si>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</si>
  <si>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</si>
  <si>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</si>
  <si>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</si>
  <si>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</si>
  <si>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</si>
  <si>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</si>
  <si>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</si>
  <si>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</si>
  <si>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</si>
  <si>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</si>
  <si>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US-2017-125969</t>
  </si>
  <si>
    <t>06/11/2017</t>
  </si>
  <si>
    <t>LS-16975</t>
  </si>
  <si>
    <t>Lindsay Shagiari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</si>
  <si>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</si>
  <si>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</si>
  <si>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</si>
  <si>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</si>
  <si>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</si>
  <si>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</si>
  <si>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</si>
  <si>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</si>
  <si>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</si>
  <si>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</si>
  <si>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</si>
  <si>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</si>
  <si>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</si>
  <si>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</si>
  <si>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</si>
  <si>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</si>
  <si>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</si>
  <si>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CA-2018-106180</t>
  </si>
  <si>
    <t>18/09/2018</t>
  </si>
  <si>
    <t>SH-19975</t>
  </si>
  <si>
    <t>Sally Hughsby</t>
  </si>
  <si>
    <t>OFF-AR-10000940</t>
  </si>
  <si>
    <t>Newell 343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</si>
  <si>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</si>
  <si>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</si>
  <si>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</si>
  <si>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</si>
  <si>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</si>
  <si>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</si>
  <si>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</si>
  <si>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</si>
  <si>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</si>
  <si>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</si>
  <si>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</si>
  <si>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</si>
  <si>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</si>
  <si>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</si>
  <si>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</si>
  <si>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</si>
  <si>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</si>
  <si>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</si>
  <si>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</si>
  <si>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</si>
  <si>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</si>
  <si>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</si>
  <si>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</si>
  <si>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</si>
  <si>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</si>
  <si>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</si>
  <si>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</si>
  <si>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</si>
  <si>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</si>
  <si>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</si>
  <si>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</si>
  <si>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</si>
  <si>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</si>
  <si>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</si>
  <si>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</si>
  <si>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</si>
  <si>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</si>
  <si>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</si>
  <si>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</si>
  <si>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</si>
  <si>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</si>
  <si>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</si>
  <si>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</si>
  <si>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</si>
  <si>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</si>
  <si>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</si>
  <si>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</si>
  <si>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</si>
  <si>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</si>
  <si>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</si>
  <si>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</si>
  <si>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</si>
  <si>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</si>
  <si>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</si>
  <si>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</si>
  <si>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</si>
  <si>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</si>
  <si>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</si>
  <si>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</si>
  <si>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</si>
  <si>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</si>
  <si>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</si>
  <si>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</si>
  <si>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</si>
  <si>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</si>
  <si>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</si>
  <si>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</si>
  <si>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</si>
  <si>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</si>
  <si>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</si>
  <si>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</si>
  <si>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</si>
  <si>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</si>
  <si>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</si>
  <si>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</si>
  <si>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</si>
  <si>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</si>
  <si>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</si>
  <si>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</si>
  <si>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</si>
  <si>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</si>
  <si>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</si>
  <si>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</si>
  <si>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</si>
  <si>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</si>
  <si>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</si>
  <si>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</si>
  <si>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</si>
  <si>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</si>
  <si>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</si>
  <si>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</si>
  <si>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</si>
  <si>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</si>
  <si>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</si>
  <si>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</si>
  <si>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</si>
  <si>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</si>
  <si>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</si>
  <si>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</si>
  <si>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</si>
  <si>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</si>
  <si>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</si>
  <si>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</si>
  <si>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</si>
  <si>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</si>
  <si>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</si>
  <si>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</si>
  <si>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</si>
  <si>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</si>
  <si>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</si>
  <si>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</si>
  <si>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</si>
  <si>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</si>
  <si>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</si>
  <si>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</si>
  <si>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</si>
  <si>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</si>
  <si>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</si>
  <si>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</si>
  <si>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</si>
  <si>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</si>
  <si>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</si>
  <si>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</si>
  <si>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</si>
  <si>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</si>
  <si>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</si>
  <si>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</si>
  <si>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</si>
  <si>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</si>
  <si>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</si>
  <si>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</si>
  <si>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</si>
  <si>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</si>
  <si>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</si>
  <si>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</si>
  <si>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</si>
  <si>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</si>
  <si>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</si>
  <si>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</si>
  <si>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</si>
  <si>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</si>
  <si>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</si>
  <si>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</si>
  <si>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</si>
  <si>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</si>
  <si>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</si>
  <si>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</si>
  <si>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</si>
  <si>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</si>
  <si>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</si>
  <si>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</si>
  <si>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</si>
  <si>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</si>
  <si>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</si>
  <si>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</si>
  <si>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</si>
  <si>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</si>
  <si>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</si>
  <si>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</si>
  <si>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</si>
  <si>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</si>
  <si>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</si>
  <si>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</si>
  <si>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</si>
  <si>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</si>
  <si>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</si>
  <si>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</si>
  <si>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</si>
  <si>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</si>
  <si>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</si>
  <si>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</si>
  <si>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</si>
  <si>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</si>
  <si>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</si>
  <si>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</si>
  <si>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</si>
  <si>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</si>
  <si>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</si>
  <si>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</si>
  <si>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</si>
  <si>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</si>
  <si>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</si>
  <si>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</si>
  <si>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</si>
  <si>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</si>
  <si>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</si>
  <si>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</si>
  <si>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</si>
  <si>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</si>
  <si>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</si>
  <si>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</si>
  <si>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</si>
  <si>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</si>
  <si>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</si>
  <si>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</si>
  <si>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</si>
  <si>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</si>
  <si>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</si>
  <si>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</si>
  <si>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</si>
  <si>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</si>
  <si>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</si>
  <si>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</si>
  <si>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</si>
  <si>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</si>
  <si>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</si>
  <si>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</si>
  <si>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</si>
  <si>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</si>
  <si>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</si>
  <si>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</si>
  <si>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</si>
  <si>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</si>
  <si>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</si>
  <si>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</si>
  <si>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</si>
  <si>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</si>
  <si>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</si>
  <si>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</si>
  <si>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</si>
  <si>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</si>
  <si>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</si>
  <si>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</si>
  <si>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</si>
  <si>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</si>
  <si>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</si>
  <si>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</si>
  <si>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</si>
  <si>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</si>
  <si>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</si>
  <si>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</si>
  <si>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</si>
  <si>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</si>
  <si>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</si>
  <si>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</si>
  <si>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</si>
  <si>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</si>
  <si>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</si>
  <si>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</si>
  <si>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</si>
  <si>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</si>
  <si>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</si>
  <si>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</si>
  <si>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</si>
  <si>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</si>
  <si>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</si>
  <si>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</si>
  <si>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</si>
  <si>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</si>
  <si>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</si>
  <si>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</si>
  <si>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</si>
  <si>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</si>
  <si>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</si>
  <si>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</si>
  <si>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</si>
  <si>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</si>
  <si>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</si>
  <si>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</si>
  <si>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</si>
  <si>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</si>
  <si>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</si>
  <si>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</si>
  <si>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</si>
  <si>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</si>
  <si>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</si>
  <si>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US-2016-145436</t>
  </si>
  <si>
    <t>28/02/2016</t>
  </si>
  <si>
    <t>04/03/2016</t>
  </si>
  <si>
    <t>VD-21670</t>
  </si>
  <si>
    <t>Valerie Dominguez</t>
  </si>
  <si>
    <t>Columbia</t>
  </si>
  <si>
    <t>FUR-CH-10004860</t>
  </si>
  <si>
    <t>Global Low Back Tilter Chair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</si>
  <si>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</si>
  <si>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</si>
  <si>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</si>
  <si>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</si>
  <si>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</si>
  <si>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</si>
  <si>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</si>
  <si>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</si>
  <si>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</si>
  <si>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</si>
  <si>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</si>
  <si>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</si>
  <si>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</si>
  <si>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</si>
  <si>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</si>
  <si>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</si>
  <si>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</si>
  <si>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</si>
  <si>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</si>
  <si>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</si>
  <si>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</si>
  <si>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</si>
  <si>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</si>
  <si>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</si>
  <si>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</si>
  <si>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</si>
  <si>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</si>
  <si>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</si>
  <si>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</si>
  <si>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</si>
  <si>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</si>
  <si>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</si>
  <si>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</si>
  <si>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</si>
  <si>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</si>
  <si>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</si>
  <si>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</si>
  <si>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</si>
  <si>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</si>
  <si>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</si>
  <si>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</si>
  <si>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</si>
  <si>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</si>
  <si>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</si>
  <si>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</si>
  <si>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</si>
  <si>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</si>
  <si>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</si>
  <si>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</si>
  <si>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</si>
  <si>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</si>
  <si>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CA-2018-163139</t>
  </si>
  <si>
    <t>03/12/2018</t>
  </si>
  <si>
    <t>CC-12670</t>
  </si>
  <si>
    <t>Craig Carreira</t>
  </si>
  <si>
    <t>TEC-AC-10000290</t>
  </si>
  <si>
    <t>Sabrent 4-Port USB 2.0 Hub</t>
  </si>
  <si>
    <t>US-2018-155299</t>
  </si>
  <si>
    <t>08/06/2018</t>
  </si>
  <si>
    <t>12/06/2018</t>
  </si>
  <si>
    <t>Dl-13600</t>
  </si>
  <si>
    <t>Dorris liebe</t>
  </si>
  <si>
    <t>Pasadena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</si>
  <si>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</si>
  <si>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</si>
  <si>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</si>
  <si>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</si>
  <si>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</si>
  <si>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</si>
  <si>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</si>
  <si>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Machines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</si>
  <si>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</si>
  <si>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</si>
  <si>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</si>
  <si>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</si>
  <si>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</si>
  <si>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</si>
  <si>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</si>
  <si>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</si>
  <si>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</si>
  <si>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</si>
  <si>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</si>
  <si>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</si>
  <si>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</si>
  <si>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</si>
  <si>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</si>
  <si>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</si>
  <si>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</si>
  <si>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</si>
  <si>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</si>
  <si>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</si>
  <si>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</si>
  <si>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</si>
  <si>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</si>
  <si>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</si>
  <si>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</si>
  <si>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</si>
  <si>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</si>
  <si>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</si>
  <si>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</si>
  <si>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</si>
  <si>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</si>
  <si>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</si>
  <si>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</si>
  <si>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</si>
  <si>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</si>
  <si>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</si>
  <si>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</si>
  <si>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</si>
  <si>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</si>
  <si>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HA-14920</t>
  </si>
  <si>
    <t>Helen Andreada</t>
  </si>
  <si>
    <t>TEC-AC-10003628</t>
  </si>
  <si>
    <t>Logitech 910-002974 M325 Wireless Mouse for Web Scrolling</t>
  </si>
  <si>
    <t>CA-2018-118136</t>
  </si>
  <si>
    <t>16/09/2018</t>
  </si>
  <si>
    <t>17/09/2018</t>
  </si>
  <si>
    <t>BB-10990</t>
  </si>
  <si>
    <t>Barry Blumstein</t>
  </si>
  <si>
    <t>Inglewood</t>
  </si>
  <si>
    <t>OFF-PA-10002615</t>
  </si>
  <si>
    <t>Ampad Gold Fibre Wirebound Steno Books, 6" x 9", Gregg Ruled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</si>
  <si>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</si>
  <si>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</si>
  <si>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</si>
  <si>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</si>
  <si>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</si>
  <si>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</si>
  <si>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</si>
  <si>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CA-2016-130890</t>
  </si>
  <si>
    <t>02/11/2016</t>
  </si>
  <si>
    <t>06/11/2016</t>
  </si>
  <si>
    <t>JO-15280</t>
  </si>
  <si>
    <t>Jas O'Carroll</t>
  </si>
  <si>
    <t>FUR-TA-10002903</t>
  </si>
  <si>
    <t>Bevis Round Bullnose 29" High Table Top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</si>
  <si>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</si>
  <si>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</si>
  <si>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</si>
  <si>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</si>
  <si>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</si>
  <si>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</si>
  <si>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</si>
  <si>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</si>
  <si>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CA-2017-110772</t>
  </si>
  <si>
    <t>NZ-18565</t>
  </si>
  <si>
    <t>Nick Zandusky</t>
  </si>
  <si>
    <t>OFF-FA-10002983</t>
  </si>
  <si>
    <t>Advantus SlideClip Paper Clips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</si>
  <si>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</si>
  <si>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</si>
  <si>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</si>
  <si>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</si>
  <si>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</si>
  <si>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</si>
  <si>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CA-2017-142545</t>
  </si>
  <si>
    <t>JD-15895</t>
  </si>
  <si>
    <t>Jonathan Doherty</t>
  </si>
  <si>
    <t>Belleville</t>
  </si>
  <si>
    <t>OFF-PA-10002105</t>
  </si>
  <si>
    <t>Xerox 223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</si>
  <si>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</si>
  <si>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</si>
  <si>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</si>
  <si>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</si>
  <si>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</si>
  <si>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</si>
  <si>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</si>
  <si>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</si>
  <si>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</si>
  <si>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</si>
  <si>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</si>
  <si>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</si>
  <si>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</si>
  <si>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</si>
  <si>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</si>
  <si>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</si>
  <si>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</si>
  <si>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</si>
  <si>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</si>
  <si>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</si>
  <si>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</si>
  <si>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</si>
  <si>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</si>
  <si>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</si>
  <si>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</si>
  <si>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</si>
  <si>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</si>
  <si>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</si>
  <si>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</si>
  <si>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</si>
  <si>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</si>
  <si>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</si>
  <si>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</si>
  <si>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</si>
  <si>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</si>
  <si>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</si>
  <si>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</si>
  <si>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</si>
  <si>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</si>
  <si>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</si>
  <si>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</si>
  <si>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</si>
  <si>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</si>
  <si>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CA-2015-164259</t>
  </si>
  <si>
    <t>30/12/2015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</si>
  <si>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</si>
  <si>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</si>
  <si>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</si>
  <si>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</si>
  <si>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</si>
  <si>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</si>
  <si>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</si>
  <si>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</si>
  <si>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</si>
  <si>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</si>
  <si>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</si>
  <si>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</si>
  <si>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</si>
  <si>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</si>
  <si>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</si>
  <si>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</si>
  <si>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</si>
  <si>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</si>
  <si>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</si>
  <si>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</si>
  <si>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</si>
  <si>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</si>
  <si>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</si>
  <si>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</si>
  <si>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</si>
  <si>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</si>
  <si>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</si>
  <si>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</si>
  <si>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</si>
  <si>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</si>
  <si>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</si>
  <si>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</si>
  <si>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</si>
  <si>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</si>
  <si>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</si>
  <si>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</si>
  <si>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</si>
  <si>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</si>
  <si>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</si>
  <si>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</si>
  <si>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</si>
  <si>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</si>
  <si>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</si>
  <si>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</si>
  <si>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</si>
  <si>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</si>
  <si>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</si>
  <si>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</si>
  <si>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</si>
  <si>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</si>
  <si>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</si>
  <si>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</si>
  <si>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</si>
  <si>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</si>
  <si>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</si>
  <si>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</si>
  <si>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</si>
  <si>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</si>
  <si>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</si>
  <si>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</si>
  <si>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</si>
  <si>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</si>
  <si>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</si>
  <si>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</si>
  <si>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</si>
  <si>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</si>
  <si>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</si>
  <si>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</si>
  <si>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</si>
  <si>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</si>
  <si>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</si>
  <si>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</si>
  <si>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</si>
  <si>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</si>
  <si>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</si>
  <si>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</si>
  <si>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</si>
  <si>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</si>
  <si>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</si>
  <si>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</si>
  <si>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</si>
  <si>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</si>
  <si>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</si>
  <si>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</si>
  <si>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</si>
  <si>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</si>
  <si>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</si>
  <si>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</si>
  <si>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</si>
  <si>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</si>
  <si>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</si>
  <si>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</si>
  <si>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</si>
  <si>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</si>
  <si>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</si>
  <si>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</si>
  <si>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</si>
  <si>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</si>
  <si>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</si>
  <si>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</si>
  <si>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</si>
  <si>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</si>
  <si>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</si>
  <si>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</si>
  <si>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</si>
  <si>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</si>
  <si>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</si>
  <si>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</si>
  <si>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</si>
  <si>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</si>
  <si>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</si>
  <si>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</si>
  <si>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</si>
  <si>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</si>
  <si>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</si>
  <si>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</si>
  <si>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</si>
  <si>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</si>
  <si>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</si>
  <si>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</si>
  <si>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</si>
  <si>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</si>
  <si>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</si>
  <si>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</si>
  <si>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</si>
  <si>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</si>
  <si>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</si>
  <si>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</si>
  <si>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</si>
  <si>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</si>
  <si>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</si>
  <si>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</si>
  <si>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</si>
  <si>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</si>
  <si>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</si>
  <si>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</si>
  <si>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</si>
  <si>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</si>
  <si>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</si>
  <si>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</si>
  <si>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</si>
  <si>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</si>
  <si>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</si>
  <si>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</si>
  <si>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</si>
  <si>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</si>
  <si>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</si>
  <si>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</si>
  <si>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</si>
  <si>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CA-2016-125395</t>
  </si>
  <si>
    <t>26/06/2016</t>
  </si>
  <si>
    <t>29/06/2016</t>
  </si>
  <si>
    <t>LA-16780</t>
  </si>
  <si>
    <t>Laura Armstrong</t>
  </si>
  <si>
    <t>Taylor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</si>
  <si>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</si>
  <si>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</si>
  <si>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</si>
  <si>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</si>
  <si>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</si>
  <si>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</si>
  <si>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</si>
  <si>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</si>
  <si>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</si>
  <si>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</si>
  <si>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</si>
  <si>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</si>
  <si>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</si>
  <si>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</si>
  <si>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</si>
  <si>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</si>
  <si>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</si>
  <si>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CA-2015-115973</t>
  </si>
  <si>
    <t>26/11/2015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</si>
  <si>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</si>
  <si>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</si>
  <si>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</si>
  <si>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</si>
  <si>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</si>
  <si>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</si>
  <si>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</si>
  <si>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</si>
  <si>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</si>
  <si>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</si>
  <si>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</si>
  <si>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</si>
  <si>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</si>
  <si>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</si>
  <si>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</si>
  <si>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</si>
  <si>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</si>
  <si>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</si>
  <si>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</si>
  <si>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</si>
  <si>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</si>
  <si>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</si>
  <si>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</si>
  <si>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</si>
  <si>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</si>
  <si>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</si>
  <si>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</si>
  <si>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</si>
  <si>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</si>
  <si>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</si>
  <si>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</si>
  <si>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</si>
  <si>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</si>
  <si>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</si>
  <si>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</si>
  <si>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</si>
  <si>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</si>
  <si>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</si>
  <si>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</si>
  <si>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</si>
  <si>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</si>
  <si>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</si>
  <si>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</si>
  <si>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</si>
  <si>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</si>
  <si>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</si>
  <si>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</si>
  <si>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</si>
  <si>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</si>
  <si>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</si>
  <si>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</si>
  <si>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</si>
  <si>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</si>
  <si>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</si>
  <si>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</si>
  <si>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</si>
  <si>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</si>
  <si>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</si>
  <si>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</si>
  <si>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</si>
  <si>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</si>
  <si>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</si>
  <si>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</si>
  <si>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</si>
  <si>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</si>
  <si>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</si>
  <si>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</si>
  <si>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</si>
  <si>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Copiers</t>
  </si>
  <si>
    <t>Sharp AL-1530CS Digital Copier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</si>
  <si>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</si>
  <si>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</si>
  <si>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</si>
  <si>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</si>
  <si>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</si>
  <si>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</si>
  <si>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</si>
  <si>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</si>
  <si>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</si>
  <si>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</si>
  <si>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</si>
  <si>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</si>
  <si>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</si>
  <si>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</si>
  <si>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</si>
  <si>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</si>
  <si>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</si>
  <si>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</si>
  <si>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</si>
  <si>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</si>
  <si>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</si>
  <si>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</si>
  <si>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</si>
  <si>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</si>
  <si>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</si>
  <si>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</si>
  <si>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CA-2018-155705</t>
  </si>
  <si>
    <t>21/08/2018</t>
  </si>
  <si>
    <t>23/08/2018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</si>
  <si>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</si>
  <si>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</si>
  <si>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</si>
  <si>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</si>
  <si>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</si>
  <si>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</si>
  <si>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</si>
  <si>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</si>
  <si>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</si>
  <si>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</si>
  <si>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</si>
  <si>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</si>
  <si>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</si>
  <si>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</si>
  <si>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</si>
  <si>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</si>
  <si>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</si>
  <si>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</si>
  <si>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</si>
  <si>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</si>
  <si>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</si>
  <si>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</si>
  <si>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</si>
  <si>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</si>
  <si>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</si>
  <si>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</si>
  <si>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CA-2017-127369</t>
  </si>
  <si>
    <t>07/06/2017</t>
  </si>
  <si>
    <t>DB-13060</t>
  </si>
  <si>
    <t>Dave Brooks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</si>
  <si>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</si>
  <si>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</si>
  <si>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</si>
  <si>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</si>
  <si>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</si>
  <si>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</si>
  <si>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</si>
  <si>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</si>
  <si>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</si>
  <si>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</si>
  <si>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</si>
  <si>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</si>
  <si>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</si>
  <si>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</si>
  <si>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</si>
  <si>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</si>
  <si>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</si>
  <si>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</si>
  <si>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</si>
  <si>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</si>
  <si>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</si>
  <si>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</si>
  <si>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</si>
  <si>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</si>
  <si>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</si>
  <si>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</si>
  <si>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</si>
  <si>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</si>
  <si>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</si>
  <si>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</si>
  <si>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</si>
  <si>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</si>
  <si>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</si>
  <si>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</si>
  <si>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</si>
  <si>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</si>
  <si>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</si>
  <si>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</si>
  <si>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</si>
  <si>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</si>
  <si>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</si>
  <si>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</si>
  <si>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</si>
  <si>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</si>
  <si>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</si>
  <si>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</si>
  <si>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</si>
  <si>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</si>
  <si>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</si>
  <si>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</si>
  <si>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</si>
  <si>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</si>
  <si>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</si>
  <si>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</si>
  <si>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</si>
  <si>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</si>
  <si>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CA-2016-154144</t>
  </si>
  <si>
    <t>20/12/2016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</si>
  <si>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</si>
  <si>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</si>
  <si>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</si>
  <si>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</si>
  <si>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</si>
  <si>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</si>
  <si>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</si>
  <si>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</si>
  <si>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</si>
  <si>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</si>
  <si>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</si>
  <si>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</si>
  <si>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</si>
  <si>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</si>
  <si>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</si>
  <si>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</si>
  <si>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</si>
  <si>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</si>
  <si>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</si>
  <si>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</si>
  <si>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</si>
  <si>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</si>
  <si>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</si>
  <si>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</si>
  <si>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</si>
  <si>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</si>
  <si>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</si>
  <si>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</si>
  <si>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</si>
  <si>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</si>
  <si>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</si>
  <si>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</si>
  <si>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</si>
  <si>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</si>
  <si>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</si>
  <si>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</si>
  <si>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</si>
  <si>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</si>
  <si>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</si>
  <si>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</si>
  <si>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</si>
  <si>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</si>
  <si>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</si>
  <si>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</si>
  <si>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</si>
  <si>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</si>
  <si>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</si>
  <si>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</si>
  <si>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</si>
  <si>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</si>
  <si>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</si>
  <si>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CA-2015-113362</t>
  </si>
  <si>
    <t>AJ-10960</t>
  </si>
  <si>
    <t>Astrea Jones</t>
  </si>
  <si>
    <t>OFF-ST-10001809</t>
  </si>
  <si>
    <t>Fellowes Officeware Wire Shelving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</si>
  <si>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</si>
  <si>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</si>
  <si>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</si>
  <si>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</si>
  <si>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</si>
  <si>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</si>
  <si>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</si>
  <si>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</si>
  <si>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</si>
  <si>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</si>
  <si>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</si>
  <si>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</si>
  <si>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</si>
  <si>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</si>
  <si>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</si>
  <si>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</si>
  <si>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</si>
  <si>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</si>
  <si>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</si>
  <si>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</si>
  <si>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</si>
  <si>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</si>
  <si>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</si>
  <si>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</si>
  <si>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</si>
  <si>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</si>
  <si>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</si>
  <si>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</si>
  <si>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</si>
  <si>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</si>
  <si>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</si>
  <si>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</si>
  <si>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</si>
  <si>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</si>
  <si>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</si>
  <si>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</si>
  <si>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CA-2018-135307</t>
  </si>
  <si>
    <t>26/11/2018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</si>
  <si>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</si>
  <si>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</si>
  <si>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</si>
  <si>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</si>
  <si>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</si>
  <si>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</si>
  <si>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CA-2018-163405</t>
  </si>
  <si>
    <t>BN-11515</t>
  </si>
  <si>
    <t>Bradley Nguyen</t>
  </si>
  <si>
    <t>OFF-AR-10003811</t>
  </si>
  <si>
    <t>Newell 327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</si>
  <si>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</si>
  <si>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</si>
  <si>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</si>
  <si>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</si>
  <si>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</si>
  <si>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</si>
  <si>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CA-2016-158792</t>
  </si>
  <si>
    <t>26/12/2016</t>
  </si>
  <si>
    <t>02/01/2017</t>
  </si>
  <si>
    <t>BD-11605</t>
  </si>
  <si>
    <t>Brian Dahlen</t>
  </si>
  <si>
    <t>OFF-FA-10002815</t>
  </si>
  <si>
    <t>Staples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</si>
  <si>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</si>
  <si>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</si>
  <si>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</si>
  <si>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</si>
  <si>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</si>
  <si>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</si>
  <si>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</si>
  <si>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</si>
  <si>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07/09/2016</t>
  </si>
  <si>
    <t>MG-18145</t>
  </si>
  <si>
    <t>Mike Gockenbach</t>
  </si>
  <si>
    <t>OFF-ST-10004963</t>
  </si>
  <si>
    <t>Eldon Gobal File Keepers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</si>
  <si>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</si>
  <si>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</si>
  <si>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</si>
  <si>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</si>
  <si>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</si>
  <si>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</si>
  <si>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</si>
  <si>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</si>
  <si>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</si>
  <si>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</si>
  <si>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</si>
  <si>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</si>
  <si>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</si>
  <si>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</si>
  <si>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</si>
  <si>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</si>
  <si>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</si>
  <si>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</si>
  <si>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</si>
  <si>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</si>
  <si>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</si>
  <si>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</si>
  <si>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</si>
  <si>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</si>
  <si>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</si>
  <si>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</si>
  <si>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</si>
  <si>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</si>
  <si>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</si>
  <si>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</si>
  <si>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</si>
  <si>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</si>
  <si>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</si>
  <si>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</si>
  <si>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</si>
  <si>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</si>
  <si>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</si>
  <si>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</si>
  <si>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</si>
  <si>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</si>
  <si>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</si>
  <si>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</si>
  <si>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</si>
  <si>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</si>
  <si>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</si>
  <si>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</si>
  <si>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</si>
  <si>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</si>
  <si>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</si>
  <si>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</si>
  <si>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CA-2018-162929</t>
  </si>
  <si>
    <t>19/11/2018</t>
  </si>
  <si>
    <t>22/11/2018</t>
  </si>
  <si>
    <t>AS-10135</t>
  </si>
  <si>
    <t>Adrian Shami</t>
  </si>
  <si>
    <t>OFF-BI-10000404</t>
  </si>
  <si>
    <t>Avery Printable Repositionable Plastic Tabs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</si>
  <si>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</si>
  <si>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</si>
  <si>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</si>
  <si>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</si>
  <si>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</si>
  <si>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</si>
  <si>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CA-2018-101945</t>
  </si>
  <si>
    <t>24/11/2018</t>
  </si>
  <si>
    <t>GT-14710</t>
  </si>
  <si>
    <t>Greg Tran</t>
  </si>
  <si>
    <t>OFF-FA-10004248</t>
  </si>
  <si>
    <t>Advantus T-Pin Paper Clips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</si>
  <si>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</si>
  <si>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</si>
  <si>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</si>
  <si>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</si>
  <si>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</si>
  <si>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</si>
  <si>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</si>
  <si>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</si>
  <si>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</si>
  <si>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</si>
  <si>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</si>
  <si>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</si>
  <si>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</si>
  <si>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</si>
  <si>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</si>
  <si>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</si>
  <si>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</si>
  <si>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</si>
  <si>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</si>
  <si>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</si>
  <si>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</si>
  <si>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</si>
  <si>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</si>
  <si>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Tampa</t>
  </si>
  <si>
    <t>OFF-AP-10003914</t>
  </si>
  <si>
    <t>Sanitaire Vibra Groomer IR Commercial Upright Vacuum, Replacement Belts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</si>
  <si>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</si>
  <si>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</si>
  <si>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</si>
  <si>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</si>
  <si>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</si>
  <si>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</si>
  <si>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</si>
  <si>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</si>
  <si>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</si>
  <si>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</si>
  <si>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</si>
  <si>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</si>
  <si>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</si>
  <si>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</si>
  <si>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</si>
  <si>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</si>
  <si>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</si>
  <si>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</si>
  <si>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</si>
  <si>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</si>
  <si>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</si>
  <si>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</si>
  <si>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</si>
  <si>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</si>
  <si>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</si>
  <si>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</si>
  <si>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</si>
  <si>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</si>
  <si>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</si>
  <si>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</si>
  <si>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</si>
  <si>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</si>
  <si>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</si>
  <si>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</si>
  <si>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</si>
  <si>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</si>
  <si>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</si>
  <si>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</si>
  <si>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</si>
  <si>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</si>
  <si>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</si>
  <si>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</si>
  <si>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</si>
  <si>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</si>
  <si>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</si>
  <si>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</si>
  <si>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</si>
  <si>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</si>
  <si>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</si>
  <si>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Supplies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</si>
  <si>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</si>
  <si>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</si>
  <si>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</si>
  <si>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</si>
  <si>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</si>
  <si>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</si>
  <si>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</si>
  <si>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CA-2016-128139</t>
  </si>
  <si>
    <t>03/07/2016</t>
  </si>
  <si>
    <t>09/07/2016</t>
  </si>
  <si>
    <t>BD-11725</t>
  </si>
  <si>
    <t>Bruce Degenhardt</t>
  </si>
  <si>
    <t>Richmond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</si>
  <si>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</si>
  <si>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</si>
  <si>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</si>
  <si>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</si>
  <si>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</si>
  <si>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</si>
  <si>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</si>
  <si>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</si>
  <si>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</si>
  <si>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</si>
  <si>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</si>
  <si>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</si>
  <si>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</si>
  <si>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</si>
  <si>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</si>
  <si>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</si>
  <si>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</si>
  <si>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</si>
  <si>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</si>
  <si>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</si>
  <si>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</si>
  <si>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</si>
  <si>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</si>
  <si>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</si>
  <si>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</si>
  <si>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CA-2017-120180</t>
  </si>
  <si>
    <t>14/07/2017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</si>
  <si>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</si>
  <si>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</si>
  <si>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</si>
  <si>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</si>
  <si>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</si>
  <si>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</si>
  <si>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</si>
  <si>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</si>
  <si>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</si>
  <si>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</si>
  <si>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</si>
  <si>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</si>
  <si>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</si>
  <si>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</si>
  <si>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</si>
  <si>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</si>
  <si>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</si>
  <si>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</si>
  <si>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</si>
  <si>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</si>
  <si>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</si>
  <si>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</si>
  <si>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</si>
  <si>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</si>
  <si>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CA-2017-161816</t>
  </si>
  <si>
    <t>28/04/2017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</si>
  <si>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</si>
  <si>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</si>
  <si>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</si>
  <si>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</si>
  <si>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</si>
  <si>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</si>
  <si>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</si>
  <si>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</si>
  <si>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</si>
  <si>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</si>
  <si>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</si>
  <si>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</si>
  <si>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</si>
  <si>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</si>
  <si>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</si>
  <si>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</si>
  <si>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</si>
  <si>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</si>
  <si>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</si>
  <si>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</si>
  <si>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</si>
  <si>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</si>
  <si>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</si>
  <si>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</si>
  <si>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</si>
  <si>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</si>
  <si>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</si>
  <si>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</si>
  <si>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</si>
  <si>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</si>
  <si>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</si>
  <si>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</si>
  <si>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</si>
  <si>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</si>
  <si>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</si>
  <si>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</si>
  <si>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</si>
  <si>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</si>
  <si>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</si>
  <si>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</si>
  <si>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</si>
  <si>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</si>
  <si>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</si>
  <si>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</si>
  <si>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</si>
  <si>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</si>
  <si>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</si>
  <si>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</si>
  <si>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</si>
  <si>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</si>
  <si>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US-2017-135720</t>
  </si>
  <si>
    <t>FM-14380</t>
  </si>
  <si>
    <t>Fred McMath</t>
  </si>
  <si>
    <t>OFF-ST-10001963</t>
  </si>
  <si>
    <t>Tennsco Regal Shelving Units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</si>
  <si>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</si>
  <si>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</si>
  <si>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</si>
  <si>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</si>
  <si>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</si>
  <si>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</si>
  <si>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</si>
  <si>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</si>
  <si>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</si>
  <si>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</si>
  <si>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</si>
  <si>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</si>
  <si>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</si>
  <si>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</si>
  <si>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</si>
  <si>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</si>
  <si>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</si>
  <si>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</si>
  <si>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</si>
  <si>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</si>
  <si>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</si>
  <si>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</si>
  <si>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</si>
  <si>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</si>
  <si>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</si>
  <si>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</si>
  <si>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</si>
  <si>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</si>
  <si>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</si>
  <si>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</si>
  <si>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</si>
  <si>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</si>
  <si>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</si>
  <si>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</si>
  <si>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</si>
  <si>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CA-2017-160745</t>
  </si>
  <si>
    <t>16/12/2017</t>
  </si>
  <si>
    <t>AR-10825</t>
  </si>
  <si>
    <t>Anthony Rawles</t>
  </si>
  <si>
    <t>Vancouver</t>
  </si>
  <si>
    <t>TEC-AC-10001142</t>
  </si>
  <si>
    <t>First Data FD10 PIN Pad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</si>
  <si>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</si>
  <si>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</si>
  <si>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</si>
  <si>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</si>
  <si>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</si>
  <si>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</si>
  <si>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</si>
  <si>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CA-2018-132682</t>
  </si>
  <si>
    <t>TH-21235</t>
  </si>
  <si>
    <t>Tiffany House</t>
  </si>
  <si>
    <t>OFF-SU-10004231</t>
  </si>
  <si>
    <t>Acme Tagit Stainless Steel Antibacterial Scissors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</si>
  <si>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</si>
  <si>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</si>
  <si>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</si>
  <si>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</si>
  <si>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</si>
  <si>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</si>
  <si>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CA-2018-130351</t>
  </si>
  <si>
    <t>RB-19570</t>
  </si>
  <si>
    <t>Rob Beeghly</t>
  </si>
  <si>
    <t>OFF-AP-10004532</t>
  </si>
  <si>
    <t>Kensington 6 Outlet Guardian Standard Surge Protector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</si>
  <si>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</si>
  <si>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</si>
  <si>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</si>
  <si>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</si>
  <si>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</si>
  <si>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</si>
  <si>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</si>
  <si>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</si>
  <si>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CA-2017-164511</t>
  </si>
  <si>
    <t>19/11/2017</t>
  </si>
  <si>
    <t>DJ-13630</t>
  </si>
  <si>
    <t>Doug Jacobs</t>
  </si>
  <si>
    <t>OFF-BI-10003305</t>
  </si>
  <si>
    <t>Avery Hanging File Binders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</si>
  <si>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</si>
  <si>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</si>
  <si>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</si>
  <si>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</si>
  <si>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</si>
  <si>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</si>
  <si>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</si>
  <si>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</si>
  <si>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</si>
  <si>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</si>
  <si>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</si>
  <si>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</si>
  <si>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</si>
  <si>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</si>
  <si>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</si>
  <si>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</si>
  <si>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</si>
  <si>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</si>
  <si>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</si>
  <si>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</si>
  <si>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</si>
  <si>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</si>
  <si>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</si>
  <si>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</si>
  <si>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</si>
  <si>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</si>
  <si>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</si>
  <si>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</si>
  <si>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</si>
  <si>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</si>
  <si>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</si>
  <si>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</si>
  <si>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</si>
  <si>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</si>
  <si>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</si>
  <si>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</si>
  <si>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</si>
  <si>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</si>
  <si>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</si>
  <si>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</si>
  <si>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</si>
  <si>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</si>
  <si>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</si>
  <si>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</si>
  <si>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</si>
  <si>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</si>
  <si>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</si>
  <si>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</si>
  <si>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</si>
  <si>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</si>
  <si>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</si>
  <si>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</si>
  <si>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</si>
  <si>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</si>
  <si>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</si>
  <si>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</si>
  <si>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</si>
  <si>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</si>
  <si>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</si>
  <si>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</si>
  <si>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</si>
  <si>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</si>
  <si>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</si>
  <si>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</si>
  <si>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</si>
  <si>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</si>
  <si>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</si>
  <si>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</si>
  <si>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</si>
  <si>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</si>
  <si>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</si>
  <si>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</si>
  <si>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</si>
  <si>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</si>
  <si>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</si>
  <si>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</si>
  <si>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</si>
  <si>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</si>
  <si>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</si>
  <si>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</si>
  <si>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</si>
  <si>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</si>
  <si>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</si>
  <si>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</si>
  <si>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</si>
  <si>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</si>
  <si>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</si>
  <si>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</si>
  <si>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</si>
  <si>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</si>
  <si>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</si>
  <si>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12/07/2017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</si>
  <si>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</si>
  <si>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</si>
  <si>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</si>
  <si>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</si>
  <si>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</si>
  <si>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</si>
  <si>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</si>
  <si>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</si>
  <si>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</si>
  <si>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Austin</t>
  </si>
  <si>
    <t>OFF-EN-10001141</t>
  </si>
  <si>
    <t>Manila Recycled Extra-Heavyweight Clasp Envelopes, 6" x 9"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</si>
  <si>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</si>
  <si>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</si>
  <si>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</si>
  <si>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</si>
  <si>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</si>
  <si>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</si>
  <si>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</si>
  <si>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</si>
  <si>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CA-2018-131954</t>
  </si>
  <si>
    <t>21/01/2018</t>
  </si>
  <si>
    <t>25/01/2018</t>
  </si>
  <si>
    <t>DS-13030</t>
  </si>
  <si>
    <t>Darrin Sayre</t>
  </si>
  <si>
    <t>TEC-AC-10003610</t>
  </si>
  <si>
    <t>Logitech Illuminated - Keyboard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</si>
  <si>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</si>
  <si>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</si>
  <si>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</si>
  <si>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</si>
  <si>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</si>
  <si>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</si>
  <si>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</si>
  <si>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US-2017-146710</t>
  </si>
  <si>
    <t>27/08/2017</t>
  </si>
  <si>
    <t>SS-20875</t>
  </si>
  <si>
    <t>Sung Shariari</t>
  </si>
  <si>
    <t>OFF-PA-10004971</t>
  </si>
  <si>
    <t>Xerox 196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</si>
  <si>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</si>
  <si>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</si>
  <si>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</si>
  <si>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</si>
  <si>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</si>
  <si>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</si>
  <si>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</si>
  <si>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</si>
  <si>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</si>
  <si>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</si>
  <si>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</si>
  <si>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</si>
  <si>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</si>
  <si>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</si>
  <si>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</si>
  <si>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</si>
  <si>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</si>
  <si>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</si>
  <si>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</si>
  <si>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</si>
  <si>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</si>
  <si>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</si>
  <si>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</si>
  <si>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</si>
  <si>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</si>
  <si>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</si>
  <si>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</si>
  <si>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</si>
  <si>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</si>
  <si>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</si>
  <si>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</si>
  <si>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</si>
  <si>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</si>
  <si>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</si>
  <si>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</si>
  <si>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</si>
  <si>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</si>
  <si>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</si>
  <si>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</si>
  <si>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</si>
  <si>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</si>
  <si>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</si>
  <si>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CA-2015-165974</t>
  </si>
  <si>
    <t>29/06/2015</t>
  </si>
  <si>
    <t>06/07/2015</t>
  </si>
  <si>
    <t>DL-12865</t>
  </si>
  <si>
    <t>Dan Lawera</t>
  </si>
  <si>
    <t>OFF-AR-10003405</t>
  </si>
  <si>
    <t>Dixon My First Ticonderoga Pencil, #2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</si>
  <si>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</si>
  <si>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</si>
  <si>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</si>
  <si>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</si>
  <si>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</si>
  <si>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</si>
  <si>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</si>
  <si>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CA-2016-154620</t>
  </si>
  <si>
    <t>12/12/2016</t>
  </si>
  <si>
    <t>16/12/2016</t>
  </si>
  <si>
    <t>LT-17110</t>
  </si>
  <si>
    <t>Liz Thompson</t>
  </si>
  <si>
    <t>Lancaster</t>
  </si>
  <si>
    <t>FUR-CH-10004675</t>
  </si>
  <si>
    <t>Lifetime Advantage Folding Chairs, 4/Carton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</si>
  <si>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</si>
  <si>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</si>
  <si>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</si>
  <si>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</si>
  <si>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</si>
  <si>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</si>
  <si>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</si>
  <si>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</si>
  <si>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</si>
  <si>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</si>
  <si>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</si>
  <si>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</si>
  <si>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</si>
  <si>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</si>
  <si>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</si>
  <si>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</si>
  <si>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</si>
  <si>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</si>
  <si>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</si>
  <si>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</si>
  <si>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</si>
  <si>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</si>
  <si>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</si>
  <si>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</si>
  <si>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</si>
  <si>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</si>
  <si>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</si>
  <si>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</si>
  <si>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</si>
  <si>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</si>
  <si>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</si>
  <si>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</si>
  <si>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</si>
  <si>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</si>
  <si>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</si>
  <si>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</si>
  <si>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</si>
  <si>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</si>
  <si>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</si>
  <si>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</si>
  <si>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</si>
  <si>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</si>
  <si>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</si>
  <si>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</si>
  <si>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</si>
  <si>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</si>
  <si>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</si>
  <si>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</si>
  <si>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</si>
  <si>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</si>
  <si>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</si>
  <si>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</si>
  <si>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</si>
  <si>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US-2015-115987</t>
  </si>
  <si>
    <t>LH-17020</t>
  </si>
  <si>
    <t>Lisa Hazard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</si>
  <si>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</si>
  <si>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</si>
  <si>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</si>
  <si>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</si>
  <si>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</si>
  <si>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</si>
  <si>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</si>
  <si>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</si>
  <si>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</si>
  <si>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</si>
  <si>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</si>
  <si>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</si>
  <si>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</si>
  <si>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</si>
  <si>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CA-2017-161669</t>
  </si>
  <si>
    <t>09/11/2017</t>
  </si>
  <si>
    <t>EM-14095</t>
  </si>
  <si>
    <t>Eudokia Martin</t>
  </si>
  <si>
    <t>OFF-BI-10001294</t>
  </si>
  <si>
    <t>Fellowes Binding Cases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</si>
  <si>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</si>
  <si>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</si>
  <si>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</si>
  <si>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</si>
  <si>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</si>
  <si>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</si>
  <si>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</si>
  <si>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</si>
  <si>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</si>
  <si>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</si>
  <si>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</si>
  <si>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</si>
  <si>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</si>
  <si>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</si>
  <si>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</si>
  <si>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</si>
  <si>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</si>
  <si>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</si>
  <si>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</si>
  <si>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</si>
  <si>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</si>
  <si>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CA-2015-125612</t>
  </si>
  <si>
    <t>BK-11260</t>
  </si>
  <si>
    <t>Berenike Kampe</t>
  </si>
  <si>
    <t>OFF-PA-10001019</t>
  </si>
  <si>
    <t>Xerox 1884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</si>
  <si>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</si>
  <si>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</si>
  <si>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</si>
  <si>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</si>
  <si>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</si>
  <si>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</si>
  <si>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CA-2015-149020</t>
  </si>
  <si>
    <t>10/01/2015</t>
  </si>
  <si>
    <t>AJ-10780</t>
  </si>
  <si>
    <t>Anthony Jacobs</t>
  </si>
  <si>
    <t>OFF-LA-10004272</t>
  </si>
  <si>
    <t>Avery 482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</si>
  <si>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</si>
  <si>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</si>
  <si>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</si>
  <si>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</si>
  <si>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</si>
  <si>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</si>
  <si>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</si>
  <si>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</si>
  <si>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</si>
  <si>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</si>
  <si>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</si>
  <si>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</si>
  <si>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</si>
  <si>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</si>
  <si>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</si>
  <si>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05/09/2017</t>
  </si>
  <si>
    <t>PK-18910</t>
  </si>
  <si>
    <t>Paul Knutson</t>
  </si>
  <si>
    <t>OFF-BI-10000545</t>
  </si>
  <si>
    <t>GBC Ibimaster 500 Manual ProClick Binding System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</si>
  <si>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</si>
  <si>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</si>
  <si>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</si>
  <si>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</si>
  <si>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</si>
  <si>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</si>
  <si>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</si>
  <si>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</si>
  <si>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</si>
  <si>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</si>
  <si>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</si>
  <si>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</si>
  <si>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</si>
  <si>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</si>
  <si>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</si>
  <si>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</si>
  <si>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</si>
  <si>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</si>
  <si>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CA-2018-132934</t>
  </si>
  <si>
    <t>26/06/2018</t>
  </si>
  <si>
    <t>JE-15475</t>
  </si>
  <si>
    <t>Jeremy Ellison</t>
  </si>
  <si>
    <t>TEC-AC-10000927</t>
  </si>
  <si>
    <t>Anker Ultrathin Bluetooth Wireless Keyboard Aluminum Cover with Stand</t>
  </si>
  <si>
    <t>CA-2018-133256</t>
  </si>
  <si>
    <t>TH-21550</t>
  </si>
  <si>
    <t>Tracy Hopkins</t>
  </si>
  <si>
    <t>OFF-PA-10001622</t>
  </si>
  <si>
    <t>Ampad Poly Cover Wirebound Steno Book, 6" x 9" Assorted Colors, Gregg Ruled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</si>
  <si>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</si>
  <si>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</si>
  <si>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</si>
  <si>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</si>
  <si>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</si>
  <si>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</si>
  <si>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</si>
  <si>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</si>
  <si>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</si>
  <si>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</si>
  <si>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</si>
  <si>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</si>
  <si>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</si>
  <si>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</si>
  <si>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</si>
  <si>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</si>
  <si>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</si>
  <si>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</si>
  <si>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</si>
  <si>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</si>
  <si>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</si>
  <si>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</si>
  <si>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</si>
  <si>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</si>
  <si>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</si>
  <si>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CA-2018-137596</t>
  </si>
  <si>
    <t>02/09/2018</t>
  </si>
  <si>
    <t>BE-11335</t>
  </si>
  <si>
    <t>Bill Eplett</t>
  </si>
  <si>
    <t>TEC-PH-10001494</t>
  </si>
  <si>
    <t>Polycom CX600 IP Phone VoIP phone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</si>
  <si>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</si>
  <si>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</si>
  <si>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</si>
  <si>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</si>
  <si>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</si>
  <si>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</si>
  <si>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</si>
  <si>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</si>
  <si>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</si>
  <si>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</si>
  <si>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</si>
  <si>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</si>
  <si>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</si>
  <si>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CA-2015-132962</t>
  </si>
  <si>
    <t>16/09/2015</t>
  </si>
  <si>
    <t>JM-15535</t>
  </si>
  <si>
    <t>Jessica Myrick</t>
  </si>
  <si>
    <t>OFF-PA-10003543</t>
  </si>
  <si>
    <t>Xerox 1985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</si>
  <si>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</si>
  <si>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</si>
  <si>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</si>
  <si>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</si>
  <si>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</si>
  <si>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</si>
  <si>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</si>
  <si>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</si>
  <si>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</si>
  <si>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</si>
  <si>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</si>
  <si>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</si>
  <si>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</si>
  <si>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</si>
  <si>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</si>
  <si>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</si>
  <si>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</si>
  <si>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</si>
  <si>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</si>
  <si>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</si>
  <si>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</si>
  <si>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</si>
  <si>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</si>
  <si>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</si>
  <si>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</si>
  <si>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</si>
  <si>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CA-2018-131156</t>
  </si>
  <si>
    <t>03/04/2018</t>
  </si>
  <si>
    <t>07/04/2018</t>
  </si>
  <si>
    <t>KH-16360</t>
  </si>
  <si>
    <t>Katherine Hughes</t>
  </si>
  <si>
    <t>FUR-FU-10001940</t>
  </si>
  <si>
    <t>Staple-based wall hangings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</si>
  <si>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</si>
  <si>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</si>
  <si>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</si>
  <si>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</si>
  <si>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</si>
  <si>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</si>
  <si>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</si>
  <si>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CA-2016-112571</t>
  </si>
  <si>
    <t>DL-12925</t>
  </si>
  <si>
    <t>Daniel Lacy</t>
  </si>
  <si>
    <t>FUR-FU-10004188</t>
  </si>
  <si>
    <t>Luxo Professional Combination Clamp-On Lamps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</si>
  <si>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</si>
  <si>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</si>
  <si>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</si>
  <si>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</si>
  <si>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</si>
  <si>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</si>
  <si>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CA-2015-127488</t>
  </si>
  <si>
    <t>22/09/2015</t>
  </si>
  <si>
    <t>MS-17365</t>
  </si>
  <si>
    <t>Maribeth Schnelling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</si>
  <si>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</si>
  <si>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</si>
  <si>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</si>
  <si>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</si>
  <si>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</si>
  <si>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</si>
  <si>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</si>
  <si>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</si>
  <si>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</si>
  <si>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</si>
  <si>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CA-2015-163419</t>
  </si>
  <si>
    <t>14/11/2015</t>
  </si>
  <si>
    <t>TZ-21580</t>
  </si>
  <si>
    <t>Tracy Zic</t>
  </si>
  <si>
    <t>Louisville</t>
  </si>
  <si>
    <t>OFF-AR-10000034</t>
  </si>
  <si>
    <t>BIC Brite Liner Grip Highlighters, Assorted, 5/Pack</t>
  </si>
  <si>
    <t>CA-2018-100314</t>
  </si>
  <si>
    <t>29/09/2018</t>
  </si>
  <si>
    <t>05/10/2018</t>
  </si>
  <si>
    <t>AS-10630</t>
  </si>
  <si>
    <t>Ann Steele</t>
  </si>
  <si>
    <t>OFF-EN-10000461</t>
  </si>
  <si>
    <t>#10- 4 1/8" x 9 1/2" Recycled Envelopes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</si>
  <si>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</si>
  <si>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</si>
  <si>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</si>
  <si>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</si>
  <si>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</si>
  <si>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</si>
  <si>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</si>
  <si>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</si>
  <si>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</si>
  <si>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</si>
  <si>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</si>
  <si>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</si>
  <si>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</si>
  <si>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</si>
  <si>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</si>
  <si>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</si>
  <si>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</si>
  <si>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</si>
  <si>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</si>
  <si>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</si>
  <si>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</si>
  <si>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CA-2016-124891</t>
  </si>
  <si>
    <t>RH-19495</t>
  </si>
  <si>
    <t>Rick Hansen</t>
  </si>
  <si>
    <t>TEC-AC-10003033</t>
  </si>
  <si>
    <t>Plantronics CS510 - Over-the-Head monaural Wireless Headset System</t>
  </si>
  <si>
    <t>CA-2016-126445</t>
  </si>
  <si>
    <t>27/08/2016</t>
  </si>
  <si>
    <t>31/08/2016</t>
  </si>
  <si>
    <t>RA-19945</t>
  </si>
  <si>
    <t>Ryan Akin</t>
  </si>
  <si>
    <t>Murrieta</t>
  </si>
  <si>
    <t>OFF-ST-10000046</t>
  </si>
  <si>
    <t>Fellowes Super Stor/Drawer Files</t>
  </si>
  <si>
    <t>CA-2016-105312</t>
  </si>
  <si>
    <t>MT-17815</t>
  </si>
  <si>
    <t>Meg Tillman</t>
  </si>
  <si>
    <t>OFF-BI-10002049</t>
  </si>
  <si>
    <t>UniKeep View Case Binders</t>
  </si>
  <si>
    <t>CA-2015-158540</t>
  </si>
  <si>
    <t>VG-21790</t>
  </si>
  <si>
    <t>Vivek Gonzalez</t>
  </si>
  <si>
    <t>FUR-FU-10001602</t>
  </si>
  <si>
    <t>Eldon Delta Triangular Chair Mat, 52" x 58", Clear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</si>
  <si>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</si>
  <si>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</si>
  <si>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</si>
  <si>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</si>
  <si>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</si>
  <si>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</si>
  <si>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</si>
  <si>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</si>
  <si>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</si>
  <si>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</si>
  <si>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</si>
  <si>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</si>
  <si>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</si>
  <si>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</si>
  <si>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</si>
  <si>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</si>
  <si>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</si>
  <si>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</si>
  <si>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</si>
  <si>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</si>
  <si>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</si>
  <si>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</si>
  <si>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</si>
  <si>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</si>
  <si>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</si>
  <si>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</si>
  <si>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</si>
  <si>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</si>
  <si>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</si>
  <si>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</si>
  <si>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</si>
  <si>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</si>
  <si>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</si>
  <si>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</si>
  <si>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EL-13735</t>
  </si>
  <si>
    <t>Ed Ludwig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</si>
  <si>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</si>
  <si>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</si>
  <si>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</si>
  <si>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</si>
  <si>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</si>
  <si>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</si>
  <si>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</si>
  <si>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</si>
  <si>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</si>
  <si>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</si>
  <si>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</si>
  <si>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</si>
  <si>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</si>
  <si>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</si>
  <si>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</si>
  <si>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</si>
  <si>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CA-2017-102981</t>
  </si>
  <si>
    <t>09/09/2017</t>
  </si>
  <si>
    <t>MO-17500</t>
  </si>
  <si>
    <t>Mary O'Rourke</t>
  </si>
  <si>
    <t>TEC-AC-10004761</t>
  </si>
  <si>
    <t>Maxell 4.7GB DVD+RW 3/Pack</t>
  </si>
  <si>
    <t>CA-2018-115651</t>
  </si>
  <si>
    <t>09/07/2018</t>
  </si>
  <si>
    <t>NS-18640</t>
  </si>
  <si>
    <t>Noel Staavos</t>
  </si>
  <si>
    <t>OFF-AR-10001130</t>
  </si>
  <si>
    <t>Quartet Alpha White Chalk, 12/Pack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</si>
  <si>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</si>
  <si>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</si>
  <si>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</si>
  <si>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</si>
  <si>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</si>
  <si>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</si>
  <si>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</si>
  <si>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</si>
  <si>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</si>
  <si>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</si>
  <si>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</si>
  <si>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</si>
  <si>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</si>
  <si>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CA-2017-105284</t>
  </si>
  <si>
    <t>MG-17650</t>
  </si>
  <si>
    <t>Matthew Grinstein</t>
  </si>
  <si>
    <t>OFF-FA-10001754</t>
  </si>
  <si>
    <t>Stockwell Gold Paper Clips</t>
  </si>
  <si>
    <t>CA-2016-161263</t>
  </si>
  <si>
    <t>16/04/2016</t>
  </si>
  <si>
    <t>21/04/2016</t>
  </si>
  <si>
    <t>TS-21160</t>
  </si>
  <si>
    <t>Theresa Swint</t>
  </si>
  <si>
    <t>Toledo</t>
  </si>
  <si>
    <t>OFF-FA-10004838</t>
  </si>
  <si>
    <t>Super Bands, 12/Pack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</si>
  <si>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</si>
  <si>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</si>
  <si>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</si>
  <si>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</si>
  <si>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</si>
  <si>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</si>
  <si>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</si>
  <si>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</si>
  <si>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</si>
  <si>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</si>
  <si>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</si>
  <si>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</si>
  <si>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</si>
  <si>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</si>
  <si>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</si>
  <si>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</si>
  <si>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</si>
  <si>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</si>
  <si>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</si>
  <si>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</si>
  <si>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</si>
  <si>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</si>
  <si>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</si>
  <si>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</si>
  <si>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</si>
  <si>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</si>
  <si>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</si>
  <si>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</si>
  <si>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</si>
  <si>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</si>
  <si>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</si>
  <si>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</si>
  <si>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</si>
  <si>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LW-16990</t>
  </si>
  <si>
    <t>Lindsay Williams</t>
  </si>
  <si>
    <t>TEC-PH-10001819</t>
  </si>
  <si>
    <t>Innergie mMini Combo Duo USB Travel Charging Kit</t>
  </si>
  <si>
    <t>CA-2016-165085</t>
  </si>
  <si>
    <t>BT-11485</t>
  </si>
  <si>
    <t>Brad Thomas</t>
  </si>
  <si>
    <t>Clinton</t>
  </si>
  <si>
    <t>Maryland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</si>
  <si>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</si>
  <si>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</si>
  <si>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</si>
  <si>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</si>
  <si>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</si>
  <si>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</si>
  <si>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</si>
  <si>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</si>
  <si>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CA-2017-107216</t>
  </si>
  <si>
    <t>PV-18985</t>
  </si>
  <si>
    <t>Paul Van Hugh</t>
  </si>
  <si>
    <t>OFF-AR-10001545</t>
  </si>
  <si>
    <t>Newell 326</t>
  </si>
  <si>
    <t>CA-2017-112340</t>
  </si>
  <si>
    <t>27/10/2017</t>
  </si>
  <si>
    <t>NM-18520</t>
  </si>
  <si>
    <t>Neoma Murray</t>
  </si>
  <si>
    <t>OFF-PA-10001892</t>
  </si>
  <si>
    <t>Rediform Wirebound "Phone Memo" Message Book, 11 x 5-3/4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</si>
  <si>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</si>
  <si>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</si>
  <si>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</si>
  <si>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</si>
  <si>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</si>
  <si>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</si>
  <si>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US-2017-134908</t>
  </si>
  <si>
    <t>05/06/2017</t>
  </si>
  <si>
    <t>JS-15940</t>
  </si>
  <si>
    <t>Joni Sundaresam</t>
  </si>
  <si>
    <t>OFF-LA-10000973</t>
  </si>
  <si>
    <t>Avery 502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</si>
  <si>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</si>
  <si>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</si>
  <si>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</si>
  <si>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</si>
  <si>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</si>
  <si>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</si>
  <si>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</si>
  <si>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</si>
  <si>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</si>
  <si>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</si>
  <si>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</si>
  <si>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</si>
  <si>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</si>
  <si>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CA-2015-127964</t>
  </si>
  <si>
    <t>08/03/2015</t>
  </si>
  <si>
    <t>AP-10720</t>
  </si>
  <si>
    <t>Anne Pryor</t>
  </si>
  <si>
    <t>TEC-PH-10004700</t>
  </si>
  <si>
    <t>PowerGen Dual USB Car Charger</t>
  </si>
  <si>
    <t>US-2015-100279</t>
  </si>
  <si>
    <t>10/03/2015</t>
  </si>
  <si>
    <t>14/03/2015</t>
  </si>
  <si>
    <t>SW-20275</t>
  </si>
  <si>
    <t>Scott Williamson</t>
  </si>
  <si>
    <t>Royal Oak</t>
  </si>
  <si>
    <t>OFF-PA-10002259</t>
  </si>
  <si>
    <t>Geographics Note Cards, Blank, White, 8 1/2" x 11"</t>
  </si>
  <si>
    <t>CA-2015-120243</t>
  </si>
  <si>
    <t>27/12/2015</t>
  </si>
  <si>
    <t>AT-10435</t>
  </si>
  <si>
    <t>Alyssa Tate</t>
  </si>
  <si>
    <t>OFF-LA-10004425</t>
  </si>
  <si>
    <t>Staple-on labels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</si>
  <si>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</si>
  <si>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</si>
  <si>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</si>
  <si>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</si>
  <si>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</si>
  <si>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</si>
  <si>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</si>
  <si>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</si>
  <si>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</si>
  <si>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</si>
  <si>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</si>
  <si>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</si>
  <si>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</si>
  <si>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CA-2017-137050</t>
  </si>
  <si>
    <t>18/07/2017</t>
  </si>
  <si>
    <t>SW-20755</t>
  </si>
  <si>
    <t>Steven Ward</t>
  </si>
  <si>
    <t>OFF-AR-10004999</t>
  </si>
  <si>
    <t>Newell 315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</si>
  <si>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</si>
  <si>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</si>
  <si>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</si>
  <si>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</si>
  <si>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</si>
  <si>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</si>
  <si>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</si>
  <si>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CA-2015-110184</t>
  </si>
  <si>
    <t>16/07/2015</t>
  </si>
  <si>
    <t>BF-11170</t>
  </si>
  <si>
    <t>Ben Ferrer</t>
  </si>
  <si>
    <t>TEC-PH-10000439</t>
  </si>
  <si>
    <t>GE DSL Phone Line Filter</t>
  </si>
  <si>
    <t>CA-2016-132570</t>
  </si>
  <si>
    <t>31/10/2016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</si>
  <si>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</si>
  <si>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</si>
  <si>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</si>
  <si>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</si>
  <si>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</si>
  <si>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</si>
  <si>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</si>
  <si>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</si>
  <si>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</si>
  <si>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</si>
  <si>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</si>
  <si>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</si>
  <si>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</si>
  <si>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</si>
  <si>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</si>
  <si>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</si>
  <si>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CA-2018-133641</t>
  </si>
  <si>
    <t>21/05/2018</t>
  </si>
  <si>
    <t>EJ-14155</t>
  </si>
  <si>
    <t>Eva Jacobs</t>
  </si>
  <si>
    <t>Gulfport</t>
  </si>
  <si>
    <t>OFF-EN-10004955</t>
  </si>
  <si>
    <t>Fashion Color Clasp Envelopes</t>
  </si>
  <si>
    <t>CA-2015-168494</t>
  </si>
  <si>
    <t>12/12/2015</t>
  </si>
  <si>
    <t>14/12/2015</t>
  </si>
  <si>
    <t>NP-18700</t>
  </si>
  <si>
    <t>Nora Preis</t>
  </si>
  <si>
    <t>Fresno</t>
  </si>
  <si>
    <t>FUR-TA-10004619</t>
  </si>
  <si>
    <t>Hon Non-Folding Utility Tables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</si>
  <si>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</si>
  <si>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</si>
  <si>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</si>
  <si>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</si>
  <si>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</si>
  <si>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</si>
  <si>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</si>
  <si>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</si>
  <si>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</si>
  <si>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</si>
  <si>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</si>
  <si>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</si>
  <si>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</si>
  <si>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</si>
  <si>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04/11/2017</t>
  </si>
  <si>
    <t>SM-20950</t>
  </si>
  <si>
    <t>Suzanne McNair</t>
  </si>
  <si>
    <t>Greenville</t>
  </si>
  <si>
    <t>OFF-BI-10004236</t>
  </si>
  <si>
    <t>XtraLife ClearVue Slant-D Ring Binder, White, 3"</t>
  </si>
  <si>
    <t>CA-2018-110380</t>
  </si>
  <si>
    <t>PF-19225</t>
  </si>
  <si>
    <t>Phillip Flathmann</t>
  </si>
  <si>
    <t>OFF-AR-10000422</t>
  </si>
  <si>
    <t>Pencil and Crayon Sharpener</t>
  </si>
  <si>
    <t>CA-2018-100426</t>
  </si>
  <si>
    <t>DC-12850</t>
  </si>
  <si>
    <t>Dan Campbell</t>
  </si>
  <si>
    <t>Florence</t>
  </si>
  <si>
    <t>OFF-PA-10002870</t>
  </si>
  <si>
    <t>Ampad Phone Message Book, Recycled, 400 Message Capacity, 5 ¾” x 11”</t>
  </si>
  <si>
    <t>US-2017-103646</t>
  </si>
  <si>
    <t>SP-20545</t>
  </si>
  <si>
    <t>Sibella Parks</t>
  </si>
  <si>
    <t>OFF-ST-10000563</t>
  </si>
  <si>
    <t>Fellowes Bankers Box Stor/Drawer Steel Plus</t>
  </si>
  <si>
    <t>CA-2017-148698</t>
  </si>
  <si>
    <t>02/05/2017</t>
  </si>
  <si>
    <t>07/05/2017</t>
  </si>
  <si>
    <t>BD-11770</t>
  </si>
  <si>
    <t>Bryan Davis</t>
  </si>
  <si>
    <t>OFF-AR-10004022</t>
  </si>
  <si>
    <t>Panasonic KP-380BK Classic Electric Pencil Sharpener</t>
  </si>
  <si>
    <t>CA-2017-154711</t>
  </si>
  <si>
    <t>26/11/2017</t>
  </si>
  <si>
    <t>TB-21355</t>
  </si>
  <si>
    <t>Todd Boyes</t>
  </si>
  <si>
    <t>OFF-AR-10001860</t>
  </si>
  <si>
    <t>BIC Liqua Brite Liner</t>
  </si>
  <si>
    <t>CA-2016-115847</t>
  </si>
  <si>
    <t>19/09/2016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</si>
  <si>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</si>
  <si>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</si>
  <si>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</si>
  <si>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</si>
  <si>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</si>
  <si>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</si>
  <si>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03/07/2018</t>
  </si>
  <si>
    <t>07/07/2018</t>
  </si>
  <si>
    <t>CS-12460</t>
  </si>
  <si>
    <t>Chuck Sachs</t>
  </si>
  <si>
    <t>FUR-FU-10002554</t>
  </si>
  <si>
    <t>Westinghouse Floor Lamp with Metal Mesh Shade, Black</t>
  </si>
  <si>
    <t>CA-2017-145919</t>
  </si>
  <si>
    <t>23/12/2017</t>
  </si>
  <si>
    <t>HG-14965</t>
  </si>
  <si>
    <t>Henry Goldwyn</t>
  </si>
  <si>
    <t>OFF-PA-10003072</t>
  </si>
  <si>
    <t>Eureka Recycled Copy Paper 8 1/2" x 11", Ream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</si>
  <si>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</si>
  <si>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</si>
  <si>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</si>
  <si>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</si>
  <si>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</si>
  <si>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</si>
  <si>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</si>
  <si>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</si>
  <si>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</si>
  <si>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</si>
  <si>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</si>
  <si>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</si>
  <si>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</si>
  <si>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</si>
  <si>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</si>
  <si>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</si>
  <si>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</si>
  <si>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</si>
  <si>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</si>
  <si>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</si>
  <si>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</si>
  <si>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</si>
  <si>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</si>
  <si>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</si>
  <si>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</si>
  <si>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</si>
  <si>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</si>
  <si>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</si>
  <si>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CA-2017-122133</t>
  </si>
  <si>
    <t>16/05/2017</t>
  </si>
  <si>
    <t>23/05/2017</t>
  </si>
  <si>
    <t>JR-15670</t>
  </si>
  <si>
    <t>Jim Radford</t>
  </si>
  <si>
    <t>Middletown</t>
  </si>
  <si>
    <t>OFF-ST-10002574</t>
  </si>
  <si>
    <t>SAFCO Commercial Wire Shelving, Black</t>
  </si>
  <si>
    <t>CA-2018-100524</t>
  </si>
  <si>
    <t>31/03/2018</t>
  </si>
  <si>
    <t>02/04/2018</t>
  </si>
  <si>
    <t>CM-12115</t>
  </si>
  <si>
    <t>Chad McGuire</t>
  </si>
  <si>
    <t>FUR-FU-10004018</t>
  </si>
  <si>
    <t>Tensor Computer Mounted Lamp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</si>
  <si>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</si>
  <si>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</si>
  <si>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</si>
  <si>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</si>
  <si>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</si>
  <si>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</si>
  <si>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</si>
  <si>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CA-2017-145247</t>
  </si>
  <si>
    <t>05/05/2017</t>
  </si>
  <si>
    <t>ND-18370</t>
  </si>
  <si>
    <t>Natalie DeCherney</t>
  </si>
  <si>
    <t>OFF-PA-10003641</t>
  </si>
  <si>
    <t>Xerox 1909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</si>
  <si>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</si>
  <si>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</si>
  <si>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</si>
  <si>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</si>
  <si>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</si>
  <si>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</si>
  <si>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</si>
  <si>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</si>
  <si>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</si>
  <si>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</si>
  <si>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</si>
  <si>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</si>
  <si>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US-2018-155425</t>
  </si>
  <si>
    <t>10/11/2018</t>
  </si>
  <si>
    <t>AB-10600</t>
  </si>
  <si>
    <t>Ann Blume</t>
  </si>
  <si>
    <t>TEC-MA-10003183</t>
  </si>
  <si>
    <t>DYMO CardScan Personal V9 Business Card Scanner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</si>
  <si>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</si>
  <si>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</si>
  <si>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</si>
  <si>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</si>
  <si>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</si>
  <si>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</si>
  <si>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</si>
  <si>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</si>
  <si>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</si>
  <si>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</si>
  <si>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</si>
  <si>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</si>
  <si>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</si>
  <si>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</si>
  <si>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</si>
  <si>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</si>
  <si>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</si>
  <si>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</si>
  <si>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</si>
  <si>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</si>
  <si>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</si>
  <si>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</si>
  <si>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</si>
  <si>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</si>
  <si>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</si>
  <si>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Costa Mesa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</si>
  <si>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</si>
  <si>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</si>
  <si>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</si>
  <si>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</si>
  <si>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</si>
  <si>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</si>
  <si>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</si>
  <si>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</si>
  <si>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26/09/2016</t>
  </si>
  <si>
    <t>30/09/2016</t>
  </si>
  <si>
    <t>RW-19540</t>
  </si>
  <si>
    <t>Rick Wilson</t>
  </si>
  <si>
    <t>OFF-PA-10000501</t>
  </si>
  <si>
    <t>Petty Cash Envelope</t>
  </si>
  <si>
    <t>US-2016-164448</t>
  </si>
  <si>
    <t>04/11/2016</t>
  </si>
  <si>
    <t>DK-12835</t>
  </si>
  <si>
    <t>Damala Kotsonis</t>
  </si>
  <si>
    <t>OFF-BI-10003708</t>
  </si>
  <si>
    <t>Acco Four Pocket Poly Ring Binder with Label Holder, Smoke, 1"</t>
  </si>
  <si>
    <t>CA-2018-106852</t>
  </si>
  <si>
    <t>ST-20530</t>
  </si>
  <si>
    <t>Shui Tom</t>
  </si>
  <si>
    <t>Parma</t>
  </si>
  <si>
    <t>OFF-PA-10001639</t>
  </si>
  <si>
    <t>Xerox 203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</si>
  <si>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</si>
  <si>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</si>
  <si>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</si>
  <si>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</si>
  <si>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</si>
  <si>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</si>
  <si>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</si>
  <si>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</si>
  <si>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</si>
  <si>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</si>
  <si>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</si>
  <si>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</si>
  <si>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</si>
  <si>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</si>
  <si>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CA-2018-148474</t>
  </si>
  <si>
    <t>19/06/2018</t>
  </si>
  <si>
    <t>ME-17320</t>
  </si>
  <si>
    <t>Maria Etezadi</t>
  </si>
  <si>
    <t>OFF-BI-10000977</t>
  </si>
  <si>
    <t>Ibico Plastic Spiral Binding Combs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</si>
  <si>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</si>
  <si>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</si>
  <si>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</si>
  <si>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</si>
  <si>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</si>
  <si>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</si>
  <si>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</si>
  <si>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US-2017-108098</t>
  </si>
  <si>
    <t>14/10/2017</t>
  </si>
  <si>
    <t>18/10/2017</t>
  </si>
  <si>
    <t>CP-12340</t>
  </si>
  <si>
    <t>Christine Phan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</si>
  <si>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</si>
  <si>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</si>
  <si>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</si>
  <si>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</si>
  <si>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</si>
  <si>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</si>
  <si>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</si>
  <si>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</si>
  <si>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</si>
  <si>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</si>
  <si>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</si>
  <si>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</si>
  <si>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</si>
  <si>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</si>
  <si>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</si>
  <si>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</si>
  <si>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</si>
  <si>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</si>
  <si>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</si>
  <si>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</si>
  <si>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</si>
  <si>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</si>
  <si>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</si>
  <si>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</si>
  <si>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</si>
  <si>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</si>
  <si>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</si>
  <si>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</si>
  <si>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</si>
  <si>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</si>
  <si>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</si>
  <si>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</si>
  <si>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CA-2017-134208</t>
  </si>
  <si>
    <t>CS-12505</t>
  </si>
  <si>
    <t>Cindy Stewart</t>
  </si>
  <si>
    <t>TEC-MA-10004458</t>
  </si>
  <si>
    <t>Lexmark X 9575 Professional All-in-One Color Printer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</si>
  <si>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</si>
  <si>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</si>
  <si>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</si>
  <si>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</si>
  <si>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</si>
  <si>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</si>
  <si>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</si>
  <si>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06/12/2016</t>
  </si>
  <si>
    <t>GH-14425</t>
  </si>
  <si>
    <t>Gary Hwang</t>
  </si>
  <si>
    <t>OFF-PA-10002586</t>
  </si>
  <si>
    <t>Xerox 1970</t>
  </si>
  <si>
    <t>CA-2017-112389</t>
  </si>
  <si>
    <t>02/11/2017</t>
  </si>
  <si>
    <t>JM-15655</t>
  </si>
  <si>
    <t>Jim Mitchum</t>
  </si>
  <si>
    <t>Bridgeton</t>
  </si>
  <si>
    <t>OFF-ST-10000419</t>
  </si>
  <si>
    <t>Rogers Jumbo File, Granite</t>
  </si>
  <si>
    <t>CA-2017-109176</t>
  </si>
  <si>
    <t>15/05/2017</t>
  </si>
  <si>
    <t>JW-16075</t>
  </si>
  <si>
    <t>Julia West</t>
  </si>
  <si>
    <t>OFF-EN-10003134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</si>
  <si>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</si>
  <si>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</si>
  <si>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</si>
  <si>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</si>
  <si>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</si>
  <si>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</si>
  <si>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CA-2018-165029</t>
  </si>
  <si>
    <t>30/11/2018</t>
  </si>
  <si>
    <t>AH-10075</t>
  </si>
  <si>
    <t>Adam Hart</t>
  </si>
  <si>
    <t>OFF-AR-10003504</t>
  </si>
  <si>
    <t>Newell 347</t>
  </si>
  <si>
    <t>CA-2015-101602</t>
  </si>
  <si>
    <t>15/12/2015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</si>
  <si>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</si>
  <si>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</si>
  <si>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</si>
  <si>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</si>
  <si>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</si>
  <si>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</si>
  <si>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US-2017-132423</t>
  </si>
  <si>
    <t>19/04/2017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</si>
  <si>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</si>
  <si>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</si>
  <si>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</si>
  <si>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</si>
  <si>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</si>
  <si>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</si>
  <si>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</si>
  <si>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</si>
  <si>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</si>
  <si>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</si>
  <si>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Olympia</t>
  </si>
  <si>
    <t>TEC-PH-10004830</t>
  </si>
  <si>
    <t>Pyle PRT45 Retro Home Telephone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</si>
  <si>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</si>
  <si>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</si>
  <si>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</si>
  <si>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</si>
  <si>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</si>
  <si>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</si>
  <si>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</si>
  <si>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CA-2018-158876</t>
  </si>
  <si>
    <t>AB-10150</t>
  </si>
  <si>
    <t>Aimee Bixby</t>
  </si>
  <si>
    <t>Carrollton</t>
  </si>
  <si>
    <t>OFF-PA-10000308</t>
  </si>
  <si>
    <t>Xerox 1901</t>
  </si>
  <si>
    <t>CA-2015-156349</t>
  </si>
  <si>
    <t>26/05/2015</t>
  </si>
  <si>
    <t>30/05/2015</t>
  </si>
  <si>
    <t>ML-17395</t>
  </si>
  <si>
    <t>Marina Lichtenstein</t>
  </si>
  <si>
    <t>TEC-PH-10000441</t>
  </si>
  <si>
    <t>VTech DS6151</t>
  </si>
  <si>
    <t>CA-2016-130022</t>
  </si>
  <si>
    <t>10/08/2016</t>
  </si>
  <si>
    <t>JK-16120</t>
  </si>
  <si>
    <t>Julie Kriz</t>
  </si>
  <si>
    <t>OFF-AR-10001915</t>
  </si>
  <si>
    <t>Peel-Off China Markers</t>
  </si>
  <si>
    <t>CA-2018-108560</t>
  </si>
  <si>
    <t>15/07/2018</t>
  </si>
  <si>
    <t>JC-15385</t>
  </si>
  <si>
    <t>Jenna Caffey</t>
  </si>
  <si>
    <t>Kent</t>
  </si>
  <si>
    <t>FUR-FU-10002937</t>
  </si>
  <si>
    <t>GE 48" Fluorescent Tube, Cool White Energy Saver, 34 Watts, 30/Box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</si>
  <si>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</si>
  <si>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</si>
  <si>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</si>
  <si>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</si>
  <si>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</si>
  <si>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</si>
  <si>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</si>
  <si>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26/05/2017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</si>
  <si>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</si>
  <si>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</si>
  <si>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</si>
  <si>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</si>
  <si>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</si>
  <si>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CA-2015-135699</t>
  </si>
  <si>
    <t>29/08/2015</t>
  </si>
  <si>
    <t>HH-15010</t>
  </si>
  <si>
    <t>Hilary Holden</t>
  </si>
  <si>
    <t>OFF-PA-10004475</t>
  </si>
  <si>
    <t>Xerox 1940</t>
  </si>
  <si>
    <t>US-2018-132444</t>
  </si>
  <si>
    <t>18/11/2018</t>
  </si>
  <si>
    <t>CD-12280</t>
  </si>
  <si>
    <t>Christina DeMoss</t>
  </si>
  <si>
    <t>OFF-FA-10000611</t>
  </si>
  <si>
    <t>Binder Clips by OIC</t>
  </si>
  <si>
    <t>CA-2018-161809</t>
  </si>
  <si>
    <t>20/01/2018</t>
  </si>
  <si>
    <t>TH-21100</t>
  </si>
  <si>
    <t>Thea Hendricks</t>
  </si>
  <si>
    <t>TEC-PH-10004922</t>
  </si>
  <si>
    <t>RCA Visys Integrated PBX 8-Line Router</t>
  </si>
  <si>
    <t>CA-2018-144526</t>
  </si>
  <si>
    <t>30/04/2018</t>
  </si>
  <si>
    <t>06/05/2018</t>
  </si>
  <si>
    <t>QJ-19255</t>
  </si>
  <si>
    <t>Quincy Jones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</si>
  <si>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</si>
  <si>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</si>
  <si>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</si>
  <si>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</si>
  <si>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</si>
  <si>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</si>
  <si>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</si>
  <si>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US-2017-158708</t>
  </si>
  <si>
    <t>29/06/2017</t>
  </si>
  <si>
    <t>AB-10255</t>
  </si>
  <si>
    <t>Alejandro Ballentine</t>
  </si>
  <si>
    <t>Plano</t>
  </si>
  <si>
    <t>TEC-AC-10003133</t>
  </si>
  <si>
    <t>Memorex Mini Travel Drive 4 GB USB 2.0 Flash Drive</t>
  </si>
  <si>
    <t>CA-2015-139857</t>
  </si>
  <si>
    <t>02/02/2015</t>
  </si>
  <si>
    <t>06/02/2015</t>
  </si>
  <si>
    <t>CD-12790</t>
  </si>
  <si>
    <t>Cynthia Delaney</t>
  </si>
  <si>
    <t>OFF-FA-10001843</t>
  </si>
  <si>
    <t>CA-2018-123491</t>
  </si>
  <si>
    <t>30/10/2018</t>
  </si>
  <si>
    <t>JK-15205</t>
  </si>
  <si>
    <t>Jamie Kunitz</t>
  </si>
  <si>
    <t>OFF-LA-10003077</t>
  </si>
  <si>
    <t>Avery 500</t>
  </si>
  <si>
    <t>CA-2018-104003</t>
  </si>
  <si>
    <t>07/10/2018</t>
  </si>
  <si>
    <t>DC-13285</t>
  </si>
  <si>
    <t>Debra Catini</t>
  </si>
  <si>
    <t>FUR-BO-10003965</t>
  </si>
  <si>
    <t>O'Sullivan Manor Hill 2-Door Library in Brianna Oak</t>
  </si>
  <si>
    <t>US-2018-164056</t>
  </si>
  <si>
    <t>29/04/2018</t>
  </si>
  <si>
    <t>04/05/2018</t>
  </si>
  <si>
    <t>FM-14215</t>
  </si>
  <si>
    <t>Filia McAdams</t>
  </si>
  <si>
    <t>FUR-TA-10001307</t>
  </si>
  <si>
    <t>SAFCO PlanMaster Heigh-Adjustable Drafting Table Base, 43w x 30d x 30-37h, Black</t>
  </si>
  <si>
    <t>CA-2015-125136</t>
  </si>
  <si>
    <t>28/09/2015</t>
  </si>
  <si>
    <t>KD-16495</t>
  </si>
  <si>
    <t>Keith Dawkins</t>
  </si>
  <si>
    <t>OFF-PA-10001457</t>
  </si>
  <si>
    <t>White GlueTop Scratch Pads</t>
  </si>
  <si>
    <t>CA-2016-135622</t>
  </si>
  <si>
    <t>08/12/2016</t>
  </si>
  <si>
    <t>TT-21460</t>
  </si>
  <si>
    <t>Tonja Turnell</t>
  </si>
  <si>
    <t>TEC-PH-10001817</t>
  </si>
  <si>
    <t>Wilson Electronics DB Pro Signal Booster</t>
  </si>
  <si>
    <t>CA-2017-110254</t>
  </si>
  <si>
    <t>04/08/2017</t>
  </si>
  <si>
    <t>08/08/2017</t>
  </si>
  <si>
    <t>ML-17755</t>
  </si>
  <si>
    <t>Max Ludwig</t>
  </si>
  <si>
    <t>Suffolk</t>
  </si>
  <si>
    <t>FUR-FU-10001591</t>
  </si>
  <si>
    <t>Advantus Panel Wall Certificate Holder - 8.5x11</t>
  </si>
  <si>
    <t>CA-2018-166317</t>
  </si>
  <si>
    <t>22/09/2018</t>
  </si>
  <si>
    <t>26/09/2018</t>
  </si>
  <si>
    <t>JE-15610</t>
  </si>
  <si>
    <t>Jim Epp</t>
  </si>
  <si>
    <t>Milwaukee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</si>
  <si>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</si>
  <si>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</si>
  <si>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</si>
  <si>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</si>
  <si>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</si>
  <si>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</si>
  <si>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</si>
  <si>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</si>
  <si>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</si>
  <si>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</si>
  <si>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</si>
  <si>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</si>
  <si>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</si>
  <si>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</si>
  <si>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</si>
  <si>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</si>
  <si>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</si>
  <si>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</si>
  <si>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</si>
  <si>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</si>
  <si>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</si>
  <si>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</si>
  <si>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</si>
  <si>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CA-2016-125423</t>
  </si>
  <si>
    <t>MC-17575</t>
  </si>
  <si>
    <t>Matt Collins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</si>
  <si>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</si>
  <si>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</si>
  <si>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</si>
  <si>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</si>
  <si>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</si>
  <si>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</si>
  <si>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</si>
  <si>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</si>
  <si>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</si>
  <si>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</si>
  <si>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</si>
  <si>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</si>
  <si>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</si>
  <si>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</si>
  <si>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</si>
  <si>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CA-2018-145884</t>
  </si>
  <si>
    <t>SL-20155</t>
  </si>
  <si>
    <t>Sara Luxemburg</t>
  </si>
  <si>
    <t>Muskogee</t>
  </si>
  <si>
    <t>TEC-PH-10000895</t>
  </si>
  <si>
    <t>Polycom VVX 310 VoIP phone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</si>
  <si>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</si>
  <si>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</si>
  <si>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</si>
  <si>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</si>
  <si>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</si>
  <si>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</si>
  <si>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</si>
  <si>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23/07/2017</t>
  </si>
  <si>
    <t>KH-16330</t>
  </si>
  <si>
    <t>Katharine Harms</t>
  </si>
  <si>
    <t>Bowling Green</t>
  </si>
  <si>
    <t>FUR-CH-10000988</t>
  </si>
  <si>
    <t>Hon Olson Stacker Stools</t>
  </si>
  <si>
    <t>US-2018-158512</t>
  </si>
  <si>
    <t>12/01/2018</t>
  </si>
  <si>
    <t>17/01/2018</t>
  </si>
  <si>
    <t>DA-13450</t>
  </si>
  <si>
    <t>Dianna Arnett</t>
  </si>
  <si>
    <t>FUR-FU-10004973</t>
  </si>
  <si>
    <t>Flat Face Poster Frame</t>
  </si>
  <si>
    <t>US-2017-100839</t>
  </si>
  <si>
    <t>17/10/2017</t>
  </si>
  <si>
    <t>NC-18625</t>
  </si>
  <si>
    <t>Noah Childs</t>
  </si>
  <si>
    <t>FUR-FU-10001617</t>
  </si>
  <si>
    <t>Executive Impressions 8-1/2" Career Panel/Partition Cubicle Clock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</si>
  <si>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</si>
  <si>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</si>
  <si>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</si>
  <si>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</si>
  <si>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</si>
  <si>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</si>
  <si>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</si>
  <si>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</si>
  <si>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</si>
  <si>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</si>
  <si>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</si>
  <si>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</si>
  <si>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</si>
  <si>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</si>
  <si>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US-2018-108063</t>
  </si>
  <si>
    <t>02/12/2018</t>
  </si>
  <si>
    <t>AS-10090</t>
  </si>
  <si>
    <t>Adam Shillingsburg</t>
  </si>
  <si>
    <t>Charlottesville</t>
  </si>
  <si>
    <t>OFF-AR-10001446</t>
  </si>
  <si>
    <t>Newell 309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</si>
  <si>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</si>
  <si>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</si>
  <si>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</si>
  <si>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</si>
  <si>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</si>
  <si>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</si>
  <si>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CA-2018-105886</t>
  </si>
  <si>
    <t>18/12/2018</t>
  </si>
  <si>
    <t>23/12/2018</t>
  </si>
  <si>
    <t>DB-13660</t>
  </si>
  <si>
    <t>Duane Benoit</t>
  </si>
  <si>
    <t>FUR-FU-10001037</t>
  </si>
  <si>
    <t>DAX Charcoal/Nickel-Tone Document Frame, 5 x 7</t>
  </si>
  <si>
    <t>US-2018-111423</t>
  </si>
  <si>
    <t>17/08/2018</t>
  </si>
  <si>
    <t>19/08/2018</t>
  </si>
  <si>
    <t>EH-13765</t>
  </si>
  <si>
    <t>Edward Hooks</t>
  </si>
  <si>
    <t>Watertown</t>
  </si>
  <si>
    <t>OFF-BI-10003091</t>
  </si>
  <si>
    <t>GBC DocuBind TL200 Manual Binding Machine</t>
  </si>
  <si>
    <t>CA-2016-125178</t>
  </si>
  <si>
    <t>MZ-17515</t>
  </si>
  <si>
    <t>Mary Zewe</t>
  </si>
  <si>
    <t>Reading</t>
  </si>
  <si>
    <t>OFF-ST-10002562</t>
  </si>
  <si>
    <t>Staple magnet</t>
  </si>
  <si>
    <t>CA-2017-156685</t>
  </si>
  <si>
    <t>08/07/2017</t>
  </si>
  <si>
    <t>SC-20230</t>
  </si>
  <si>
    <t>Scot Coram</t>
  </si>
  <si>
    <t>TEC-PH-10004345</t>
  </si>
  <si>
    <t>Cisco SPA 502G IP Phone</t>
  </si>
  <si>
    <t>CA-2018-161200</t>
  </si>
  <si>
    <t>06/08/2018</t>
  </si>
  <si>
    <t>10/08/2018</t>
  </si>
  <si>
    <t>SV-20365</t>
  </si>
  <si>
    <t>Seth Vernon</t>
  </si>
  <si>
    <t>Lafayette</t>
  </si>
  <si>
    <t>FUR-BO-10000468</t>
  </si>
  <si>
    <t>O'Sullivan 2-Shelf Heavy-Duty Bookcases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</si>
  <si>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</si>
  <si>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</si>
  <si>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</si>
  <si>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</si>
  <si>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</si>
  <si>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</si>
  <si>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CA-2018-157987</t>
  </si>
  <si>
    <t>AC-10615</t>
  </si>
  <si>
    <t>Ann Chong</t>
  </si>
  <si>
    <t>OFF-AR-10004582</t>
  </si>
  <si>
    <t>BIC Brite Liner Grip Highlighters</t>
  </si>
  <si>
    <t>CA-2018-110905</t>
  </si>
  <si>
    <t>RW-19690</t>
  </si>
  <si>
    <t>Robert Waldorf</t>
  </si>
  <si>
    <t>OFF-AP-10004785</t>
  </si>
  <si>
    <t>Holmes Replacement Filter for HEPA Air Cleaner, Medium Room</t>
  </si>
  <si>
    <t>CA-2015-148950</t>
  </si>
  <si>
    <t>JD-16015</t>
  </si>
  <si>
    <t>Joy Daniels</t>
  </si>
  <si>
    <t>OFF-BI-10001249</t>
  </si>
  <si>
    <t>Avery Heavy-Duty EZD View Binder with Locking Rings</t>
  </si>
  <si>
    <t>US-2018-147221</t>
  </si>
  <si>
    <t>04/12/2018</t>
  </si>
  <si>
    <t>JS-16030</t>
  </si>
  <si>
    <t>Joy Smith</t>
  </si>
  <si>
    <t>OFF-AP-10002534</t>
  </si>
  <si>
    <t>3.6 Cubic Foot Counter Height Office Refrigerator</t>
  </si>
  <si>
    <t>CA-2018-165386</t>
  </si>
  <si>
    <t>04/08/2018</t>
  </si>
  <si>
    <t>CM-12190</t>
  </si>
  <si>
    <t>Charlotte Melton</t>
  </si>
  <si>
    <t>FUR-BO-10003034</t>
  </si>
  <si>
    <t>O'Sullivan Elevations Bookcase, Cherry Finish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</si>
  <si>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</si>
  <si>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</si>
  <si>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</si>
  <si>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</si>
  <si>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</si>
  <si>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</si>
  <si>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</si>
  <si>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</si>
  <si>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</si>
  <si>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</si>
  <si>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CA-2016-122287</t>
  </si>
  <si>
    <t>18/06/2016</t>
  </si>
  <si>
    <t>SN-20560</t>
  </si>
  <si>
    <t>Skye Norling</t>
  </si>
  <si>
    <t>OFF-PA-10001661</t>
  </si>
  <si>
    <t>Xerox 1922</t>
  </si>
  <si>
    <t>CA-2018-122504</t>
  </si>
  <si>
    <t>DB-13270</t>
  </si>
  <si>
    <t>Deborah Brumfield</t>
  </si>
  <si>
    <t>TEC-AC-10003289</t>
  </si>
  <si>
    <t>Anker Ultra-Slim Mini Bluetooth 3.0 Wireless Keyboard</t>
  </si>
  <si>
    <t>CA-2018-144862</t>
  </si>
  <si>
    <t>EH-14005</t>
  </si>
  <si>
    <t>Erica Hernandez</t>
  </si>
  <si>
    <t>OFF-EN-10003040</t>
  </si>
  <si>
    <t>Quality Park Security Envelopes</t>
  </si>
  <si>
    <t>US-2015-114188</t>
  </si>
  <si>
    <t>22/05/2015</t>
  </si>
  <si>
    <t>RF-19345</t>
  </si>
  <si>
    <t>Randy Ferguson</t>
  </si>
  <si>
    <t>New Hampshire</t>
  </si>
  <si>
    <t>OFF-AP-10000124</t>
  </si>
  <si>
    <t>Acco 6 Outlet Guardian Basic Surge Suppressor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</si>
  <si>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</si>
  <si>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</si>
  <si>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</si>
  <si>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</si>
  <si>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</si>
  <si>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</si>
  <si>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05/01/2017</t>
  </si>
  <si>
    <t>TB-21625</t>
  </si>
  <si>
    <t>Trudy Brown</t>
  </si>
  <si>
    <t>FUR-FU-10002364</t>
  </si>
  <si>
    <t>Eldon Expressions Wood Desk Accessories, Oak</t>
  </si>
  <si>
    <t>CA-2015-152296</t>
  </si>
  <si>
    <t>IL-15100</t>
  </si>
  <si>
    <t>Ivan Liston</t>
  </si>
  <si>
    <t>OFF-BI-10004506</t>
  </si>
  <si>
    <t>Wilson Jones data.warehouse D-Ring Binders with DublLock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</si>
  <si>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</si>
  <si>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</si>
  <si>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</si>
  <si>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</si>
  <si>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</si>
  <si>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</si>
  <si>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</si>
  <si>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</si>
  <si>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</si>
  <si>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</si>
  <si>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</si>
  <si>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</si>
  <si>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</si>
  <si>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CA-2015-151953</t>
  </si>
  <si>
    <t>DB-13555</t>
  </si>
  <si>
    <t>Dorothy Badders</t>
  </si>
  <si>
    <t>OFF-AR-10003469</t>
  </si>
  <si>
    <t>Nontoxic Chalk</t>
  </si>
  <si>
    <t>CA-2017-106383</t>
  </si>
  <si>
    <t>19/03/2017</t>
  </si>
  <si>
    <t>BT-11440</t>
  </si>
  <si>
    <t>Bobby Trafton</t>
  </si>
  <si>
    <t>Littleton</t>
  </si>
  <si>
    <t>FUR-BO-10002202</t>
  </si>
  <si>
    <t>Atlantic Metals Mobile 2-Shelf Bookcases, Custom Colors</t>
  </si>
  <si>
    <t>CA-2015-128055</t>
  </si>
  <si>
    <t>31/03/2015</t>
  </si>
  <si>
    <t>05/04/2015</t>
  </si>
  <si>
    <t>AA-10315</t>
  </si>
  <si>
    <t>Alex Avila</t>
  </si>
  <si>
    <t>OFF-AP-10002765</t>
  </si>
  <si>
    <t>Fellowes Advanced Computer Series Surge Protectors</t>
  </si>
  <si>
    <t>CA-2018-132122</t>
  </si>
  <si>
    <t>14/07/2018</t>
  </si>
  <si>
    <t>JH-15820</t>
  </si>
  <si>
    <t>John Huston</t>
  </si>
  <si>
    <t>OFF-ST-10003692</t>
  </si>
  <si>
    <t>Recycled Steel Personal File for Hanging File Folders</t>
  </si>
  <si>
    <t>CA-2016-145849</t>
  </si>
  <si>
    <t>15/09/2016</t>
  </si>
  <si>
    <t>CT-11995</t>
  </si>
  <si>
    <t>Carol Triggs</t>
  </si>
  <si>
    <t>Indianapolis</t>
  </si>
  <si>
    <t>OFF-AR-10000817</t>
  </si>
  <si>
    <t>Manco Dry-Lighter Erasable Highlighter</t>
  </si>
  <si>
    <t>CA-2017-122322</t>
  </si>
  <si>
    <t>15/07/2017</t>
  </si>
  <si>
    <t>RH-19510</t>
  </si>
  <si>
    <t>Rick Huthwaite</t>
  </si>
  <si>
    <t>Provo</t>
  </si>
  <si>
    <t>OFF-SU-10000952</t>
  </si>
  <si>
    <t>Fiskars Home &amp; Office Scissors</t>
  </si>
  <si>
    <t>CA-2018-166849</t>
  </si>
  <si>
    <t>26/04/2018</t>
  </si>
  <si>
    <t>SJ-20125</t>
  </si>
  <si>
    <t>Sanjit Jacobs</t>
  </si>
  <si>
    <t>FUR-FU-10004597</t>
  </si>
  <si>
    <t>Eldon Cleatmat Chair Mats for Medium Pile Carpets</t>
  </si>
  <si>
    <t>CA-2017-146633</t>
  </si>
  <si>
    <t>17/11/2017</t>
  </si>
  <si>
    <t>TG-21310</t>
  </si>
  <si>
    <t>Toby Gnade</t>
  </si>
  <si>
    <t>OFF-BI-10002982</t>
  </si>
  <si>
    <t>Avery Self-Adhesive Photo Pockets for Polaroid Photos</t>
  </si>
  <si>
    <t>CA-2016-116092</t>
  </si>
  <si>
    <t>18/02/2016</t>
  </si>
  <si>
    <t>JM-16195</t>
  </si>
  <si>
    <t>Justin MacKendrick</t>
  </si>
  <si>
    <t>OFF-PA-10004285</t>
  </si>
  <si>
    <t>Xerox 1959</t>
  </si>
  <si>
    <t>CA-2018-149146</t>
  </si>
  <si>
    <t>12/10/2018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</si>
  <si>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</si>
  <si>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</si>
  <si>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</si>
  <si>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</si>
  <si>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</si>
  <si>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</si>
  <si>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</si>
  <si>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</si>
  <si>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</si>
  <si>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CA-2017-112676</t>
  </si>
  <si>
    <t>08/05/2017</t>
  </si>
  <si>
    <t>PJ-18835</t>
  </si>
  <si>
    <t>Patrick Jones</t>
  </si>
  <si>
    <t>OFF-PA-10003971</t>
  </si>
  <si>
    <t>Xerox 1965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</si>
  <si>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</si>
  <si>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</si>
  <si>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</si>
  <si>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</si>
  <si>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</si>
  <si>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</si>
  <si>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</si>
  <si>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CA-2018-122035</t>
  </si>
  <si>
    <t>25/07/2018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</si>
  <si>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</si>
  <si>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</si>
  <si>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</si>
  <si>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</si>
  <si>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</si>
  <si>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</si>
  <si>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</si>
  <si>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</si>
  <si>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</si>
  <si>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</si>
  <si>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</si>
  <si>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</si>
  <si>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CA-2018-152695</t>
  </si>
  <si>
    <t>CC-12220</t>
  </si>
  <si>
    <t>Chris Cortes</t>
  </si>
  <si>
    <t>OFF-AP-10000026</t>
  </si>
  <si>
    <t>Tripp Lite Isotel 6 Outlet Surge Protector with Fax/Modem Protection</t>
  </si>
  <si>
    <t>CA-2016-111514</t>
  </si>
  <si>
    <t>02/09/2016</t>
  </si>
  <si>
    <t>SC-20260</t>
  </si>
  <si>
    <t>Scott Cohen</t>
  </si>
  <si>
    <t>TEC-AC-10004864</t>
  </si>
  <si>
    <t>Memorex Micro Travel Drive 32 GB</t>
  </si>
  <si>
    <t>CA-2015-102295</t>
  </si>
  <si>
    <t>EH-13990</t>
  </si>
  <si>
    <t>Erica Hackney</t>
  </si>
  <si>
    <t>Sacramento</t>
  </si>
  <si>
    <t>FUR-CH-10001714</t>
  </si>
  <si>
    <t>Global Leather &amp; Oak Executive Chair, Burgundy</t>
  </si>
  <si>
    <t>CA-2017-159940</t>
  </si>
  <si>
    <t>11/07/2017</t>
  </si>
  <si>
    <t>BF-11020</t>
  </si>
  <si>
    <t>Barry Französisch</t>
  </si>
  <si>
    <t>OFF-FA-10000936</t>
  </si>
  <si>
    <t>Acco Hot Clips Clips to Go</t>
  </si>
  <si>
    <t>CA-2017-118052</t>
  </si>
  <si>
    <t>06/05/2017</t>
  </si>
  <si>
    <t>10/05/2017</t>
  </si>
  <si>
    <t>BE-11455</t>
  </si>
  <si>
    <t>Brad Eason</t>
  </si>
  <si>
    <t>OFF-PA-10002581</t>
  </si>
  <si>
    <t>Xerox 1951</t>
  </si>
  <si>
    <t>US-2018-117534</t>
  </si>
  <si>
    <t>26/03/2018</t>
  </si>
  <si>
    <t>CV-12295</t>
  </si>
  <si>
    <t>Christina VanderZanden</t>
  </si>
  <si>
    <t>OFF-AP-10002403</t>
  </si>
  <si>
    <t>Acco Smartsocket Color-Coded Six-Outlet AC Adapter Model Surge Protectors</t>
  </si>
  <si>
    <t>CA-2016-145065</t>
  </si>
  <si>
    <t>DK-13375</t>
  </si>
  <si>
    <t>Dennis Kane</t>
  </si>
  <si>
    <t>OFF-FA-10001229</t>
  </si>
  <si>
    <t>US-2016-127040</t>
  </si>
  <si>
    <t>10/12/2016</t>
  </si>
  <si>
    <t>SG-20605</t>
  </si>
  <si>
    <t>Speros Goranitis</t>
  </si>
  <si>
    <t>OFF-PA-10004255</t>
  </si>
  <si>
    <t>Xerox 219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</si>
  <si>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</si>
  <si>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</si>
  <si>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</si>
  <si>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</si>
  <si>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</si>
  <si>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CA-2018-159597</t>
  </si>
  <si>
    <t>MC-17590</t>
  </si>
  <si>
    <t>Matt Collister</t>
  </si>
  <si>
    <t>Coachella</t>
  </si>
  <si>
    <t>TEC-AC-10004171</t>
  </si>
  <si>
    <t>Razer Kraken 7.1 Surround Sound Over Ear USB Gaming Headset</t>
  </si>
  <si>
    <t>US-2018-147669</t>
  </si>
  <si>
    <t>SV-20935</t>
  </si>
  <si>
    <t>Susan Vittorini</t>
  </si>
  <si>
    <t>FUR-TA-10002645</t>
  </si>
  <si>
    <t>Hon Rectangular Conference Tables</t>
  </si>
  <si>
    <t>CA-2015-148586</t>
  </si>
  <si>
    <t>01/04/2015</t>
  </si>
  <si>
    <t>AZ-10750</t>
  </si>
  <si>
    <t>Annie Zypern</t>
  </si>
  <si>
    <t>FUR-CH-10002439</t>
  </si>
  <si>
    <t>Iceberg Nesting Folding Chair, 19w x 6d x 43h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</si>
  <si>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</si>
  <si>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</si>
  <si>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</si>
  <si>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</si>
  <si>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</si>
  <si>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</si>
  <si>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CA-2017-146934</t>
  </si>
  <si>
    <t>22/05/2017</t>
  </si>
  <si>
    <t>27/05/2017</t>
  </si>
  <si>
    <t>AF-10870</t>
  </si>
  <si>
    <t>Art Ferguson</t>
  </si>
  <si>
    <t>Passaic</t>
  </si>
  <si>
    <t>OFF-EN-10002973</t>
  </si>
  <si>
    <t>Ampad #10 Peel &amp; Seel Holiday Envelopes</t>
  </si>
  <si>
    <t>CA-2018-140949</t>
  </si>
  <si>
    <t>17/03/2018</t>
  </si>
  <si>
    <t>22/03/2018</t>
  </si>
  <si>
    <t>DB-13405</t>
  </si>
  <si>
    <t>Denny Blanton</t>
  </si>
  <si>
    <t>OFF-LA-10000081</t>
  </si>
  <si>
    <t>Avery 496</t>
  </si>
  <si>
    <t>US-2017-135923</t>
  </si>
  <si>
    <t>22/01/2017</t>
  </si>
  <si>
    <t>28/01/2017</t>
  </si>
  <si>
    <t>CM-11935</t>
  </si>
  <si>
    <t>Carlos Meador</t>
  </si>
  <si>
    <t>FUR-FU-10002107</t>
  </si>
  <si>
    <t>Eldon Pizzaz Desk Accessories</t>
  </si>
  <si>
    <t>CA-2016-141040</t>
  </si>
  <si>
    <t>13/10/2016</t>
  </si>
  <si>
    <t>TB-21250</t>
  </si>
  <si>
    <t>Tim Brockman</t>
  </si>
  <si>
    <t>TEC-PH-10001835</t>
  </si>
  <si>
    <t>Jawbone JAMBOX Wireless Bluetooth Speaker</t>
  </si>
  <si>
    <t>CA-2016-120397</t>
  </si>
  <si>
    <t>02/07/2016</t>
  </si>
  <si>
    <t>RB-19435</t>
  </si>
  <si>
    <t>Richard Bierner</t>
  </si>
  <si>
    <t>OFF-AP-10001293</t>
  </si>
  <si>
    <t>Belkin 8 Outlet Surge Protector</t>
  </si>
  <si>
    <t>CA-2017-136812</t>
  </si>
  <si>
    <t>18/11/2017</t>
  </si>
  <si>
    <t>23/11/2017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</si>
  <si>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</si>
  <si>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</si>
  <si>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</si>
  <si>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</si>
  <si>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</si>
  <si>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</si>
  <si>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</si>
  <si>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</si>
  <si>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</si>
  <si>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</si>
  <si>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</si>
  <si>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CA-2018-101042</t>
  </si>
  <si>
    <t>AB-10105</t>
  </si>
  <si>
    <t>Adrian Barton</t>
  </si>
  <si>
    <t>FUR-FU-10004665</t>
  </si>
  <si>
    <t>3M Polarizing Task Lamp with Clamp Arm, Light Gray</t>
  </si>
  <si>
    <t>CA-2017-118626</t>
  </si>
  <si>
    <t>JC-15775</t>
  </si>
  <si>
    <t>John Castell</t>
  </si>
  <si>
    <t>Tallahassee</t>
  </si>
  <si>
    <t>TEC-PH-10000369</t>
  </si>
  <si>
    <t>HTC One Mini</t>
  </si>
  <si>
    <t>US-2017-126844</t>
  </si>
  <si>
    <t>08/10/2017</t>
  </si>
  <si>
    <t>BW-11110</t>
  </si>
  <si>
    <t>Bart Watters</t>
  </si>
  <si>
    <t>FUR-FU-10004909</t>
  </si>
  <si>
    <t>Contemporary Wood/Metal Frame</t>
  </si>
  <si>
    <t>CA-2017-165848</t>
  </si>
  <si>
    <t>EN-13780</t>
  </si>
  <si>
    <t>Edward Nazzal</t>
  </si>
  <si>
    <t>TEC-MA-10003356</t>
  </si>
  <si>
    <t>Panasonic KX MC6040 Color Laser Multifunction Printer</t>
  </si>
  <si>
    <t>CA-2018-127180</t>
  </si>
  <si>
    <t>22/10/2018</t>
  </si>
  <si>
    <t>TA-21385</t>
  </si>
  <si>
    <t>Tom Ashbrook</t>
  </si>
  <si>
    <t>TEC-CO-10004722</t>
  </si>
  <si>
    <t>Canon imageCLASS 2200 Advanced Copier</t>
  </si>
  <si>
    <t>US-2018-110604</t>
  </si>
  <si>
    <t>20/05/2018</t>
  </si>
  <si>
    <t>JF-15295</t>
  </si>
  <si>
    <t>Jason Fortune-</t>
  </si>
  <si>
    <t>FUR-CH-10002017</t>
  </si>
  <si>
    <t>SAFCO Optional Arm Kit for Workspace Cribbage Stacking Chair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</si>
  <si>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</si>
  <si>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</si>
  <si>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</si>
  <si>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</si>
  <si>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</si>
  <si>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</si>
  <si>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CA-2015-131002</t>
  </si>
  <si>
    <t>07/09/2015</t>
  </si>
  <si>
    <t>TB-21400</t>
  </si>
  <si>
    <t>Tom Boeckenhauer</t>
  </si>
  <si>
    <t>OFF-BI-10000948</t>
  </si>
  <si>
    <t>GBC Laser Imprintable Binding System Covers, Desert Sand</t>
  </si>
  <si>
    <t>CA-2015-126403</t>
  </si>
  <si>
    <t>09/09/2015</t>
  </si>
  <si>
    <t>RR-19525</t>
  </si>
  <si>
    <t>Rick Reed</t>
  </si>
  <si>
    <t>FUR-CH-10003761</t>
  </si>
  <si>
    <t>Global Italian Leather Office Chair</t>
  </si>
  <si>
    <t>CA-2015-127187</t>
  </si>
  <si>
    <t>08/12/2015</t>
  </si>
  <si>
    <t>CP-12085</t>
  </si>
  <si>
    <t>Cathy Prescott</t>
  </si>
  <si>
    <t>TEC-PH-10000673</t>
  </si>
  <si>
    <t>Plantronics Voyager Pro HD - Bluetooth Headset</t>
  </si>
  <si>
    <t>CA-2018-122707</t>
  </si>
  <si>
    <t>18/04/2018</t>
  </si>
  <si>
    <t>EB-13750</t>
  </si>
  <si>
    <t>Edward Becker</t>
  </si>
  <si>
    <t>Hoover</t>
  </si>
  <si>
    <t>OFF-SU-10000157</t>
  </si>
  <si>
    <t>Compact Automatic Electric Letter Opener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</si>
  <si>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</si>
  <si>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</si>
  <si>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</si>
  <si>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</si>
  <si>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</si>
  <si>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</si>
  <si>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CA-2016-148635</t>
  </si>
  <si>
    <t>25/07/2016</t>
  </si>
  <si>
    <t>27/07/2016</t>
  </si>
  <si>
    <t>MH-18025</t>
  </si>
  <si>
    <t>Michelle Huthwaite</t>
  </si>
  <si>
    <t>OFF-PA-10004782</t>
  </si>
  <si>
    <t>Xerox 228</t>
  </si>
  <si>
    <t>CA-2016-135685</t>
  </si>
  <si>
    <t>16/11/2016</t>
  </si>
  <si>
    <t>18/11/2016</t>
  </si>
  <si>
    <t>MP-18175</t>
  </si>
  <si>
    <t>Mike Pelletier</t>
  </si>
  <si>
    <t>FUR-FU-10001185</t>
  </si>
  <si>
    <t>Advantus Employee of the Month Certificate Frame, 11 x 13-1/2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</si>
  <si>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</si>
  <si>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</si>
  <si>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</si>
  <si>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</si>
  <si>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</si>
  <si>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</si>
  <si>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CA-2018-138975</t>
  </si>
  <si>
    <t>SC-20380</t>
  </si>
  <si>
    <t>Shahid Collister</t>
  </si>
  <si>
    <t>TEC-PH-10004389</t>
  </si>
  <si>
    <t>Nokia Lumia 925</t>
  </si>
  <si>
    <t>CA-2018-134915</t>
  </si>
  <si>
    <t>EM-14140</t>
  </si>
  <si>
    <t>Eugene Moren</t>
  </si>
  <si>
    <t>Glendale</t>
  </si>
  <si>
    <t>FUR-CH-10004875</t>
  </si>
  <si>
    <t>Harbour Creations 67200 Series Stacking Chairs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</si>
  <si>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</si>
  <si>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</si>
  <si>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</si>
  <si>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</si>
  <si>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</si>
  <si>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</si>
  <si>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</si>
  <si>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</si>
  <si>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</si>
  <si>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</si>
  <si>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</si>
  <si>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</si>
  <si>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</si>
  <si>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CA-2017-139269</t>
  </si>
  <si>
    <t>25/05/2017</t>
  </si>
  <si>
    <t>JB-16045</t>
  </si>
  <si>
    <t>Julia Barnett</t>
  </si>
  <si>
    <t>FUR-FU-10000755</t>
  </si>
  <si>
    <t>Eldon Expressions Mahogany Wood Desk Collection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</si>
  <si>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</si>
  <si>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</si>
  <si>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</si>
  <si>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</si>
  <si>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</si>
  <si>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CA-2015-106719</t>
  </si>
  <si>
    <t>24/08/2015</t>
  </si>
  <si>
    <t>RB-19645</t>
  </si>
  <si>
    <t>Robert Barroso</t>
  </si>
  <si>
    <t>Billings</t>
  </si>
  <si>
    <t>Montana</t>
  </si>
  <si>
    <t>OFF-BI-10002799</t>
  </si>
  <si>
    <t>SlimView Poly Binder, 3/8"</t>
  </si>
  <si>
    <t>CA-2018-149559</t>
  </si>
  <si>
    <t>12/09/2018</t>
  </si>
  <si>
    <t>KF-16285</t>
  </si>
  <si>
    <t>Karen Ferguson</t>
  </si>
  <si>
    <t>OFF-EN-10002312</t>
  </si>
  <si>
    <t>#10 Self-Seal White Envelopes</t>
  </si>
  <si>
    <t>CA-2018-106859</t>
  </si>
  <si>
    <t>13/03/2018</t>
  </si>
  <si>
    <t>BF-11215</t>
  </si>
  <si>
    <t>Benjamin Farhat</t>
  </si>
  <si>
    <t>Albuquerque</t>
  </si>
  <si>
    <t>TEC-AC-10004001</t>
  </si>
  <si>
    <t>Logitech Wireless Headset H600 Over-The-Head Design</t>
  </si>
  <si>
    <t>US-2018-159205</t>
  </si>
  <si>
    <t>DB-12910</t>
  </si>
  <si>
    <t>Daniel Byrd</t>
  </si>
  <si>
    <t>TEC-PH-10000526</t>
  </si>
  <si>
    <t>Vtech CS6719</t>
  </si>
  <si>
    <t>CA-2018-119578</t>
  </si>
  <si>
    <t>JG-15310</t>
  </si>
  <si>
    <t>Jason Gross</t>
  </si>
  <si>
    <t>Providence</t>
  </si>
  <si>
    <t>FUR-BO-10003660</t>
  </si>
  <si>
    <t>Bush Cubix Collection Bookcases, Fully Assembled</t>
  </si>
  <si>
    <t>CA-2017-124562</t>
  </si>
  <si>
    <t>12/12/2017</t>
  </si>
  <si>
    <t>JP-16135</t>
  </si>
  <si>
    <t>Julie Prescott</t>
  </si>
  <si>
    <t>OFF-BI-10001267</t>
  </si>
  <si>
    <t>Universal Recycled Hanging Pressboard Report Binders, Letter Size</t>
  </si>
  <si>
    <t>US-2018-140074</t>
  </si>
  <si>
    <t>29/03/2018</t>
  </si>
  <si>
    <t>EC-14050</t>
  </si>
  <si>
    <t>Erin Creighton</t>
  </si>
  <si>
    <t>OFF-PA-10002741</t>
  </si>
  <si>
    <t>Xerox 1980</t>
  </si>
  <si>
    <t>CA-2018-147564</t>
  </si>
  <si>
    <t>BP-11155</t>
  </si>
  <si>
    <t>Becky Pak</t>
  </si>
  <si>
    <t>OFF-PA-10004438</t>
  </si>
  <si>
    <t>Xerox 1907</t>
  </si>
  <si>
    <t>CA-2015-107916</t>
  </si>
  <si>
    <t>JP-15460</t>
  </si>
  <si>
    <t>Jennifer Patt</t>
  </si>
  <si>
    <t>FUR-FU-10004586</t>
  </si>
  <si>
    <t>G.E. Longer-Life Indoor Recessed Floodlight Bulbs</t>
  </si>
  <si>
    <t>CA-2018-131828</t>
  </si>
  <si>
    <t>11/02/2018</t>
  </si>
  <si>
    <t>13/02/2018</t>
  </si>
  <si>
    <t>CS-11845</t>
  </si>
  <si>
    <t>Cari Sayre</t>
  </si>
  <si>
    <t>FUR-CH-10004495</t>
  </si>
  <si>
    <t>Global Leather and Oak Executive Chair, Black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</si>
  <si>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</si>
  <si>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</si>
  <si>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</si>
  <si>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</si>
  <si>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</si>
  <si>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</si>
  <si>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HF-14995</t>
  </si>
  <si>
    <t>Herbert Flentye</t>
  </si>
  <si>
    <t>OFF-AR-10001615</t>
  </si>
  <si>
    <t>Newell 34</t>
  </si>
  <si>
    <t>CA-2015-123498</t>
  </si>
  <si>
    <t>07/11/2015</t>
  </si>
  <si>
    <t>TC-20980</t>
  </si>
  <si>
    <t>Tamara Chand</t>
  </si>
  <si>
    <t>OFF-EN-10004773</t>
  </si>
  <si>
    <t>US-2016-163783</t>
  </si>
  <si>
    <t>01/01/2017</t>
  </si>
  <si>
    <t>DR-12940</t>
  </si>
  <si>
    <t>Daniel Raglin</t>
  </si>
  <si>
    <t>OFF-ST-10002957</t>
  </si>
  <si>
    <t>Sterilite Show Offs Storage Containers</t>
  </si>
  <si>
    <t>US-2017-127971</t>
  </si>
  <si>
    <t>27/11/2017</t>
  </si>
  <si>
    <t>DW-13195</t>
  </si>
  <si>
    <t>David Wiener</t>
  </si>
  <si>
    <t>TEC-PH-10003095</t>
  </si>
  <si>
    <t>Samsung HM1900 Bluetooth Headset</t>
  </si>
  <si>
    <t>CA-2018-113355</t>
  </si>
  <si>
    <t>SJ-20215</t>
  </si>
  <si>
    <t>Sarah Jordon</t>
  </si>
  <si>
    <t>TEC-PH-10004912</t>
  </si>
  <si>
    <t>Cisco SPA112 2 Port Phone Adapter</t>
  </si>
  <si>
    <t>CA-2015-151554</t>
  </si>
  <si>
    <t>15/11/2015</t>
  </si>
  <si>
    <t>CM-11815</t>
  </si>
  <si>
    <t>Candace McMahon</t>
  </si>
  <si>
    <t>OFF-PA-10004609</t>
  </si>
  <si>
    <t>Xerox 221</t>
  </si>
  <si>
    <t>CA-2015-143840</t>
  </si>
  <si>
    <t>EH-14185</t>
  </si>
  <si>
    <t>Evan Henry</t>
  </si>
  <si>
    <t>TEC-PH-10003171</t>
  </si>
  <si>
    <t>Plantronics Encore H101 Dual Earpieces Headset</t>
  </si>
  <si>
    <t>US-2018-109253</t>
  </si>
  <si>
    <t>22/08/2018</t>
  </si>
  <si>
    <t>PR-18880</t>
  </si>
  <si>
    <t>Patrick Ryan</t>
  </si>
  <si>
    <t>FUR-FU-10000193</t>
  </si>
  <si>
    <t>Tenex Chairmats For Use with Hard Floors</t>
  </si>
  <si>
    <t>CA-2018-168739</t>
  </si>
  <si>
    <t>05/06/2018</t>
  </si>
  <si>
    <t>HZ-14950</t>
  </si>
  <si>
    <t>Henia Zydlo</t>
  </si>
  <si>
    <t>FUR-FU-10003919</t>
  </si>
  <si>
    <t>Eldon Executive Woodline II Cherry Finish Desk Accessories</t>
  </si>
  <si>
    <t>US-2018-111024</t>
  </si>
  <si>
    <t>SZ-20035</t>
  </si>
  <si>
    <t>Sam Zeldin</t>
  </si>
  <si>
    <t>OFF-PA-10000174</t>
  </si>
  <si>
    <t>Message Book, Wirebound, Four 5 1/2" X 4" Forms/Pg., 200 Dupl. Sets/Book</t>
  </si>
  <si>
    <t>CA-2016-153626</t>
  </si>
  <si>
    <t>14/07/2016</t>
  </si>
  <si>
    <t>EB-13870</t>
  </si>
  <si>
    <t>Emily Burns</t>
  </si>
  <si>
    <t>Nashville</t>
  </si>
  <si>
    <t>OFF-AR-10000657</t>
  </si>
  <si>
    <t>Binney &amp; Smith inkTank Desk Highlighter, Chisel Tip, Yellow, 12/Box</t>
  </si>
  <si>
    <t>CA-2015-166863</t>
  </si>
  <si>
    <t>20/06/2015</t>
  </si>
  <si>
    <t>24/06/2015</t>
  </si>
  <si>
    <t>SC-20020</t>
  </si>
  <si>
    <t>Sam Craven</t>
  </si>
  <si>
    <t>FUR-BO-10001608</t>
  </si>
  <si>
    <t>Hon Metal Bookcases, Black</t>
  </si>
  <si>
    <t>CA-2017-132731</t>
  </si>
  <si>
    <t>GA-14515</t>
  </si>
  <si>
    <t>George Ashbrook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</si>
  <si>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</si>
  <si>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</si>
  <si>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</si>
  <si>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</si>
  <si>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</si>
  <si>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</si>
  <si>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</si>
  <si>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CA-2018-121216</t>
  </si>
  <si>
    <t>MM-17920</t>
  </si>
  <si>
    <t>Michael Moore</t>
  </si>
  <si>
    <t>College Station</t>
  </si>
  <si>
    <t>OFF-AP-10001947</t>
  </si>
  <si>
    <t>Acco 6 Outlet Guardian Premium Plus Surge Suppressor</t>
  </si>
  <si>
    <t>CA-2018-117023</t>
  </si>
  <si>
    <t>07/08/2018</t>
  </si>
  <si>
    <t>12/08/2018</t>
  </si>
  <si>
    <t>JW-15955</t>
  </si>
  <si>
    <t>Joni Wasserman</t>
  </si>
  <si>
    <t>OFF-AR-10004062</t>
  </si>
  <si>
    <t>Staples in misc. colors</t>
  </si>
  <si>
    <t>CA-2015-146528</t>
  </si>
  <si>
    <t>VF-21715</t>
  </si>
  <si>
    <t>Vicky Freymann</t>
  </si>
  <si>
    <t>OFF-SU-10002522</t>
  </si>
  <si>
    <t>Acme Kleen Earth Office Shears</t>
  </si>
  <si>
    <t>CA-2016-132626</t>
  </si>
  <si>
    <t>BT-11680</t>
  </si>
  <si>
    <t>Brian Thompson</t>
  </si>
  <si>
    <t>OFF-LA-10000476</t>
  </si>
  <si>
    <t>Avery 05222 Permanent Self-Adhesive File Folder Labels for Typewriters, on Rolls, White, 250/Roll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</si>
  <si>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</si>
  <si>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</si>
  <si>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</si>
  <si>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</si>
  <si>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</si>
  <si>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</si>
  <si>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CA-2017-156503</t>
  </si>
  <si>
    <t>20/10/2017</t>
  </si>
  <si>
    <t>NC-18415</t>
  </si>
  <si>
    <t>Nathan Cano</t>
  </si>
  <si>
    <t>FUR-CH-10003606</t>
  </si>
  <si>
    <t>SAFCO Folding Chair Trolley</t>
  </si>
  <si>
    <t>CA-2016-113628</t>
  </si>
  <si>
    <t>12/11/2016</t>
  </si>
  <si>
    <t>19/11/2016</t>
  </si>
  <si>
    <t>AH-10690</t>
  </si>
  <si>
    <t>Anna Häberlin</t>
  </si>
  <si>
    <t>Plantation</t>
  </si>
  <si>
    <t>FUR-CH-10003298</t>
  </si>
  <si>
    <t>Office Star - Contemporary Task Swivel chair with Loop Arms, Charcoal</t>
  </si>
  <si>
    <t>CA-2018-141873</t>
  </si>
  <si>
    <t>14/10/2018</t>
  </si>
  <si>
    <t>HG-14845</t>
  </si>
  <si>
    <t>Harry Greene</t>
  </si>
  <si>
    <t>OFF-PA-10000069</t>
  </si>
  <si>
    <t>TOPS 4 x 6 Fluorescent Color Memo Sheets, 500 Sheets per Pack</t>
  </si>
  <si>
    <t>US-2018-131849</t>
  </si>
  <si>
    <t>06/06/2018</t>
  </si>
  <si>
    <t>GH-14410</t>
  </si>
  <si>
    <t>Gary Hansen</t>
  </si>
  <si>
    <t>FUR-FU-10004164</t>
  </si>
  <si>
    <t>Eldon 300 Class Desk Accessories, Black</t>
  </si>
  <si>
    <t>CA-2015-140816</t>
  </si>
  <si>
    <t>20/12/2015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</si>
  <si>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</si>
  <si>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</si>
  <si>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</si>
  <si>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</si>
  <si>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</si>
  <si>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CA-2016-129896</t>
  </si>
  <si>
    <t>15/06/2016</t>
  </si>
  <si>
    <t>20/06/2016</t>
  </si>
  <si>
    <t>PF-19120</t>
  </si>
  <si>
    <t>Peter Fuller</t>
  </si>
  <si>
    <t>FUR-FU-10002396</t>
  </si>
  <si>
    <t>DAX Copper Panel Document Frame, 5 x 7 Size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</si>
  <si>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</si>
  <si>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</si>
  <si>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</si>
  <si>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</si>
  <si>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</si>
  <si>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CA-2018-146920</t>
  </si>
  <si>
    <t>28/08/2018</t>
  </si>
  <si>
    <t>SC-20305</t>
  </si>
  <si>
    <t>Sean Christensen</t>
  </si>
  <si>
    <t>OFF-PA-10001461</t>
  </si>
  <si>
    <t>HP Office Paper (20Lb. and 87 Bright)</t>
  </si>
  <si>
    <t>CA-2017-132094</t>
  </si>
  <si>
    <t>26/08/2017</t>
  </si>
  <si>
    <t>VG-21805</t>
  </si>
  <si>
    <t>Vivek Grady</t>
  </si>
  <si>
    <t>OFF-AR-10004165</t>
  </si>
  <si>
    <t>Binney &amp; Smith inkTank Erasable Pocket Highlighter, Chisel Tip, Yellow</t>
  </si>
  <si>
    <t>CA-2016-118955</t>
  </si>
  <si>
    <t>16/06/2016</t>
  </si>
  <si>
    <t>LS-17230</t>
  </si>
  <si>
    <t>Lycoris Saunders</t>
  </si>
  <si>
    <t>OFF-EN-10001028</t>
  </si>
  <si>
    <t>US-2016-163685</t>
  </si>
  <si>
    <t>01/06/2016</t>
  </si>
  <si>
    <t>05/06/2016</t>
  </si>
  <si>
    <t>KE-16420</t>
  </si>
  <si>
    <t>Katrina Edelman</t>
  </si>
  <si>
    <t>OFF-PA-10002606</t>
  </si>
  <si>
    <t>Xerox 1928</t>
  </si>
  <si>
    <t>US-2017-116400</t>
  </si>
  <si>
    <t>22/10/2017</t>
  </si>
  <si>
    <t>24/10/2017</t>
  </si>
  <si>
    <t>EB-13930</t>
  </si>
  <si>
    <t>Eric Barreto</t>
  </si>
  <si>
    <t>FUR-FU-10003731</t>
  </si>
  <si>
    <t>Eldon Expressions Wood and Plastic Desk Accessories, Oak</t>
  </si>
  <si>
    <t>US-2017-159415</t>
  </si>
  <si>
    <t>CS-12175</t>
  </si>
  <si>
    <t>Charles Sheldon</t>
  </si>
  <si>
    <t>FUR-FU-10003798</t>
  </si>
  <si>
    <t>Ultra Door Kickplate, 8"H x 34"W</t>
  </si>
  <si>
    <t>CA-2016-105627</t>
  </si>
  <si>
    <t>08/03/2016</t>
  </si>
  <si>
    <t>12/03/2016</t>
  </si>
  <si>
    <t>DK-12895</t>
  </si>
  <si>
    <t>Dana Kaydos</t>
  </si>
  <si>
    <t>OFF-AR-10002704</t>
  </si>
  <si>
    <t>Boston 1900 Electric Pencil Sharpener</t>
  </si>
  <si>
    <t>CA-2015-116834</t>
  </si>
  <si>
    <t>11/10/2015</t>
  </si>
  <si>
    <t>Dp-13240</t>
  </si>
  <si>
    <t>Dean percer</t>
  </si>
  <si>
    <t>TEC-AC-10002942</t>
  </si>
  <si>
    <t>WD My Passport Ultra 1TB Portable External Hard Drive</t>
  </si>
  <si>
    <t>US-2016-168732</t>
  </si>
  <si>
    <t>KM-16660</t>
  </si>
  <si>
    <t>Khloe Miller</t>
  </si>
  <si>
    <t>TEC-AC-10001553</t>
  </si>
  <si>
    <t>Memorex 25GB 6X Branded Blu-Ray Recordable Disc, 15/Pack</t>
  </si>
  <si>
    <t>CA-2016-165624</t>
  </si>
  <si>
    <t>23/08/2016</t>
  </si>
  <si>
    <t>28/08/2016</t>
  </si>
  <si>
    <t>FH-14350</t>
  </si>
  <si>
    <t>Fred Harton</t>
  </si>
  <si>
    <t>OFF-PA-10002499</t>
  </si>
  <si>
    <t>Xerox 1890</t>
  </si>
  <si>
    <t>CA-2018-130764</t>
  </si>
  <si>
    <t>28/10/2018</t>
  </si>
  <si>
    <t>JO-15145</t>
  </si>
  <si>
    <t>Jack O'Briant</t>
  </si>
  <si>
    <t>TEC-PH-10003215</t>
  </si>
  <si>
    <t>Jackery Bar Premium Fast-charging Portable Charger</t>
  </si>
  <si>
    <t>US-2015-130358</t>
  </si>
  <si>
    <t>26/06/2015</t>
  </si>
  <si>
    <t>DL-13330</t>
  </si>
  <si>
    <t>Denise Leinenbach</t>
  </si>
  <si>
    <t>OFF-AR-10002766</t>
  </si>
  <si>
    <t>Prang Drawing Pencil Set</t>
  </si>
  <si>
    <t>CA-2016-153717</t>
  </si>
  <si>
    <t>25/12/2016</t>
  </si>
  <si>
    <t>DL-13495</t>
  </si>
  <si>
    <t>Dionis Lloyd</t>
  </si>
  <si>
    <t>FUR-BO-10004360</t>
  </si>
  <si>
    <t>Rush Hierlooms Collection Rich Wood Bookcases</t>
  </si>
  <si>
    <t>CA-2018-112725</t>
  </si>
  <si>
    <t>06/02/2018</t>
  </si>
  <si>
    <t>EH-14125</t>
  </si>
  <si>
    <t>Eugene Hildebrand</t>
  </si>
  <si>
    <t>OFF-AR-10001227</t>
  </si>
  <si>
    <t>Newell 338</t>
  </si>
  <si>
    <t>CA-2017-143749</t>
  </si>
  <si>
    <t>07/12/2017</t>
  </si>
  <si>
    <t>AG-10300</t>
  </si>
  <si>
    <t>Aleksandra Gannaway</t>
  </si>
  <si>
    <t>FUR-BO-10002853</t>
  </si>
  <si>
    <t>O'Sullivan 5-Shelf Heavy-Duty Bookcases</t>
  </si>
  <si>
    <t>CA-2016-129392</t>
  </si>
  <si>
    <t>08/07/2016</t>
  </si>
  <si>
    <t>DM-13015</t>
  </si>
  <si>
    <t>Darrin Martin</t>
  </si>
  <si>
    <t>OFF-PA-10004248</t>
  </si>
  <si>
    <t>Xerox 1990</t>
  </si>
  <si>
    <t>CA-2018-149881</t>
  </si>
  <si>
    <t>01/04/2018</t>
  </si>
  <si>
    <t>NC-18535</t>
  </si>
  <si>
    <t>Nick Crebassa</t>
  </si>
  <si>
    <t>FUR-BO-10003894</t>
  </si>
  <si>
    <t>Safco Value Mate Steel Bookcase, Baked Enamel Finish on Steel, Black</t>
  </si>
  <si>
    <t>CA-2018-104024</t>
  </si>
  <si>
    <t>29/08/2018</t>
  </si>
  <si>
    <t>MD-17860</t>
  </si>
  <si>
    <t>Michael Dominguez</t>
  </si>
  <si>
    <t>OFF-AR-10001972</t>
  </si>
  <si>
    <t>Newell 323</t>
  </si>
  <si>
    <t>CA-2018-147144</t>
  </si>
  <si>
    <t>28/03/2018</t>
  </si>
  <si>
    <t>MZ-17335</t>
  </si>
  <si>
    <t>Maria Zettner</t>
  </si>
  <si>
    <t>OFF-AR-10004587</t>
  </si>
  <si>
    <t>Boston 1827 Commercial Additional Cutter, Drive Gear &amp; Gear Rack for 1606</t>
  </si>
  <si>
    <t>CA-2015-133704</t>
  </si>
  <si>
    <t>MA-17995</t>
  </si>
  <si>
    <t>Michelle Arnett</t>
  </si>
  <si>
    <t>OFF-AP-10001366</t>
  </si>
  <si>
    <t>US-2017-107440</t>
  </si>
  <si>
    <t>16/04/2017</t>
  </si>
  <si>
    <t>20/04/2017</t>
  </si>
  <si>
    <t>BS-11365</t>
  </si>
  <si>
    <t>Bill Shonely</t>
  </si>
  <si>
    <t>TEC-MA-10001047</t>
  </si>
  <si>
    <t>3D Systems Cube Printer, 2nd Generation, Magenta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</si>
  <si>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</si>
  <si>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</si>
  <si>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</si>
  <si>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</si>
  <si>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</si>
  <si>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</si>
  <si>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CA-2017-120355</t>
  </si>
  <si>
    <t>25/09/2017</t>
  </si>
  <si>
    <t>MM-17260</t>
  </si>
  <si>
    <t>Magdelene Morse</t>
  </si>
  <si>
    <t>FUR-FU-10004053</t>
  </si>
  <si>
    <t>DAX Two-Tone Silver Metal Document Frame</t>
  </si>
  <si>
    <t>CA-2017-163398</t>
  </si>
  <si>
    <t>03/05/2017</t>
  </si>
  <si>
    <t>CB-12415</t>
  </si>
  <si>
    <t>Christy Brittain</t>
  </si>
  <si>
    <t>OFF-AR-10003217</t>
  </si>
  <si>
    <t>Newell 316</t>
  </si>
  <si>
    <t>CA-2017-147137</t>
  </si>
  <si>
    <t>04/07/2017</t>
  </si>
  <si>
    <t>06/07/2017</t>
  </si>
  <si>
    <t>AA-10645</t>
  </si>
  <si>
    <t>Anna Andreadi</t>
  </si>
  <si>
    <t>OFF-EN-10003567</t>
  </si>
  <si>
    <t>Inter-Office Recycled Envelopes, Brown Kraft, Button-String,10" x 13" , 100/Box</t>
  </si>
  <si>
    <t>CA-2018-130211</t>
  </si>
  <si>
    <t>BD-11620</t>
  </si>
  <si>
    <t>Brian DeCherney</t>
  </si>
  <si>
    <t>Lawton</t>
  </si>
  <si>
    <t>OFF-ST-10000129</t>
  </si>
  <si>
    <t>Fellowes Recycled Storage Drawers</t>
  </si>
  <si>
    <t>CA-2015-147235</t>
  </si>
  <si>
    <t>24/03/2015</t>
  </si>
  <si>
    <t>28/03/2015</t>
  </si>
  <si>
    <t>CD-11920</t>
  </si>
  <si>
    <t>Carlos Daly</t>
  </si>
  <si>
    <t>OFF-PA-10004948</t>
  </si>
  <si>
    <t>Xerox 190</t>
  </si>
  <si>
    <t>CA-2018-107167</t>
  </si>
  <si>
    <t>14/06/2018</t>
  </si>
  <si>
    <t>ND-18460</t>
  </si>
  <si>
    <t>Neil Ducich</t>
  </si>
  <si>
    <t>OFF-ST-10003805</t>
  </si>
  <si>
    <t>24 Capacity Maxi Data Binder Racks, Pearl</t>
  </si>
  <si>
    <t>CA-2018-113474</t>
  </si>
  <si>
    <t>30/03/2018</t>
  </si>
  <si>
    <t>TM-21490</t>
  </si>
  <si>
    <t>Tony Molinari</t>
  </si>
  <si>
    <t>OFF-EN-10004206</t>
  </si>
  <si>
    <t>Multimedia Mailers</t>
  </si>
  <si>
    <t>US-2018-163790</t>
  </si>
  <si>
    <t>NL-18310</t>
  </si>
  <si>
    <t>Nancy Lomonaco</t>
  </si>
  <si>
    <t>Danville</t>
  </si>
  <si>
    <t>OFF-BI-10003718</t>
  </si>
  <si>
    <t>GBC Therma-A-Bind 250T Electric Binding System</t>
  </si>
  <si>
    <t>CA-2016-112130</t>
  </si>
  <si>
    <t>03/05/2016</t>
  </si>
  <si>
    <t>07/05/2016</t>
  </si>
  <si>
    <t>SV-20785</t>
  </si>
  <si>
    <t>Stewart Visinsky</t>
  </si>
  <si>
    <t>TEC-AC-10001542</t>
  </si>
  <si>
    <t>SanDisk Cruzer 16 GB USB Flash Drive</t>
  </si>
  <si>
    <t>CA-2015-112851</t>
  </si>
  <si>
    <t>NR-18550</t>
  </si>
  <si>
    <t>Nick Radford</t>
  </si>
  <si>
    <t>Chula Vista</t>
  </si>
  <si>
    <t>OFF-EN-10001453</t>
  </si>
  <si>
    <t>Tyvek Interoffice Envelopes, 9 1/2" x 12 1/2", 100/Box</t>
  </si>
  <si>
    <t>CA-2017-121370</t>
  </si>
  <si>
    <t>14/11/2017</t>
  </si>
  <si>
    <t>EB-14110</t>
  </si>
  <si>
    <t>Eugene Barchas</t>
  </si>
  <si>
    <t>FUR-FU-10002813</t>
  </si>
  <si>
    <t>DAX Contemporary Wood Frame with Silver Metal Mat, Desktop, 11 x 14 Size</t>
  </si>
  <si>
    <t>CA-2015-133809</t>
  </si>
  <si>
    <t>23/11/2015</t>
  </si>
  <si>
    <t>MS-17530</t>
  </si>
  <si>
    <t>MaryBeth Skach</t>
  </si>
  <si>
    <t>TEC-PH-10004875</t>
  </si>
  <si>
    <t>PNY Rapid USB Car Charger - Black</t>
  </si>
  <si>
    <t>CA-2016-155124</t>
  </si>
  <si>
    <t>15/03/2016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</si>
  <si>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</si>
  <si>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</si>
  <si>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</si>
  <si>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</si>
  <si>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</si>
  <si>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</si>
  <si>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CA-2017-129238</t>
  </si>
  <si>
    <t>31/01/2017</t>
  </si>
  <si>
    <t>04/02/2017</t>
  </si>
  <si>
    <t>SC-20050</t>
  </si>
  <si>
    <t>Sample Company A</t>
  </si>
  <si>
    <t>OFF-PA-10002764</t>
  </si>
  <si>
    <t>CA-2017-155033</t>
  </si>
  <si>
    <t>07/10/2017</t>
  </si>
  <si>
    <t>12/10/2017</t>
  </si>
  <si>
    <t>CC-12475</t>
  </si>
  <si>
    <t>Cindy Chapman</t>
  </si>
  <si>
    <t>OFF-PA-10000143</t>
  </si>
  <si>
    <t>Astroparche Fine Business Paper</t>
  </si>
  <si>
    <t>US-2018-160465</t>
  </si>
  <si>
    <t>21/07/2018</t>
  </si>
  <si>
    <t>SW-20350</t>
  </si>
  <si>
    <t>Sean Wendt</t>
  </si>
  <si>
    <t>OFF-ST-10000136</t>
  </si>
  <si>
    <t>Letter Size File</t>
  </si>
  <si>
    <t>CA-2016-109001</t>
  </si>
  <si>
    <t>05/03/2016</t>
  </si>
  <si>
    <t>09/03/2016</t>
  </si>
  <si>
    <t>KN-16390</t>
  </si>
  <si>
    <t>Katherine Nockton</t>
  </si>
  <si>
    <t>TEC-PH-10000562</t>
  </si>
  <si>
    <t>Samsung Convoy 3</t>
  </si>
  <si>
    <t>CA-2018-125640</t>
  </si>
  <si>
    <t>29/07/2018</t>
  </si>
  <si>
    <t>DD-13570</t>
  </si>
  <si>
    <t>Dorothy Dickinson</t>
  </si>
  <si>
    <t>OFF-LA-10004178</t>
  </si>
  <si>
    <t>Avery 491</t>
  </si>
  <si>
    <t>CA-2018-144883</t>
  </si>
  <si>
    <t>15/08/2018</t>
  </si>
  <si>
    <t>BO-11350</t>
  </si>
  <si>
    <t>Bill Overfelt</t>
  </si>
  <si>
    <t>OFF-LA-10000305</t>
  </si>
  <si>
    <t>Avery 495</t>
  </si>
  <si>
    <t>CA-2015-113768</t>
  </si>
  <si>
    <t>19/05/2015</t>
  </si>
  <si>
    <t>AH-10030</t>
  </si>
  <si>
    <t>Aaron Hawkins</t>
  </si>
  <si>
    <t>OFF-PA-10003063</t>
  </si>
  <si>
    <t>EcoTones Memo Sheets</t>
  </si>
  <si>
    <t>CA-2017-136021</t>
  </si>
  <si>
    <t>14/08/2017</t>
  </si>
  <si>
    <t>18/08/2017</t>
  </si>
  <si>
    <t>JM-15580</t>
  </si>
  <si>
    <t>Jill Matthias</t>
  </si>
  <si>
    <t>TEC-MA-10000423</t>
  </si>
  <si>
    <t>Texas Instruments TI-34 Scientific Calculator</t>
  </si>
  <si>
    <t>CA-2018-166856</t>
  </si>
  <si>
    <t>TS-21505</t>
  </si>
  <si>
    <t>Tony Sayre</t>
  </si>
  <si>
    <t>Clovis</t>
  </si>
  <si>
    <t>TEC-AC-10004992</t>
  </si>
  <si>
    <t>Kingston Digital DataTraveler 64GB USB 2.0</t>
  </si>
  <si>
    <t>CA-2015-103317</t>
  </si>
  <si>
    <t>DM-13525</t>
  </si>
  <si>
    <t>Don Miller</t>
  </si>
  <si>
    <t>FUR-FU-10003192</t>
  </si>
  <si>
    <t>Luxo Adjustable Task Clamp Lamp</t>
  </si>
  <si>
    <t>CA-2018-155929</t>
  </si>
  <si>
    <t>AI-10855</t>
  </si>
  <si>
    <t>Arianne Irving</t>
  </si>
  <si>
    <t>OFF-PA-10000859</t>
  </si>
  <si>
    <t>Unpadded Memo Slips</t>
  </si>
  <si>
    <t>CA-2018-113208</t>
  </si>
  <si>
    <t>ML-18040</t>
  </si>
  <si>
    <t>Michelle Lonsdale</t>
  </si>
  <si>
    <t>FUR-FU-10004245</t>
  </si>
  <si>
    <t>Career Cubicle Clock, 8 1/4", Black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</si>
  <si>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</si>
  <si>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</si>
  <si>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</si>
  <si>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</si>
  <si>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</si>
  <si>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</si>
  <si>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03/04/2016</t>
  </si>
  <si>
    <t>MV-17485</t>
  </si>
  <si>
    <t>Mark Van Huff</t>
  </si>
  <si>
    <t>OFF-ST-10000636</t>
  </si>
  <si>
    <t>Rogers Profile Extra Capacity Storage Tub</t>
  </si>
  <si>
    <t>CA-2016-126725</t>
  </si>
  <si>
    <t>21/11/2016</t>
  </si>
  <si>
    <t>BS-11665</t>
  </si>
  <si>
    <t>Brian Stugart</t>
  </si>
  <si>
    <t>TEC-PH-10003174</t>
  </si>
  <si>
    <t>RCA ViSYS 25825 Wireless digital phone</t>
  </si>
  <si>
    <t>CA-2017-101525</t>
  </si>
  <si>
    <t>04/05/2017</t>
  </si>
  <si>
    <t>CM-12235</t>
  </si>
  <si>
    <t>Chris McAfee</t>
  </si>
  <si>
    <t>Little Rock</t>
  </si>
  <si>
    <t>OFF-PA-10001497</t>
  </si>
  <si>
    <t>Xerox 1914</t>
  </si>
  <si>
    <t>CA-2017-104150</t>
  </si>
  <si>
    <t>03/08/2017</t>
  </si>
  <si>
    <t>05/08/2017</t>
  </si>
  <si>
    <t>AG-10330</t>
  </si>
  <si>
    <t>Alex Grayson</t>
  </si>
  <si>
    <t>TEC-AC-10004803</t>
  </si>
  <si>
    <t>Sony Micro Vault Click 4 GB USB 2.0 Flash Drive</t>
  </si>
  <si>
    <t>CA-2017-143714</t>
  </si>
  <si>
    <t>CC-12370</t>
  </si>
  <si>
    <t>Christopher Conant</t>
  </si>
  <si>
    <t>OFF-BI-10004308</t>
  </si>
  <si>
    <t>Avery Legal 4-Ring Binder</t>
  </si>
  <si>
    <t>CA-2018-138289</t>
  </si>
  <si>
    <t>16/01/2018</t>
  </si>
  <si>
    <t>18/01/2018</t>
  </si>
  <si>
    <t>AR-10540</t>
  </si>
  <si>
    <t>Andy Reiter</t>
  </si>
  <si>
    <t>OFF-PA-10001260</t>
  </si>
  <si>
    <t>TOPS Money Receipt Book, Consecutively Numbered in Red,</t>
  </si>
  <si>
    <t>CA-2017-160535</t>
  </si>
  <si>
    <t>30/11/2017</t>
  </si>
  <si>
    <t>BP-11050</t>
  </si>
  <si>
    <t>Barry Pond</t>
  </si>
  <si>
    <t>Plainfield</t>
  </si>
  <si>
    <t>TEC-MA-10004255</t>
  </si>
  <si>
    <t>Konica Minolta magicolor 1690MF Multifunction Printer</t>
  </si>
  <si>
    <t>CA-2018-145429</t>
  </si>
  <si>
    <t>SW-20455</t>
  </si>
  <si>
    <t>Shaun Weien</t>
  </si>
  <si>
    <t>OFF-PA-10003205</t>
  </si>
  <si>
    <t>Wirebound Message Forms, Four 2 3/4 x 5 Forms per Page, Pink Paper</t>
  </si>
  <si>
    <t>CA-2018-156237</t>
  </si>
  <si>
    <t>14/09/2018</t>
  </si>
  <si>
    <t>PS-18760</t>
  </si>
  <si>
    <t>Pamela Stobb</t>
  </si>
  <si>
    <t>FUR-FU-10001057</t>
  </si>
  <si>
    <t>Tensor Track Tree Floor Lamp</t>
  </si>
  <si>
    <t>CA-2016-139248</t>
  </si>
  <si>
    <t>RD-19930</t>
  </si>
  <si>
    <t>Russell D'Ascenzo</t>
  </si>
  <si>
    <t>TEC-PH-10004094</t>
  </si>
  <si>
    <t>Motorola L703CM</t>
  </si>
  <si>
    <t>US-2017-157490</t>
  </si>
  <si>
    <t>LB-16795</t>
  </si>
  <si>
    <t>Laurel Beltran</t>
  </si>
  <si>
    <t>Pueblo</t>
  </si>
  <si>
    <t>TEC-MA-10001695</t>
  </si>
  <si>
    <t>Zebra GK420t Direct Thermal/Thermal Transfer Printer</t>
  </si>
  <si>
    <t>CA-2018-165323</t>
  </si>
  <si>
    <t>21/06/2018</t>
  </si>
  <si>
    <t>SR-20740</t>
  </si>
  <si>
    <t>Steven Roelle</t>
  </si>
  <si>
    <t>TEC-MA-10003673</t>
  </si>
  <si>
    <t>Hewlett-Packard Desktjet 6988DT Refurbished Printer</t>
  </si>
  <si>
    <t>CA-2017-157707</t>
  </si>
  <si>
    <t>10/10/2017</t>
  </si>
  <si>
    <t>CC-12610</t>
  </si>
  <si>
    <t>Corey Catlett</t>
  </si>
  <si>
    <t>FUR-BO-10001567</t>
  </si>
  <si>
    <t>Bush Westfield Collection Bookcases, Dark Cherry Finish, Fully Assembled</t>
  </si>
  <si>
    <t>CA-2018-159149</t>
  </si>
  <si>
    <t>17/02/2018</t>
  </si>
  <si>
    <t>19/02/2018</t>
  </si>
  <si>
    <t>CR-12820</t>
  </si>
  <si>
    <t>Cyra Reiten</t>
  </si>
  <si>
    <t>OFF-AR-10000937</t>
  </si>
  <si>
    <t>Dixon Ticonderoga Core-Lock Colored Pencils, 48-Color Set</t>
  </si>
  <si>
    <t>CA-2015-109918</t>
  </si>
  <si>
    <t>LR-17035</t>
  </si>
  <si>
    <t>Lisa Ryan</t>
  </si>
  <si>
    <t>OFF-SU-10004290</t>
  </si>
  <si>
    <t>Acme Design Line 8" Stainless Steel Bent Scissors w/Champagne Handles, 3-1/8" Cut</t>
  </si>
  <si>
    <t>CA-2017-168032</t>
  </si>
  <si>
    <t>30/01/2017</t>
  </si>
  <si>
    <t>03/02/2017</t>
  </si>
  <si>
    <t>DF-13135</t>
  </si>
  <si>
    <t>David Flashing</t>
  </si>
  <si>
    <t>Rockford</t>
  </si>
  <si>
    <t>TEC-PH-10004241</t>
  </si>
  <si>
    <t>Nokia Lumia 1020</t>
  </si>
  <si>
    <t>CA-2017-117625</t>
  </si>
  <si>
    <t>GM-14500</t>
  </si>
  <si>
    <t>Gene McClure</t>
  </si>
  <si>
    <t>OFF-EN-10001535</t>
  </si>
  <si>
    <t>Grip Seal Envelopes</t>
  </si>
  <si>
    <t>CA-2017-129280</t>
  </si>
  <si>
    <t>SM-20905</t>
  </si>
  <si>
    <t>Susan MacKendrick</t>
  </si>
  <si>
    <t>TEC-MA-10003589</t>
  </si>
  <si>
    <t>Cisco 8961 IP Phone Charcoal</t>
  </si>
  <si>
    <t xml:space="preserve">aggregate functions </t>
  </si>
  <si>
    <t xml:space="preserve">if function </t>
  </si>
  <si>
    <t xml:space="preserve">multiple if </t>
  </si>
  <si>
    <t>Row Labels</t>
  </si>
  <si>
    <t>Grand Total</t>
  </si>
  <si>
    <t>Sum of Sales</t>
  </si>
  <si>
    <t>Max of Sales</t>
  </si>
  <si>
    <t xml:space="preserve">order id wise and order date wise max of sales 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</si>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</sst>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856204050928" createdVersion="8" refreshedVersion="8" minRefreshableVersion="3" recordCount="643" xr:uid="{2CA20CC7-2942-4F7D-8562-313BD67E1184}">
  <cacheSource type="worksheet">
    <worksheetSource name="sales"/>
  </cacheSource>
  <cacheFields count="21">
    <cacheField name="Row ID" numFmtId="0">
      <sharedItems containsSemiMixedTypes="0" containsString="0" containsNumber="1" containsInteger="1" minValue="1" maxValue="9563"/>
    </cacheField>
    <cacheField name="Order ID" numFmtId="0">
      <sharedItems count="643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US-2016-134026"/>
        <s v="US-2018-118038"/>
        <s v="CA-2017-127208"/>
        <s v="CA-2015-139451"/>
        <s v="CA-2016-149734"/>
        <s v="US-2018-119662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8-106180"/>
        <s v="CA-2018-155376"/>
        <s v="CA-2015-110072"/>
        <s v="CA-2017-114489"/>
        <s v="CA-2017-158834"/>
        <s v="CA-2016-124919"/>
        <s v="CA-2016-118948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CA-2016-137225"/>
        <s v="CA-2015-166191"/>
        <s v="CA-2015-158274"/>
        <s v="CA-2017-105018"/>
        <s v="CA-2015-123260"/>
        <s v="CA-2017-157000"/>
        <s v="CA-2016-102281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US-2018-145366"/>
        <s v="CA-2018-163979"/>
        <s v="CA-2016-155334"/>
        <s v="CA-2018-118136"/>
        <s v="CA-2018-132976"/>
        <s v="CA-2016-130890"/>
        <s v="CA-2017-112697"/>
        <s v="CA-2017-110772"/>
        <s v="CA-2015-111451"/>
        <s v="CA-2017-142545"/>
        <s v="CA-2016-144253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8-134306"/>
        <s v="CA-2017-129714"/>
        <s v="CA-2017-138520"/>
        <s v="CA-2018-155698"/>
        <s v="CA-2018-14490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7-108987"/>
        <s v="CA-2015-113166"/>
        <s v="CA-2018-117933"/>
        <s v="CA-2018-117457"/>
        <s v="CA-2018-142636"/>
        <s v="CA-2018-122105"/>
        <s v="CA-2017-148796"/>
        <s v="CA-2018-125388"/>
        <s v="CA-2018-155705"/>
        <s v="CA-2015-101476"/>
        <s v="CA-2018-152275"/>
        <s v="US-2017-123750"/>
        <s v="CA-2017-127369"/>
        <s v="US-2015-150574"/>
        <s v="CA-2017-147375"/>
        <s v="CA-2018-130043"/>
        <s v="CA-2018-154214"/>
        <s v="CA-2017-166674"/>
        <s v="CA-2018-147277"/>
        <s v="US-2015-110674"/>
        <s v="CA-2017-109869"/>
        <s v="CA-2016-154144"/>
        <s v="CA-2015-144666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US-2017-105578"/>
        <s v="CA-2016-145352"/>
        <s v="CA-2018-135307"/>
        <s v="CA-2018-163405"/>
        <s v="CA-2016-157812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34894"/>
        <s v="CA-2015-140795"/>
        <s v="CA-2018-162929"/>
        <s v="CA-2017-136406"/>
        <s v="CA-2018-101945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US-2017-135720"/>
        <s v="CA-2016-168004"/>
        <s v="US-2017-123470"/>
        <s v="CA-2017-147067"/>
        <s v="CA-2018-167913"/>
        <s v="CA-2018-126221"/>
        <s v="CA-2017-160745"/>
        <s v="CA-2017-137239"/>
        <s v="CA-2018-132682"/>
        <s v="CA-2015-156314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6-142027"/>
        <s v="CA-2015-138527"/>
        <s v="CA-2015-112158"/>
        <s v="CA-2018-146136"/>
        <s v="US-2018-100048"/>
        <s v="CA-2017-112942"/>
        <s v="CA-2015-117429"/>
        <s v="CA-2017-114713"/>
        <s v="CA-2018-144113"/>
        <s v="US-2017-150861"/>
        <s v="CA-2018-131954"/>
        <s v="CA-2015-112326"/>
        <s v="US-2017-146710"/>
        <s v="CA-2017-150889"/>
        <s v="CA-2018-126074"/>
        <s v="CA-2017-110499"/>
        <s v="CA-2015-162775"/>
        <s v="CA-2015-106810"/>
        <s v="CA-2018-104220"/>
        <s v="CA-2015-165974"/>
        <s v="US-2016-157014"/>
        <s v="CA-2016-154620"/>
        <s v="CA-2017-105256"/>
        <s v="CA-2015-156433"/>
        <s v="CA-2018-105809"/>
        <s v="CA-2017-115504"/>
        <s v="CA-2018-135783"/>
        <s v="CA-2018-143686"/>
        <s v="CA-2018-101434"/>
        <s v="US-2015-102071"/>
        <s v="US-2015-115987"/>
        <s v="US-2018-156083"/>
        <s v="CA-2016-100454"/>
        <s v="CA-2017-161669"/>
        <s v="CA-2018-107503"/>
        <s v="CA-2015-107755"/>
        <s v="CA-2017-152534"/>
        <s v="CA-2015-125612"/>
        <s v="CA-2015-133851"/>
        <s v="CA-2015-149020"/>
        <s v="CA-2017-134362"/>
        <s v="CA-2015-136742"/>
        <s v="CA-2017-158099"/>
        <s v="US-2015-158638"/>
        <s v="CA-2015-134061"/>
        <s v="CA-2016-143602"/>
        <s v="CA-2018-132934"/>
        <s v="CA-2018-133256"/>
        <s v="CA-2017-105494"/>
        <s v="CA-2017-140634"/>
        <s v="CA-2018-160983"/>
        <s v="US-2017-114622"/>
        <s v="CA-2018-137596"/>
        <s v="CA-2017-165218"/>
        <s v="CA-2016-111164"/>
        <s v="CA-2015-132962"/>
        <s v="CA-2018-114216"/>
        <s v="CA-2017-140081"/>
        <s v="CA-2016-148250"/>
        <s v="CA-2017-105760"/>
        <s v="CA-2018-131156"/>
        <s v="CA-2018-102414"/>
        <s v="CA-2016-112571"/>
        <s v="CA-2016-160059"/>
        <s v="CA-2015-127488"/>
        <s v="CA-2018-135279"/>
        <s v="CA-2015-163419"/>
        <s v="CA-2018-100314"/>
        <s v="CA-2016-146829"/>
        <s v="CA-2015-117639"/>
        <s v="CA-2016-162537"/>
        <s v="CA-2016-124891"/>
        <s v="CA-2016-126445"/>
        <s v="CA-2016-105312"/>
        <s v="CA-2015-158540"/>
        <s v="US-2016-126214"/>
        <s v="CA-2016-108665"/>
        <s v="CA-2018-106964"/>
        <s v="CA-2017-126529"/>
        <s v="CA-2017-109820"/>
        <s v="CA-2017-113061"/>
        <s v="CA-2016-127418"/>
        <s v="CA-2018-121818"/>
        <s v="CA-2017-102981"/>
        <s v="CA-2018-115651"/>
        <s v="US-2016-153500"/>
        <s v="CA-2016-110667"/>
        <s v="CA-2017-105284"/>
        <s v="CA-2016-161263"/>
        <s v="CA-2018-106943"/>
        <s v="CA-2017-134348"/>
        <s v="CA-2017-161781"/>
        <s v="CA-2018-132521"/>
        <s v="CA-2016-110016"/>
        <s v="CA-2017-166163"/>
        <s v="CA-2018-158407"/>
        <s v="CA-2016-165085"/>
        <s v="CA-2018-160423"/>
        <s v="CA-2017-107216"/>
        <s v="CA-2017-112340"/>
        <s v="CA-2016-142755"/>
        <s v="US-2017-134908"/>
        <s v="CA-2017-152170"/>
        <s v="CA-2016-112452"/>
        <s v="CA-2015-127964"/>
        <s v="US-2015-100279"/>
        <s v="CA-2015-120243"/>
        <s v="CA-2015-127131"/>
        <s v="CA-2018-117212"/>
        <s v="CA-2017-137050"/>
        <s v="US-2018-118087"/>
        <s v="CA-2015-110184"/>
        <s v="CA-2016-132570"/>
        <s v="CA-2017-153682"/>
        <s v="CA-2015-127012"/>
        <s v="CA-2018-133641"/>
        <s v="CA-2015-168494"/>
        <s v="CA-2018-144638"/>
        <s v="CA-2018-117079"/>
        <s v="US-2017-144393"/>
        <s v="CA-2018-110380"/>
        <s v="CA-2018-100426"/>
        <s v="US-2017-103646"/>
        <s v="CA-2017-148698"/>
        <s v="CA-2017-154711"/>
        <s v="CA-2016-115847"/>
        <s v="US-2018-126179"/>
        <s v="CA-2017-145919"/>
        <s v="CA-2018-121804"/>
        <s v="CA-2018-162635"/>
        <s v="CA-2018-106033"/>
        <s v="CA-2015-122567"/>
        <s v="CA-2017-122133"/>
        <s v="CA-2018-100524"/>
        <s v="CA-2018-113481"/>
        <s v="CA-2017-145247"/>
        <s v="US-2015-151925"/>
        <s v="CA-2018-125199"/>
        <s v="US-2018-155425"/>
        <s v="CA-2018-136672"/>
        <s v="US-2017-108504"/>
        <s v="CA-2015-146640"/>
        <s v="CA-2018-115994"/>
        <s v="CA-2016-126697"/>
        <s v="CA-2016-124800"/>
        <s v="US-2016-164448"/>
        <s v="CA-2018-106852"/>
        <s v="US-2016-160150"/>
        <s v="CA-2017-133711"/>
        <s v="CA-2018-148474"/>
        <s v="CA-2017-113138"/>
        <s v="US-2017-108098"/>
        <s v="CA-2015-119032"/>
        <s v="CA-2016-140410"/>
        <s v="CA-2018-166436"/>
        <s v="CA-2018-152485"/>
        <s v="CA-2016-153388"/>
        <s v="CA-2017-134208"/>
        <s v="CA-2018-109946"/>
        <s v="CA-2016-144806"/>
        <s v="CA-2017-112389"/>
        <s v="CA-2017-109176"/>
        <s v="CA-2016-129112"/>
        <s v="CA-2018-165029"/>
        <s v="CA-2015-101602"/>
        <s v="US-2017-132423"/>
        <s v="CA-2016-122826"/>
        <s v="CA-2016-118423"/>
        <s v="CA-2018-158876"/>
        <s v="CA-2015-156349"/>
        <s v="CA-2016-130022"/>
        <s v="CA-2018-108560"/>
        <s v="CA-2015-168984"/>
        <s v="CA-2017-157266"/>
        <s v="CA-2015-135699"/>
        <s v="US-2018-132444"/>
        <s v="CA-2018-161809"/>
        <s v="CA-2018-144526"/>
        <s v="CA-2017-128531"/>
        <s v="US-2017-158708"/>
        <s v="CA-2015-139857"/>
        <s v="CA-2018-123491"/>
        <s v="CA-2018-104003"/>
        <s v="US-2018-164056"/>
        <s v="CA-2015-125136"/>
        <s v="CA-2016-135622"/>
        <s v="CA-2017-110254"/>
        <s v="CA-2018-166317"/>
        <s v="CA-2016-154326"/>
        <s v="CA-2017-121034"/>
        <s v="CA-2017-164938"/>
        <s v="CA-2016-125423"/>
        <s v="US-2015-130379"/>
        <s v="CA-2017-109344"/>
        <s v="CA-2018-145884"/>
        <s v="CA-2015-117345"/>
        <s v="CA-2017-157763"/>
        <s v="US-2018-158512"/>
        <s v="US-2017-100839"/>
        <s v="CA-2015-116932"/>
        <s v="CA-2018-142888"/>
        <s v="US-2018-108063"/>
        <s v="CA-2018-141789"/>
        <s v="CA-2018-105886"/>
        <s v="US-2018-111423"/>
        <s v="CA-2016-125178"/>
        <s v="CA-2017-156685"/>
        <s v="CA-2018-161200"/>
        <s v="CA-2017-112109"/>
        <s v="CA-2018-157987"/>
        <s v="CA-2018-110905"/>
        <s v="CA-2015-148950"/>
        <s v="US-2018-147221"/>
        <s v="CA-2018-165386"/>
        <s v="CA-2016-155761"/>
        <s v="CA-2017-145905"/>
        <s v="CA-2016-122287"/>
        <s v="CA-2018-122504"/>
        <s v="CA-2018-144862"/>
        <s v="US-2015-114188"/>
        <s v="CA-2016-122210"/>
        <s v="CA-2016-156377"/>
        <s v="CA-2015-152296"/>
        <s v="CA-2017-125738"/>
        <s v="CA-2015-125556"/>
        <s v="CA-2015-151953"/>
        <s v="CA-2017-106383"/>
        <s v="CA-2015-128055"/>
        <s v="CA-2018-132122"/>
        <s v="CA-2016-145849"/>
        <s v="CA-2017-122322"/>
        <s v="CA-2018-166849"/>
        <s v="CA-2017-146633"/>
        <s v="CA-2016-116092"/>
        <s v="CA-2018-149146"/>
        <s v="CA-2018-137470"/>
        <s v="CA-2017-112676"/>
        <s v="CA-2018-115154"/>
        <s v="CA-2018-122035"/>
        <s v="CA-2018-138422"/>
        <s v="CA-2018-152695"/>
        <s v="CA-2016-111514"/>
        <s v="CA-2015-102295"/>
        <s v="CA-2017-159940"/>
        <s v="CA-2017-118052"/>
        <s v="US-2018-117534"/>
        <s v="CA-2016-145065"/>
        <s v="US-2016-127040"/>
        <s v="CA-2018-144589"/>
        <s v="CA-2018-159597"/>
        <s v="US-2018-147669"/>
        <s v="CA-2015-148586"/>
        <s v="CA-2015-164210"/>
        <s v="CA-2017-146934"/>
        <s v="CA-2018-140949"/>
        <s v="US-2017-135923"/>
        <s v="CA-2016-141040"/>
        <s v="CA-2016-120397"/>
        <s v="CA-2017-136812"/>
        <s v="CA-2016-124541"/>
        <s v="CA-2018-101042"/>
        <s v="CA-2017-118626"/>
        <s v="US-2017-126844"/>
        <s v="CA-2017-165848"/>
        <s v="CA-2018-127180"/>
        <s v="US-2018-110604"/>
        <s v="CA-2018-108441"/>
        <s v="CA-2015-131002"/>
        <s v="CA-2015-126403"/>
        <s v="CA-2015-127187"/>
        <s v="CA-2018-122707"/>
        <s v="US-2016-122140"/>
        <s v="CA-2016-148635"/>
        <s v="CA-2016-135685"/>
        <s v="CA-2018-157854"/>
        <s v="CA-2018-138975"/>
        <s v="CA-2018-134915"/>
        <s v="CA-2018-137428"/>
        <s v="CA-2016-139850"/>
        <s v="CA-2017-139269"/>
        <s v="CA-2017-131499"/>
        <s v="CA-2015-106719"/>
        <s v="CA-2018-149559"/>
        <s v="CA-2018-106859"/>
        <s v="US-2018-159205"/>
        <s v="CA-2018-119578"/>
        <s v="CA-2017-124562"/>
        <s v="US-2018-140074"/>
        <s v="CA-2018-147564"/>
        <s v="CA-2015-107916"/>
        <s v="CA-2018-131828"/>
        <s v="US-2015-150924"/>
        <s v="CA-2015-153969"/>
        <s v="CA-2015-123498"/>
        <s v="US-2016-163783"/>
        <s v="US-2017-127971"/>
        <s v="CA-2018-113355"/>
        <s v="CA-2015-151554"/>
        <s v="CA-2015-143840"/>
        <s v="US-2018-109253"/>
        <s v="CA-2018-168739"/>
        <s v="US-2018-111024"/>
        <s v="CA-2016-153626"/>
        <s v="CA-2015-166863"/>
        <s v="CA-2017-132731"/>
        <s v="CA-2018-148922"/>
        <s v="CA-2018-121216"/>
        <s v="CA-2018-117023"/>
        <s v="CA-2015-146528"/>
        <s v="CA-2016-132626"/>
        <s v="US-2015-117163"/>
        <s v="CA-2017-156503"/>
        <s v="CA-2016-113628"/>
        <s v="CA-2018-141873"/>
        <s v="US-2018-131849"/>
        <s v="CA-2015-140816"/>
        <s v="CA-2016-129896"/>
        <s v="CA-2016-167010"/>
        <s v="CA-2018-146920"/>
        <s v="CA-2017-132094"/>
        <s v="CA-2016-118955"/>
        <s v="US-2016-163685"/>
        <s v="US-2017-116400"/>
        <s v="US-2017-159415"/>
        <s v="CA-2016-105627"/>
        <s v="CA-2015-116834"/>
        <s v="US-2016-168732"/>
        <s v="CA-2016-165624"/>
        <s v="CA-2018-130764"/>
        <s v="US-2015-130358"/>
        <s v="CA-2016-153717"/>
        <s v="CA-2018-112725"/>
        <s v="CA-2017-143749"/>
        <s v="CA-2016-129392"/>
        <s v="CA-2018-149881"/>
        <s v="CA-2018-104024"/>
        <s v="CA-2018-147144"/>
        <s v="CA-2015-133704"/>
        <s v="US-2017-107440"/>
        <s v="CA-2016-112375"/>
        <s v="CA-2017-120355"/>
        <s v="CA-2017-163398"/>
        <s v="CA-2017-147137"/>
        <s v="CA-2018-130211"/>
        <s v="CA-2015-147235"/>
        <s v="CA-2018-107167"/>
        <s v="CA-2018-113474"/>
        <s v="US-2018-163790"/>
        <s v="CA-2016-112130"/>
        <s v="CA-2015-112851"/>
        <s v="CA-2017-121370"/>
        <s v="CA-2015-133809"/>
        <s v="CA-2016-155124"/>
        <s v="CA-2017-129238"/>
        <s v="CA-2017-155033"/>
        <s v="US-2018-160465"/>
        <s v="CA-2016-109001"/>
        <s v="CA-2018-125640"/>
        <s v="CA-2018-144883"/>
        <s v="CA-2015-113768"/>
        <s v="CA-2017-136021"/>
        <s v="CA-2018-166856"/>
        <s v="CA-2015-103317"/>
        <s v="CA-2018-155929"/>
        <s v="CA-2018-113208"/>
        <s v="CA-2018-133207"/>
        <s v="CA-2016-132948"/>
        <s v="CA-2016-126725"/>
        <s v="CA-2017-101525"/>
        <s v="CA-2017-104150"/>
        <s v="CA-2017-143714"/>
        <s v="CA-2018-138289"/>
        <s v="CA-2017-160535"/>
        <s v="CA-2018-145429"/>
        <s v="CA-2018-156237"/>
        <s v="CA-2016-139248"/>
        <s v="US-2017-157490"/>
        <s v="CA-2018-165323"/>
        <s v="CA-2017-157707"/>
        <s v="CA-2018-159149"/>
        <s v="CA-2015-109918"/>
        <s v="CA-2017-168032"/>
        <s v="CA-2017-117625"/>
        <s v="CA-2017-129280"/>
      </sharedItems>
    </cacheField>
    <cacheField name="Order Date" numFmtId="0">
      <sharedItems count="470">
        <s v="08/11/2017"/>
        <s v="12/06/2017"/>
        <s v="11/10/2016"/>
        <s v="09/06/2015"/>
        <s v="15/04/2018"/>
        <s v="05/12/2017"/>
        <s v="22/11/2016"/>
        <s v="11/11/2015"/>
        <s v="13/05/2015"/>
        <s v="27/08/2015"/>
        <s v="09/12/2017"/>
        <s v="16/07/2018"/>
        <s v="16/01/2017"/>
        <s v="17/09/2016"/>
        <s v="19/10/2018"/>
        <s v="08/12/2017"/>
        <s v="27/12/2016"/>
        <s v="10/09/2018"/>
        <s v="17/07/2017"/>
        <s v="19/09/2018"/>
        <s v="11/03/2017"/>
        <s v="20/10/2015"/>
        <s v="20/06/2017"/>
        <s v="18/04/2016"/>
        <s v="11/12/2017"/>
        <s v="17/06/2017"/>
        <s v="24/11/2016"/>
        <s v="30/04/2016"/>
        <s v="05/12/2015"/>
        <s v="04/06/2017"/>
        <s v="18/09/2017"/>
        <s v="26/04/2016"/>
        <s v="09/12/2018"/>
        <s v="12/10/2015"/>
        <s v="03/09/2016"/>
        <s v="13/11/2018"/>
        <s v="26/10/2018"/>
        <s v="05/04/2017"/>
        <s v="17/09/2017"/>
        <s v="31/01/2016"/>
        <s v="06/11/2018"/>
        <s v="09/11/2018"/>
        <s v="17/06/2018"/>
        <s v="06/09/2017"/>
        <s v="29/08/2017"/>
        <s v="01/12/2017"/>
        <s v="13/11/2016"/>
        <s v="23/11/2018"/>
        <s v="15/10/2016"/>
        <s v="25/12/2018"/>
        <s v="03/11/2017"/>
        <s v="25/08/2015"/>
        <s v="02/03/2016"/>
        <s v="05/04/2016"/>
        <s v="26/12/2015"/>
        <s v="20/09/2015"/>
        <s v="05/11/2018"/>
        <s v="06/11/2017"/>
        <s v="02/02/2018"/>
        <s v="13/10/2017"/>
        <s v="18/09/2018"/>
        <s v="22/12/2018"/>
        <s v="22/10/2015"/>
        <s v="13/03/2017"/>
        <s v="31/05/2016"/>
        <s v="28/05/2016"/>
        <s v="20/11/2017"/>
        <s v="11/05/2017"/>
        <s v="28/12/2016"/>
        <s v="16/11/2017"/>
        <s v="07/11/2017"/>
        <s v="08/09/2015"/>
        <s v="05/08/2015"/>
        <s v="14/09/2015"/>
        <s v="21/04/2018"/>
        <s v="15/12/2016"/>
        <s v="19/11/2015"/>
        <s v="28/11/2017"/>
        <s v="26/08/2015"/>
        <s v="16/07/2017"/>
        <s v="12/10/2016"/>
        <s v="21/03/2015"/>
        <s v="06/07/2018"/>
        <s v="24/06/2018"/>
        <s v="03/08/2015"/>
        <s v="17/12/2018"/>
        <s v="03/06/2018"/>
        <s v="01/12/2018"/>
        <s v="09/02/2016"/>
        <s v="02/01/2016"/>
        <s v="28/10/2017"/>
        <s v="24/12/2016"/>
        <s v="09/08/2016"/>
        <s v="28/02/2016"/>
        <s v="13/09/2015"/>
        <s v="12/11/2018"/>
        <s v="01/06/2015"/>
        <s v="10/12/2017"/>
        <s v="11/09/2017"/>
        <s v="28/11/2016"/>
        <s v="08/06/2018"/>
        <s v="19/09/2015"/>
        <s v="06/06/2017"/>
        <s v="10/11/2016"/>
        <s v="16/06/2018"/>
        <s v="28/12/2018"/>
        <s v="30/07/2016"/>
        <s v="16/09/2018"/>
        <s v="13/10/2018"/>
        <s v="02/11/2016"/>
        <s v="18/12/2017"/>
        <s v="04/05/2016"/>
        <s v="12/09/2017"/>
        <s v="27/09/2015"/>
        <s v="09/08/2015"/>
        <s v="28/12/2015"/>
        <s v="04/11/2015"/>
        <s v="23/04/2017"/>
        <s v="03/11/2018"/>
        <s v="30/08/2017"/>
        <s v="25/04/2017"/>
        <s v="01/09/2016"/>
        <s v="12/07/2015"/>
        <s v="08/07/2018"/>
        <s v="01/09/2017"/>
        <s v="08/04/2017"/>
        <s v="08/03/2018"/>
        <s v="25/09/2018"/>
        <s v="21/10/2017"/>
        <s v="29/05/2018"/>
        <s v="23/07/2015"/>
        <s v="28/09/2017"/>
        <s v="27/08/2018"/>
        <s v="28/04/2016"/>
        <s v="26/06/2016"/>
        <s v="27/11/2016"/>
        <s v="03/12/2016"/>
        <s v="24/11/2015"/>
        <s v="11/12/2018"/>
        <s v="21/09/2015"/>
        <s v="07/06/2015"/>
        <s v="30/06/2018"/>
        <s v="17/10/2018"/>
        <s v="08/09/2017"/>
        <s v="24/12/2015"/>
        <s v="24/12/2018"/>
        <s v="08/12/2018"/>
        <s v="14/04/2017"/>
        <s v="21/08/2018"/>
        <s v="12/09/2015"/>
        <s v="01/10/2018"/>
        <s v="15/04/2017"/>
        <s v="19/12/2015"/>
        <s v="15/09/2018"/>
        <s v="20/03/2018"/>
        <s v="01/04/2017"/>
        <s v="20/10/2018"/>
        <s v="12/02/2015"/>
        <s v="22/04/2017"/>
        <s v="20/12/2016"/>
        <s v="09/11/2015"/>
        <s v="26/06/2017"/>
        <s v="06/10/2015"/>
        <s v="22/07/2015"/>
        <s v="10/06/2018"/>
        <s v="29/10/2015"/>
        <s v="09/05/2017"/>
        <s v="18/03/2017"/>
        <s v="30/05/2017"/>
        <s v="16/03/2016"/>
        <s v="26/11/2018"/>
        <s v="21/12/2018"/>
        <s v="22/03/2016"/>
        <s v="26/12/2016"/>
        <s v="21/10/2018"/>
        <s v="07/11/2016"/>
        <s v="07/09/2018"/>
        <s v="29/05/2017"/>
        <s v="10/07/2017"/>
        <s v="03/09/2018"/>
        <s v="07/12/2016"/>
        <s v="01/02/2015"/>
        <s v="19/11/2018"/>
        <s v="24/11/2018"/>
        <s v="03/03/2015"/>
        <s v="10/06/2017"/>
        <s v="20/11/2018"/>
        <s v="07/12/2018"/>
        <s v="18/09/2016"/>
        <s v="20/07/2018"/>
        <s v="10/09/2016"/>
        <s v="03/07/2016"/>
        <s v="20/03/2017"/>
        <s v="09/01/2015"/>
        <s v="08/08/2015"/>
        <s v="14/07/2017"/>
        <s v="15/03/2015"/>
        <s v="23/05/2015"/>
        <s v="28/04/2017"/>
        <s v="14/11/2018"/>
        <s v="18/08/2018"/>
        <s v="29/11/2016"/>
        <s v="19/05/2018"/>
        <s v="04/10/2016"/>
        <s v="15/08/2017"/>
        <s v="30/07/2018"/>
        <s v="30/12/2018"/>
        <s v="22/08/2017"/>
        <s v="05/12/2018"/>
        <s v="18/03/2018"/>
        <s v="19/11/2017"/>
        <s v="04/11/2018"/>
        <s v="05/07/2015"/>
        <s v="21/06/2015"/>
        <s v="28/03/2016"/>
        <s v="14/05/2016"/>
        <s v="09/04/2016"/>
        <s v="02/12/2015"/>
        <s v="13/02/2017"/>
        <s v="07/10/2015"/>
        <s v="07/07/2017"/>
        <s v="03/12/2017"/>
        <s v="21/01/2018"/>
        <s v="04/01/2015"/>
        <s v="27/08/2017"/>
        <s v="02/10/2018"/>
        <s v="07/04/2017"/>
        <s v="13/01/2015"/>
        <s v="14/05/2015"/>
        <s v="30/01/2018"/>
        <s v="29/06/2015"/>
        <s v="03/10/2016"/>
        <s v="12/12/2016"/>
        <s v="20/05/2017"/>
        <s v="20/02/2018"/>
        <s v="12/03/2017"/>
        <s v="22/04/2018"/>
        <s v="14/05/2018"/>
        <s v="20/06/2018"/>
        <s v="09/05/2015"/>
        <s v="20/11/2016"/>
        <s v="01/01/2018"/>
        <s v="07/02/2015"/>
        <s v="10/01/2015"/>
        <s v="29/09/2017"/>
        <s v="06/04/2015"/>
        <s v="03/09/2017"/>
        <s v="17/09/2015"/>
        <s v="29/04/2015"/>
        <s v="25/04/2016"/>
        <s v="26/06/2018"/>
        <s v="10/11/2017"/>
        <s v="03/10/2017"/>
        <s v="29/10/2018"/>
        <s v="10/04/2017"/>
        <s v="02/09/2018"/>
        <s v="05/03/2017"/>
        <s v="11/04/2016"/>
        <s v="13/12/2016"/>
        <s v="19/06/2017"/>
        <s v="03/04/2018"/>
        <s v="15/05/2018"/>
        <s v="22/09/2016"/>
        <s v="22/09/2015"/>
        <s v="09/04/2018"/>
        <s v="29/09/2018"/>
        <s v="10/03/2016"/>
        <s v="21/05/2015"/>
        <s v="28/10/2016"/>
        <s v="31/07/2016"/>
        <s v="27/08/2016"/>
        <s v="06/11/2016"/>
        <s v="21/12/2016"/>
        <s v="06/07/2016"/>
        <s v="11/01/2017"/>
        <s v="13/06/2016"/>
        <s v="09/07/2018"/>
        <s v="04/04/2016"/>
        <s v="24/11/2017"/>
        <s v="16/04/2016"/>
        <s v="12/11/2017"/>
        <s v="23/09/2018"/>
        <s v="04/06/2018"/>
        <s v="14/06/2017"/>
        <s v="04/09/2016"/>
        <s v="05/06/2017"/>
        <s v="10/03/2015"/>
        <s v="27/12/2015"/>
        <s v="26/02/2018"/>
        <s v="09/09/2018"/>
        <s v="31/10/2016"/>
        <s v="11/08/2015"/>
        <s v="12/12/2015"/>
        <s v="10/03/2018"/>
        <s v="23/10/2018"/>
        <s v="21/04/2017"/>
        <s v="02/05/2017"/>
        <s v="22/11/2017"/>
        <s v="19/09/2016"/>
        <s v="03/07/2018"/>
        <s v="03/03/2018"/>
        <s v="09/10/2018"/>
        <s v="15/10/2018"/>
        <s v="16/02/2015"/>
        <s v="16/05/2017"/>
        <s v="31/03/2018"/>
        <s v="02/01/2018"/>
        <s v="05/05/2017"/>
        <s v="26/09/2015"/>
        <s v="10/11/2018"/>
        <s v="07/03/2018"/>
        <s v="05/02/2017"/>
        <s v="30/06/2015"/>
        <s v="28/01/2018"/>
        <s v="21/09/2016"/>
        <s v="26/09/2016"/>
        <s v="19/07/2016"/>
        <s v="26/11/2017"/>
        <s v="12/06/2018"/>
        <s v="14/10/2017"/>
        <s v="27/11/2015"/>
        <s v="03/11/2016"/>
        <s v="04/09/2018"/>
        <s v="01/08/2016"/>
        <s v="16/04/2018"/>
        <s v="06/12/2016"/>
        <s v="29/10/2017"/>
        <s v="15/12/2015"/>
        <s v="23/06/2016"/>
        <s v="24/03/2016"/>
        <s v="26/05/2015"/>
        <s v="10/08/2016"/>
        <s v="26/11/2015"/>
        <s v="26/05/2017"/>
        <s v="29/08/2015"/>
        <s v="18/11/2018"/>
        <s v="20/01/2018"/>
        <s v="30/04/2018"/>
        <s v="02/02/2015"/>
        <s v="30/10/2018"/>
        <s v="07/10/2018"/>
        <s v="29/04/2018"/>
        <s v="28/09/2015"/>
        <s v="08/12/2016"/>
        <s v="04/08/2017"/>
        <s v="22/09/2018"/>
        <s v="15/02/2016"/>
        <s v="08/08/2017"/>
        <s v="11/02/2017"/>
        <s v="25/05/2015"/>
        <s v="08/02/2017"/>
        <s v="01/08/2015"/>
        <s v="18/07/2017"/>
        <s v="12/01/2018"/>
        <s v="21/07/2015"/>
        <s v="21/11/2018"/>
        <s v="02/12/2018"/>
        <s v="03/10/2018"/>
        <s v="18/12/2018"/>
        <s v="17/08/2018"/>
        <s v="08/07/2017"/>
        <s v="06/08/2018"/>
        <s v="14/12/2015"/>
        <s v="03/08/2018"/>
        <s v="11/12/2016"/>
        <s v="18/06/2016"/>
        <s v="07/11/2018"/>
        <s v="20/05/2015"/>
        <s v="30/11/2016"/>
        <s v="31/12/2016"/>
        <s v="15/10/2017"/>
        <s v="14/11/2015"/>
        <s v="19/03/2017"/>
        <s v="31/03/2015"/>
        <s v="15/09/2016"/>
        <s v="15/07/2017"/>
        <s v="20/04/2018"/>
        <s v="15/11/2017"/>
        <s v="12/10/2018"/>
        <s v="17/09/2018"/>
        <s v="08/01/2018"/>
        <s v="10/12/2018"/>
        <s v="31/08/2016"/>
        <s v="06/05/2017"/>
        <s v="25/03/2018"/>
        <s v="25/03/2015"/>
        <s v="18/11/2015"/>
        <s v="22/05/2017"/>
        <s v="17/03/2018"/>
        <s v="22/01/2017"/>
        <s v="09/10/2016"/>
        <s v="02/07/2016"/>
        <s v="18/11/2017"/>
        <s v="06/04/2016"/>
        <s v="08/10/2017"/>
        <s v="22/10/2018"/>
        <s v="07/09/2015"/>
        <s v="09/09/2015"/>
        <s v="04/12/2015"/>
        <s v="02/04/2016"/>
        <s v="25/07/2016"/>
        <s v="16/11/2016"/>
        <s v="08/04/2018"/>
        <s v="16/12/2018"/>
        <s v="12/06/2016"/>
        <s v="25/05/2017"/>
        <s v="24/08/2015"/>
        <s v="11/09/2018"/>
        <s v="13/03/2018"/>
        <s v="23/03/2018"/>
        <s v="11/02/2018"/>
        <s v="07/11/2015"/>
        <s v="22/05/2015"/>
        <s v="09/07/2016"/>
        <s v="20/06/2015"/>
        <s v="23/12/2018"/>
        <s v="07/08/2018"/>
        <s v="25/07/2015"/>
        <s v="27/01/2015"/>
        <s v="12/11/2016"/>
        <s v="06/06/2018"/>
        <s v="20/12/2015"/>
        <s v="15/06/2016"/>
        <s v="28/08/2018"/>
        <s v="26/08/2017"/>
        <s v="16/06/2016"/>
        <s v="01/06/2016"/>
        <s v="22/10/2017"/>
        <s v="17/04/2017"/>
        <s v="08/03/2016"/>
        <s v="11/10/2015"/>
        <s v="10/12/2016"/>
        <s v="23/08/2016"/>
        <s v="27/10/2018"/>
        <s v="23/06/2015"/>
        <s v="25/12/2016"/>
        <s v="08/07/2016"/>
        <s v="01/04/2018"/>
        <s v="29/08/2018"/>
        <s v="26/03/2018"/>
        <s v="16/04/2017"/>
        <s v="03/05/2017"/>
        <s v="04/07/2017"/>
        <s v="24/03/2015"/>
        <s v="30/03/2018"/>
        <s v="02/11/2018"/>
        <s v="03/05/2016"/>
        <s v="14/11/2017"/>
        <s v="15/03/2016"/>
        <s v="31/01/2017"/>
        <s v="07/10/2017"/>
        <s v="21/07/2018"/>
        <s v="05/03/2016"/>
        <s v="25/07/2018"/>
        <s v="15/08/2018"/>
        <s v="14/08/2017"/>
        <s v="27/11/2018"/>
        <s v="27/03/2016"/>
        <s v="17/11/2016"/>
        <s v="01/05/2017"/>
        <s v="03/08/2017"/>
        <s v="23/05/2017"/>
        <s v="16/01/2018"/>
        <s v="25/11/2017"/>
        <s v="14/09/2018"/>
        <s v="06/10/2017"/>
        <s v="10/10/2017"/>
        <s v="17/02/2018"/>
        <s v="30/01/2017"/>
        <s v="10/05/2017"/>
      </sharedItems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 count="64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Sally Hughsby"/>
        <s v="Sandra Glassco"/>
        <s v="Maureen Gastineau"/>
        <s v="Justin Ellison"/>
        <s v="Tamara Willingham"/>
        <s v="Stephanie Phelps"/>
        <s v="Neil Knudson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Helen Andreada"/>
        <s v="Barry Blumstein"/>
        <s v="Andrew Gjertsen"/>
        <s v="Jas O'Carroll"/>
        <s v="Alan Haines"/>
        <s v="Nick Zandusky"/>
        <s v="Kelly Lampkin"/>
        <s v="Jonathan Doherty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Tamara Dahlen"/>
        <s v="Adam Bellavance"/>
        <s v="Jeremy Lonsdale"/>
        <s v="Victoria Brennan"/>
        <s v="Katrina Willman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Dave Brooks"/>
        <s v="Mike Kennedy"/>
        <s v="Philisse Overcash"/>
        <s v="Brenda Bowman"/>
        <s v="Troy Blackwell"/>
        <s v="Raymond Buch"/>
        <s v="Ed Braxton"/>
        <s v="Sanjit Chand"/>
        <s v="Tanja Norvell"/>
        <s v="Maya Herman"/>
        <s v="Jeremy Pistek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Chuck Clark"/>
        <s v="Anthony Rawles"/>
        <s v="Craig Reiter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Arthur Prichep"/>
        <s v="Roland Schwarz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Chris Selesnick"/>
        <s v="Anthony Johnson"/>
        <s v="Benjamin Venier"/>
        <s v="Dan Lawera"/>
        <s v="Bryan Mills"/>
        <s v="Liz Thompson"/>
        <s v="Joe Kamberova"/>
        <s v="Erica Smith"/>
        <s v="Helen Wasserman"/>
        <s v="Mike Caudle"/>
        <s v="Gary McGarr"/>
        <s v="Pauline Johnson"/>
        <s v="Toby Ritter"/>
        <s v="Patrick Gardner"/>
        <s v="Lisa Hazard"/>
        <s v="James Lanier"/>
        <s v="Brian Moss"/>
        <s v="Eudokia Martin"/>
        <s v="Guy Armstrong"/>
        <s v="Cyma Kinney"/>
        <s v="Dave Poirier"/>
        <s v="Berenike Kampe"/>
        <s v="Chuck Magee"/>
        <s v="Anthony Jacobs"/>
        <s v="Linda Southworth"/>
        <s v="Guy Phonely"/>
        <s v="Paul Knutson"/>
        <s v="Anthony Garverick"/>
        <s v="Lauren Leatherbury"/>
        <s v="Jill Stevenson"/>
        <s v="Jeremy Ellison"/>
        <s v="Tracy Hopkins"/>
        <s v="Pamela Coakley"/>
        <s v="Hunter Lopez"/>
        <s v="George Bell"/>
        <s v="Justin Ritter"/>
        <s v="Bill Eplett"/>
        <s v="Rob Williams"/>
        <s v="Sanjit Engle"/>
        <s v="Jessica Myrick"/>
        <s v="Ralph Kennedy"/>
        <s v="Catherine Glotzbach"/>
        <s v="Rachel Payne"/>
        <s v="Karen Carlisle"/>
        <s v="Katherine Hughes"/>
        <s v="Joseph Airdo"/>
        <s v="Daniel Lacy"/>
        <s v="Thomas Brumley"/>
        <s v="Maribeth Schnelling"/>
        <s v="Bryan Spruell"/>
        <s v="Tracy Zic"/>
        <s v="Ann Steele"/>
        <s v="Toby Swindell"/>
        <s v="Mitch Willingham"/>
        <s v="Rob Dowd"/>
        <s v="Rick Hansen"/>
        <s v="Ryan Akin"/>
        <s v="Meg Tillman"/>
        <s v="Vivek Gonzalez"/>
        <s v="John Stevenson"/>
        <s v="Kalyca Meade"/>
        <s v="Hallie Redmond"/>
        <s v="Deanra Eno"/>
        <s v="Allen Goldenen"/>
        <s v="Ed Ludwig"/>
        <s v="Jennifer Jackson"/>
        <s v="Jennifer Halladay"/>
        <s v="Mary O'Rourke"/>
        <s v="Noel Staavos"/>
        <s v="Deirdre Greer"/>
        <s v="Nicole Fjeld"/>
        <s v="Matthew Grinstein"/>
        <s v="Theresa Swint"/>
        <s v="Frank Olsen"/>
        <s v="Maurice Satty"/>
        <s v="Chad Cunningham"/>
        <s v="Don Weiss"/>
        <s v="Bill Tyler"/>
        <s v="Craig Yedwab"/>
        <s v="Lindsay Williams"/>
        <s v="Brad Thomas"/>
        <s v="Penelope Sewall"/>
        <s v="Paul Van Hugh"/>
        <s v="Neoma Murray"/>
        <s v="Christine Sundaresam"/>
        <s v="Joni Sundaresam"/>
        <s v="Frank Hawley"/>
        <s v="Nat Carroll"/>
        <s v="Anne Pryor"/>
        <s v="Scott Williamson"/>
        <s v="Alyssa Tate"/>
        <s v="Harold Ryan"/>
        <s v="Bradley Talbott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Phillip Flathmann"/>
        <s v="Dan Campbell"/>
        <s v="Sibella Parks"/>
        <s v="Bryan Davis"/>
        <s v="Todd Boyes"/>
        <s v="Tracy Collins"/>
        <s v="Chuck Sachs"/>
        <s v="Henry Goldwyn"/>
        <s v="Liz Preis"/>
        <s v="Evan Bailliet"/>
        <s v="Frank Gastineau"/>
        <s v="Michael Nguyen"/>
        <s v="Jim Radford"/>
        <s v="Chad McGuire"/>
        <s v="Aaron Smayling"/>
        <s v="Natalie DeCherney"/>
        <s v="Kean Takahito"/>
        <s v="Harry Marie"/>
        <s v="Ann Blume"/>
        <s v="Michael Granlund"/>
        <s v="Paul Prost"/>
        <s v="Helen Abelman"/>
        <s v="Beth Thompson"/>
        <s v="Stuart Van"/>
        <s v="Rick Wilson"/>
        <s v="Damala Kotsonis"/>
        <s v="Shui Tom"/>
        <s v="Thais Sissman"/>
        <s v="Mark Cousins"/>
        <s v="Maria Etezadi"/>
        <s v="Nora Pelletier"/>
        <s v="Christine Phan"/>
        <s v="Maxwell Schwartz"/>
        <s v="Corinna Mitchell"/>
        <s v="Todd Sumrall"/>
        <s v="John Dryer"/>
        <s v="Pauline Chand"/>
        <s v="Cindy Stewart"/>
        <s v="Paul Lucas"/>
        <s v="Gary Hwang"/>
        <s v="Jim Mitchum"/>
        <s v="Julia West"/>
        <s v="Anthony Witt"/>
        <s v="Adam Hart"/>
        <s v="Mick Crebagga"/>
        <s v="Muhammed Yedwab"/>
        <s v="Rick Duston"/>
        <s v="Dennis Pardue"/>
        <s v="Aimee Bixby"/>
        <s v="Marina Lichtenstein"/>
        <s v="Julie Kriz"/>
        <s v="Jenna Caffey"/>
        <s v="Natalie Webber"/>
        <s v="Toby Braunhardt"/>
        <s v="Hilary Holden"/>
        <s v="Christina DeMoss"/>
        <s v="Thea Hendricks"/>
        <s v="Quincy Jones"/>
        <s v="Neola Schneider"/>
        <s v="Alejandro Ballentine"/>
        <s v="Cynthia Delaney"/>
        <s v="Jamie Kunitz"/>
        <s v="Debra Catini"/>
        <s v="Filia McAdams"/>
        <s v="Keith Dawkins"/>
        <s v="Tonja Turnell"/>
        <s v="Max Ludwig"/>
        <s v="Jim Epp"/>
        <s v="Roy Phan"/>
        <s v="Jill Fjeld"/>
        <s v="Phillip Breyer"/>
        <s v="Matt Collins"/>
        <s v="Janet Lee"/>
        <s v="Cathy Hwang"/>
        <s v="Sara Luxemburg"/>
        <s v="Barbara Fisher"/>
        <s v="Katharine Harms"/>
        <s v="Dianna Arnett"/>
        <s v="Noah Childs"/>
        <s v="Michelle Ellison"/>
        <s v="Benjamin Patterson"/>
        <s v="Adam Shillingsburg"/>
        <s v="Amy Cox"/>
        <s v="Duane Benoit"/>
        <s v="Edward Hooks"/>
        <s v="Mary Zewe"/>
        <s v="Scot Coram"/>
        <s v="Seth Vernon"/>
        <s v="Joe Elijah"/>
        <s v="Ann Chong"/>
        <s v="Robert Waldorf"/>
        <s v="Joy Daniels"/>
        <s v="Joy Smith"/>
        <s v="Charlotte Melton"/>
        <s v="Stuart Calhoun"/>
        <s v="Anne McFarland"/>
        <s v="Skye Norling"/>
        <s v="Deborah Brumfield"/>
        <s v="Erica Hernandez"/>
        <s v="Randy Ferguson"/>
        <s v="William Brown"/>
        <s v="Trudy Brown"/>
        <s v="Ivan Liston"/>
        <s v="Patrick Bzostek"/>
        <s v="Maris LaWare"/>
        <s v="Dorothy Badders"/>
        <s v="Bobby Trafton"/>
        <s v="Alex Avila"/>
        <s v="John Huston"/>
        <s v="Carol Triggs"/>
        <s v="Rick Huthwaite"/>
        <s v="Sanjit Jacobs"/>
        <s v="Toby Gnade"/>
        <s v="Justin MacKendrick"/>
        <s v="Sean Miller"/>
        <s v="Tom Prescott"/>
        <s v="Patrick Jones"/>
        <s v="Ricardo Sperren"/>
        <s v="Elizabeth Moffitt"/>
        <s v="Kristina Nunn"/>
        <s v="Chris Cortes"/>
        <s v="Scott Cohen"/>
        <s v="Erica Hackney"/>
        <s v="Barry Französisch"/>
        <s v="Brad Eason"/>
        <s v="Christina VanderZanden"/>
        <s v="Dennis Kane"/>
        <s v="Speros Goranitis"/>
        <s v="Tamara Manning"/>
        <s v="Matt Collister"/>
        <s v="Susan Vittorini"/>
        <s v="Annie Zypern"/>
        <s v="Pierre Wener"/>
        <s v="Art Ferguson"/>
        <s v="Denny Blanton"/>
        <s v="Carlos Meador"/>
        <s v="Tim Brockman"/>
        <s v="Richard Bierner"/>
        <s v="Arthur Wiediger"/>
        <s v="Thomas Thornton"/>
        <s v="Adrian Barton"/>
        <s v="John Castell"/>
        <s v="Bart Watters"/>
        <s v="Edward Nazzal"/>
        <s v="Tom Ashbrook"/>
        <s v="Jason Fortune-"/>
        <s v="Sarah Bern"/>
        <s v="Tom Boeckenhauer"/>
        <s v="Rick Reed"/>
        <s v="Cathy Prescott"/>
        <s v="Edward Becker"/>
        <s v="Michael Oakman"/>
        <s v="Michelle Huthwaite"/>
        <s v="Mike Pelletier"/>
        <s v="Denise Monton"/>
        <s v="Shahid Collister"/>
        <s v="Eugene Moren"/>
        <s v="Andy Yotov"/>
        <s v="Giulietta Baptist"/>
        <s v="Julia Barnett"/>
        <s v="Michael Grace"/>
        <s v="Robert Barroso"/>
        <s v="Karen Ferguson"/>
        <s v="Benjamin Farhat"/>
        <s v="Daniel Byrd"/>
        <s v="Jason Gross"/>
        <s v="Julie Prescott"/>
        <s v="Erin Creighton"/>
        <s v="Becky Pak"/>
        <s v="Jennifer Patt"/>
        <s v="Cari Sayre"/>
        <s v="Pete Takahito"/>
        <s v="Herbert Flentye"/>
        <s v="Tamara Chand"/>
        <s v="Daniel Raglin"/>
        <s v="David Wiener"/>
        <s v="Sarah Jordon"/>
        <s v="Candace McMahon"/>
        <s v="Evan Henry"/>
        <s v="Patrick Ryan"/>
        <s v="Henia Zydlo"/>
        <s v="Sam Zeldin"/>
        <s v="Emily Burns"/>
        <s v="Sam Craven"/>
        <s v="George Ashbrook"/>
        <s v="Stephanie Ulpright"/>
        <s v="Michael Moore"/>
        <s v="Joni Wasserman"/>
        <s v="Vicky Freymann"/>
        <s v="Brian Thompson"/>
        <s v="Ed Jacobs"/>
        <s v="Nathan Cano"/>
        <s v="Anna Häberlin"/>
        <s v="Harry Greene"/>
        <s v="Gary Hansen"/>
        <s v="Toby Carlisle"/>
        <s v="Peter Fuller"/>
        <s v="Valerie Takahito"/>
        <s v="Sean Christensen"/>
        <s v="Vivek Grady"/>
        <s v="Lycoris Saunders"/>
        <s v="Katrina Edelman"/>
        <s v="Eric Barreto"/>
        <s v="Charles Sheldon"/>
        <s v="Dana Kaydos"/>
        <s v="Dean percer"/>
        <s v="Khloe Miller"/>
        <s v="Fred Harton"/>
        <s v="Jack O'Briant"/>
        <s v="Denise Leinenbach"/>
        <s v="Dionis Lloyd"/>
        <s v="Eugene Hildebrand"/>
        <s v="Aleksandra Gannaway"/>
        <s v="Darrin Martin"/>
        <s v="Nick Crebassa"/>
        <s v="Michael Dominguez"/>
        <s v="Maria Zettner"/>
        <s v="Michelle Arnett"/>
        <s v="Bill Shonely"/>
        <s v="Roger Demir"/>
        <s v="Magdelene Morse"/>
        <s v="Christy Brittain"/>
        <s v="Anna Andreadi"/>
        <s v="Brian DeCherney"/>
        <s v="Carlos Daly"/>
        <s v="Neil Ducich"/>
        <s v="Tony Molinari"/>
        <s v="Nancy Lomonaco"/>
        <s v="Stewart Visinsky"/>
        <s v="Nick Radford"/>
        <s v="Eugene Barchas"/>
        <s v="MaryBeth Skach"/>
        <s v="Karen Seio"/>
        <s v="Sample Company A"/>
        <s v="Cindy Chapman"/>
        <s v="Sean Wendt"/>
        <s v="Katherine Nockton"/>
        <s v="Dorothy Dickinson"/>
        <s v="Bill Overfelt"/>
        <s v="Aaron Hawkins"/>
        <s v="Jill Matthias"/>
        <s v="Tony Sayre"/>
        <s v="Don Miller"/>
        <s v="Arianne Irving"/>
        <s v="Michelle Lonsdale"/>
        <s v="Doug O'Connell"/>
        <s v="Mark Van Huff"/>
        <s v="Brian Stugart"/>
        <s v="Chris McAfee"/>
        <s v="Alex Grayson"/>
        <s v="Christopher Conant"/>
        <s v="Andy Reiter"/>
        <s v="Barry Pond"/>
        <s v="Shaun Weien"/>
        <s v="Pamela Stobb"/>
        <s v="Russell D'Ascenzo"/>
        <s v="Laurel Beltran"/>
        <s v="Steven Roelle"/>
        <s v="Corey Catlett"/>
        <s v="Cyra Reiten"/>
        <s v="Lisa Ryan"/>
        <s v="David Flashing"/>
        <s v="Gene McClure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1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aryland"/>
        <s v="District of Columbia"/>
        <s v="New Hampshire"/>
        <s v="South Dakota"/>
        <s v="Montana"/>
      </sharedItems>
    </cacheField>
    <cacheField name="Postal Code" numFmtId="0">
      <sharedItems containsSemiMixedTypes="0" containsString="0" containsNumber="1" containsInteger="1" minValue="1841" maxValue="99207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1120000000000001" maxValue="11199.968000000001"/>
    </cacheField>
    <cacheField name="aggregate functions " numFmtId="0">
      <sharedItems containsString="0" containsBlank="1" containsNumber="1" minValue="1.1120000000000001" maxValue="156017.70259999981"/>
    </cacheField>
    <cacheField name="if function " numFmtId="0">
      <sharedItems/>
    </cacheField>
    <cacheField name="multiple if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4.858943981482" createdVersion="8" refreshedVersion="8" minRefreshableVersion="3" recordCount="644" xr:uid="{827CEF1C-23FE-483D-96CD-5EAD903ABCCC}">
  <cacheSource type="worksheet">
    <worksheetSource ref="A1:U1048576" sheet="sales"/>
  </cacheSource>
  <cacheFields count="21">
    <cacheField name="Row ID" numFmtId="0">
      <sharedItems containsString="0" containsBlank="1" containsNumber="1" containsInteger="1" minValue="1" maxValue="9563"/>
    </cacheField>
    <cacheField name="Order ID" numFmtId="0">
      <sharedItems containsBlank="1"/>
    </cacheField>
    <cacheField name="Order Date" numFmtId="0">
      <sharedItems containsBlank="1"/>
    </cacheField>
    <cacheField name="Ship Date" numFmtId="0">
      <sharedItems containsBlank="1"/>
    </cacheField>
    <cacheField name="Ship Mode" numFmtId="0">
      <sharedItems containsBlank="1"/>
    </cacheField>
    <cacheField name="Customer ID" numFmtId="0">
      <sharedItems containsBlank="1" count="64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SH-19975"/>
        <s v="SG-20080"/>
        <s v="MG-17680"/>
        <s v="JE-16165"/>
        <s v="TW-21025"/>
        <s v="SP-20650"/>
        <s v="NK-1849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HA-14920"/>
        <s v="BB-10990"/>
        <s v="AG-10495"/>
        <s v="JO-15280"/>
        <s v="AH-10195"/>
        <s v="NZ-18565"/>
        <s v="KL-16555"/>
        <s v="JD-1589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TD-20995"/>
        <s v="AB-10060"/>
        <s v="JL-15505"/>
        <s v="VB-21745"/>
        <s v="KW-16435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DB-13060"/>
        <s v="MK-18160"/>
        <s v="PO-19180"/>
        <s v="BB-11545"/>
        <s v="TB-21595"/>
        <s v="RB-19360"/>
        <s v="EB-13705"/>
        <s v="SC-20095"/>
        <s v="TN-21040"/>
        <s v="MH-17785"/>
        <s v="JP-15520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BD-11605"/>
        <s v="PH-18790"/>
        <s v="MG-18145"/>
        <s v="KB-16240"/>
        <s v="JC-15340"/>
        <s v="RL-19615"/>
        <s v="AA-10375"/>
        <s v="EP-13915"/>
        <s v="DK-12985"/>
        <s v="BD-11500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CC-12430"/>
        <s v="AR-10825"/>
        <s v="CR-12730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AP-10915"/>
        <s v="RS-1976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CS-12250"/>
        <s v="AJ-10795"/>
        <s v="BV-11245"/>
        <s v="DL-12865"/>
        <s v="BM-11785"/>
        <s v="LT-17110"/>
        <s v="JK-15730"/>
        <s v="ES-14020"/>
        <s v="HW-14935"/>
        <s v="MC-18130"/>
        <s v="GM-14440"/>
        <s v="PJ-19015"/>
        <s v="TR-21325"/>
        <s v="PG-18820"/>
        <s v="LH-17020"/>
        <s v="JL-15175"/>
        <s v="BM-11650"/>
        <s v="EM-14095"/>
        <s v="GA-14725"/>
        <s v="CK-12760"/>
        <s v="DP-13105"/>
        <s v="BK-11260"/>
        <s v="CM-12445"/>
        <s v="AJ-10780"/>
        <s v="LS-16945"/>
        <s v="GP-14740"/>
        <s v="PK-18910"/>
        <s v="AG-10765"/>
        <s v="LL-16840"/>
        <s v="JS-15595"/>
        <s v="JE-15475"/>
        <s v="TH-21550"/>
        <s v="PC-18745"/>
        <s v="HL-15040"/>
        <s v="GB-14530"/>
        <s v="JR-16210"/>
        <s v="BE-11335"/>
        <s v="RW-19630"/>
        <s v="SE-20110"/>
        <s v="JM-15535"/>
        <s v="RK-19300"/>
        <s v="CG-12040"/>
        <s v="RP-19270"/>
        <s v="KC-16255"/>
        <s v="KH-16360"/>
        <s v="JA-15970"/>
        <s v="DL-12925"/>
        <s v="TB-21190"/>
        <s v="MS-17365"/>
        <s v="BS-11800"/>
        <s v="TZ-21580"/>
        <s v="AS-10630"/>
        <s v="TS-21340"/>
        <s v="MW-18235"/>
        <s v="RD-19585"/>
        <s v="RH-19495"/>
        <s v="RA-19945"/>
        <s v="MT-17815"/>
        <s v="VG-21790"/>
        <s v="JS-15880"/>
        <s v="KM-16225"/>
        <s v="HR-14770"/>
        <s v="DE-13255"/>
        <s v="AG-10390"/>
        <s v="EL-13735"/>
        <s v="JJ-15445"/>
        <s v="JH-15430"/>
        <s v="MO-17500"/>
        <s v="NS-18640"/>
        <s v="DG-13300"/>
        <s v="NF-18595"/>
        <s v="MG-17650"/>
        <s v="TS-21160"/>
        <s v="FO-14305"/>
        <s v="MS-17710"/>
        <s v="CC-12100"/>
        <s v="DW-13540"/>
        <s v="BT-11395"/>
        <s v="CY-12745"/>
        <s v="LW-16990"/>
        <s v="BT-11485"/>
        <s v="PS-19045"/>
        <s v="PV-18985"/>
        <s v="NM-18520"/>
        <s v="CS-12355"/>
        <s v="JS-15940"/>
        <s v="FH-14275"/>
        <s v="NC-18340"/>
        <s v="AP-10720"/>
        <s v="SW-20275"/>
        <s v="AT-10435"/>
        <s v="HR-14830"/>
        <s v="BT-1153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PF-19225"/>
        <s v="DC-12850"/>
        <s v="SP-20545"/>
        <s v="BD-11770"/>
        <s v="TB-21355"/>
        <s v="TC-21535"/>
        <s v="CS-12460"/>
        <s v="HG-14965"/>
        <s v="LP-17095"/>
        <s v="EB-14170"/>
        <s v="FG-14260"/>
        <s v="MN-17935"/>
        <s v="JR-15670"/>
        <s v="CM-12115"/>
        <s v="AS-10045"/>
        <s v="ND-18370"/>
        <s v="KT-16465"/>
        <s v="HM-14860"/>
        <s v="AB-10600"/>
        <s v="MG-17890"/>
        <s v="PP-18955"/>
        <s v="HA-14905"/>
        <s v="BT-11305"/>
        <s v="SV-20815"/>
        <s v="RW-19540"/>
        <s v="DK-12835"/>
        <s v="ST-20530"/>
        <s v="TS-21085"/>
        <s v="MC-17425"/>
        <s v="ME-17320"/>
        <s v="NP-18685"/>
        <s v="CP-12340"/>
        <s v="MS-17770"/>
        <s v="CM-12655"/>
        <s v="TS-21370"/>
        <s v="JD-15790"/>
        <s v="PC-19000"/>
        <s v="CS-12505"/>
        <s v="PL-18925"/>
        <s v="GH-14425"/>
        <s v="JM-15655"/>
        <s v="JW-16075"/>
        <s v="AW-10840"/>
        <s v="AH-10075"/>
        <s v="MC-18100"/>
        <s v="MY-18295"/>
        <s v="RD-19480"/>
        <s v="DP-13390"/>
        <s v="AB-10150"/>
        <s v="ML-17395"/>
        <s v="JK-16120"/>
        <s v="JC-15385"/>
        <s v="NW-18400"/>
        <s v="TB-21280"/>
        <s v="HH-15010"/>
        <s v="CD-12280"/>
        <s v="TH-21100"/>
        <s v="QJ-19255"/>
        <s v="NS-18505"/>
        <s v="AB-10255"/>
        <s v="CD-12790"/>
        <s v="JK-15205"/>
        <s v="DC-13285"/>
        <s v="FM-14215"/>
        <s v="KD-16495"/>
        <s v="TT-21460"/>
        <s v="ML-17755"/>
        <s v="JE-15610"/>
        <s v="RP-19855"/>
        <s v="JF-15565"/>
        <s v="PB-19210"/>
        <s v="MC-17575"/>
        <s v="JL-15235"/>
        <s v="CH-12070"/>
        <s v="SL-20155"/>
        <s v="BF-10975"/>
        <s v="KH-16330"/>
        <s v="DA-13450"/>
        <s v="NC-18625"/>
        <s v="ME-18010"/>
        <s v="BP-11230"/>
        <s v="AS-10090"/>
        <s v="AC-10450"/>
        <s v="DB-13660"/>
        <s v="EH-13765"/>
        <s v="MZ-17515"/>
        <s v="SC-20230"/>
        <s v="SV-20365"/>
        <s v="JE-15715"/>
        <s v="AC-10615"/>
        <s v="RW-19690"/>
        <s v="JD-16015"/>
        <s v="JS-16030"/>
        <s v="CM-12190"/>
        <s v="SC-20800"/>
        <s v="AM-10705"/>
        <s v="SN-20560"/>
        <s v="DB-13270"/>
        <s v="EH-14005"/>
        <s v="RF-19345"/>
        <s v="WB-21850"/>
        <s v="TB-21625"/>
        <s v="IL-15100"/>
        <s v="PB-18805"/>
        <s v="ML-17410"/>
        <s v="DB-13555"/>
        <s v="BT-11440"/>
        <s v="AA-10315"/>
        <s v="JH-15820"/>
        <s v="CT-11995"/>
        <s v="RH-19510"/>
        <s v="SJ-20125"/>
        <s v="TG-21310"/>
        <s v="JM-16195"/>
        <s v="SM-20320"/>
        <s v="TP-21415"/>
        <s v="PJ-18835"/>
        <s v="RS-19420"/>
        <s v="EM-13825"/>
        <s v="KN-16705"/>
        <s v="CC-12220"/>
        <s v="SC-20260"/>
        <s v="EH-13990"/>
        <s v="BF-11020"/>
        <s v="BE-11455"/>
        <s v="CV-12295"/>
        <s v="DK-13375"/>
        <s v="SG-20605"/>
        <s v="TM-21010"/>
        <s v="MC-17590"/>
        <s v="SV-20935"/>
        <s v="AZ-10750"/>
        <s v="PW-19240"/>
        <s v="AF-10870"/>
        <s v="DB-13405"/>
        <s v="CM-11935"/>
        <s v="TB-21250"/>
        <s v="RB-19435"/>
        <s v="AW-10930"/>
        <s v="TT-21220"/>
        <s v="AB-10105"/>
        <s v="JC-15775"/>
        <s v="BW-11110"/>
        <s v="EN-13780"/>
        <s v="TA-21385"/>
        <s v="JF-15295"/>
        <s v="SB-20170"/>
        <s v="TB-21400"/>
        <s v="RR-19525"/>
        <s v="CP-12085"/>
        <s v="EB-13750"/>
        <s v="MO-17950"/>
        <s v="MH-18025"/>
        <s v="MP-18175"/>
        <s v="DM-13345"/>
        <s v="SC-20380"/>
        <s v="EM-14140"/>
        <s v="AY-10555"/>
        <s v="GB-14575"/>
        <s v="JB-16045"/>
        <s v="MG-17875"/>
        <s v="RB-19645"/>
        <s v="KF-16285"/>
        <s v="BF-11215"/>
        <s v="DB-12910"/>
        <s v="JG-15310"/>
        <s v="JP-16135"/>
        <s v="EC-14050"/>
        <s v="BP-11155"/>
        <s v="JP-15460"/>
        <s v="CS-11845"/>
        <s v="PT-19090"/>
        <s v="HF-14995"/>
        <s v="TC-20980"/>
        <s v="DR-12940"/>
        <s v="DW-13195"/>
        <s v="SJ-20215"/>
        <s v="CM-11815"/>
        <s v="EH-14185"/>
        <s v="PR-18880"/>
        <s v="HZ-14950"/>
        <s v="SZ-20035"/>
        <s v="EB-13870"/>
        <s v="SC-20020"/>
        <s v="GA-14515"/>
        <s v="SU-20665"/>
        <s v="MM-17920"/>
        <s v="JW-15955"/>
        <s v="VF-21715"/>
        <s v="BT-11680"/>
        <s v="EJ-13720"/>
        <s v="NC-18415"/>
        <s v="AH-10690"/>
        <s v="HG-14845"/>
        <s v="GH-14410"/>
        <s v="TC-21295"/>
        <s v="PF-19120"/>
        <s v="VT-21700"/>
        <s v="SC-20305"/>
        <s v="VG-21805"/>
        <s v="LS-17230"/>
        <s v="KE-16420"/>
        <s v="EB-13930"/>
        <s v="CS-12175"/>
        <s v="DK-12895"/>
        <s v="Dp-13240"/>
        <s v="KM-16660"/>
        <s v="FH-14350"/>
        <s v="JO-15145"/>
        <s v="DL-13330"/>
        <s v="DL-13495"/>
        <s v="EH-14125"/>
        <s v="AG-10300"/>
        <s v="DM-13015"/>
        <s v="NC-18535"/>
        <s v="MD-17860"/>
        <s v="MZ-17335"/>
        <s v="MA-17995"/>
        <s v="BS-11365"/>
        <s v="RD-19720"/>
        <s v="MM-17260"/>
        <s v="CB-12415"/>
        <s v="AA-10645"/>
        <s v="BD-11620"/>
        <s v="CD-11920"/>
        <s v="ND-18460"/>
        <s v="TM-21490"/>
        <s v="NL-18310"/>
        <s v="SV-20785"/>
        <s v="NR-18550"/>
        <s v="EB-14110"/>
        <s v="MS-17530"/>
        <s v="KS-16300"/>
        <s v="SC-20050"/>
        <s v="CC-12475"/>
        <s v="SW-20350"/>
        <s v="KN-16390"/>
        <s v="DD-13570"/>
        <s v="BO-11350"/>
        <s v="AH-10030"/>
        <s v="JM-15580"/>
        <s v="TS-21505"/>
        <s v="DM-13525"/>
        <s v="AI-10855"/>
        <s v="ML-18040"/>
        <s v="DO-13645"/>
        <s v="MV-17485"/>
        <s v="BS-11665"/>
        <s v="CM-12235"/>
        <s v="AG-10330"/>
        <s v="CC-12370"/>
        <s v="AR-10540"/>
        <s v="BP-11050"/>
        <s v="SW-20455"/>
        <s v="PS-18760"/>
        <s v="RD-19930"/>
        <s v="LB-16795"/>
        <s v="SR-20740"/>
        <s v="CC-12610"/>
        <s v="CR-12820"/>
        <s v="LR-17035"/>
        <s v="DF-13135"/>
        <s v="GM-14500"/>
        <s v="SM-20905"/>
        <m/>
      </sharedItems>
    </cacheField>
    <cacheField name="Customer Name" numFmtId="0">
      <sharedItems containsBlank="1" count="64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Sally Hughsby"/>
        <s v="Sandra Glassco"/>
        <s v="Maureen Gastineau"/>
        <s v="Justin Ellison"/>
        <s v="Tamara Willingham"/>
        <s v="Stephanie Phelps"/>
        <s v="Neil Knudson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Helen Andreada"/>
        <s v="Barry Blumstein"/>
        <s v="Andrew Gjertsen"/>
        <s v="Jas O'Carroll"/>
        <s v="Alan Haines"/>
        <s v="Nick Zandusky"/>
        <s v="Kelly Lampkin"/>
        <s v="Jonathan Doherty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Tamara Dahlen"/>
        <s v="Adam Bellavance"/>
        <s v="Jeremy Lonsdale"/>
        <s v="Victoria Brennan"/>
        <s v="Katrina Willman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Dave Brooks"/>
        <s v="Mike Kennedy"/>
        <s v="Philisse Overcash"/>
        <s v="Brenda Bowman"/>
        <s v="Troy Blackwell"/>
        <s v="Raymond Buch"/>
        <s v="Ed Braxton"/>
        <s v="Sanjit Chand"/>
        <s v="Tanja Norvell"/>
        <s v="Maya Herman"/>
        <s v="Jeremy Pistek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Chuck Clark"/>
        <s v="Anthony Rawles"/>
        <s v="Craig Reiter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Arthur Prichep"/>
        <s v="Roland Schwarz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Chris Selesnick"/>
        <s v="Anthony Johnson"/>
        <s v="Benjamin Venier"/>
        <s v="Dan Lawera"/>
        <s v="Bryan Mills"/>
        <s v="Liz Thompson"/>
        <s v="Joe Kamberova"/>
        <s v="Erica Smith"/>
        <s v="Helen Wasserman"/>
        <s v="Mike Caudle"/>
        <s v="Gary McGarr"/>
        <s v="Pauline Johnson"/>
        <s v="Toby Ritter"/>
        <s v="Patrick Gardner"/>
        <s v="Lisa Hazard"/>
        <s v="James Lanier"/>
        <s v="Brian Moss"/>
        <s v="Eudokia Martin"/>
        <s v="Guy Armstrong"/>
        <s v="Cyma Kinney"/>
        <s v="Dave Poirier"/>
        <s v="Berenike Kampe"/>
        <s v="Chuck Magee"/>
        <s v="Anthony Jacobs"/>
        <s v="Linda Southworth"/>
        <s v="Guy Phonely"/>
        <s v="Paul Knutson"/>
        <s v="Anthony Garverick"/>
        <s v="Lauren Leatherbury"/>
        <s v="Jill Stevenson"/>
        <s v="Jeremy Ellison"/>
        <s v="Tracy Hopkins"/>
        <s v="Pamela Coakley"/>
        <s v="Hunter Lopez"/>
        <s v="George Bell"/>
        <s v="Justin Ritter"/>
        <s v="Bill Eplett"/>
        <s v="Rob Williams"/>
        <s v="Sanjit Engle"/>
        <s v="Jessica Myrick"/>
        <s v="Ralph Kennedy"/>
        <s v="Catherine Glotzbach"/>
        <s v="Rachel Payne"/>
        <s v="Karen Carlisle"/>
        <s v="Katherine Hughes"/>
        <s v="Joseph Airdo"/>
        <s v="Daniel Lacy"/>
        <s v="Thomas Brumley"/>
        <s v="Maribeth Schnelling"/>
        <s v="Bryan Spruell"/>
        <s v="Tracy Zic"/>
        <s v="Ann Steele"/>
        <s v="Toby Swindell"/>
        <s v="Mitch Willingham"/>
        <s v="Rob Dowd"/>
        <s v="Rick Hansen"/>
        <s v="Ryan Akin"/>
        <s v="Meg Tillman"/>
        <s v="Vivek Gonzalez"/>
        <s v="John Stevenson"/>
        <s v="Kalyca Meade"/>
        <s v="Hallie Redmond"/>
        <s v="Deanra Eno"/>
        <s v="Allen Goldenen"/>
        <s v="Ed Ludwig"/>
        <s v="Jennifer Jackson"/>
        <s v="Jennifer Halladay"/>
        <s v="Mary O'Rourke"/>
        <s v="Noel Staavos"/>
        <s v="Deirdre Greer"/>
        <s v="Nicole Fjeld"/>
        <s v="Matthew Grinstein"/>
        <s v="Theresa Swint"/>
        <s v="Frank Olsen"/>
        <s v="Maurice Satty"/>
        <s v="Chad Cunningham"/>
        <s v="Don Weiss"/>
        <s v="Bill Tyler"/>
        <s v="Craig Yedwab"/>
        <s v="Lindsay Williams"/>
        <s v="Brad Thomas"/>
        <s v="Penelope Sewall"/>
        <s v="Paul Van Hugh"/>
        <s v="Neoma Murray"/>
        <s v="Christine Sundaresam"/>
        <s v="Joni Sundaresam"/>
        <s v="Frank Hawley"/>
        <s v="Nat Carroll"/>
        <s v="Anne Pryor"/>
        <s v="Scott Williamson"/>
        <s v="Alyssa Tate"/>
        <s v="Harold Ryan"/>
        <s v="Bradley Talbott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Phillip Flathmann"/>
        <s v="Dan Campbell"/>
        <s v="Sibella Parks"/>
        <s v="Bryan Davis"/>
        <s v="Todd Boyes"/>
        <s v="Tracy Collins"/>
        <s v="Chuck Sachs"/>
        <s v="Henry Goldwyn"/>
        <s v="Liz Preis"/>
        <s v="Evan Bailliet"/>
        <s v="Frank Gastineau"/>
        <s v="Michael Nguyen"/>
        <s v="Jim Radford"/>
        <s v="Chad McGuire"/>
        <s v="Aaron Smayling"/>
        <s v="Natalie DeCherney"/>
        <s v="Kean Takahito"/>
        <s v="Harry Marie"/>
        <s v="Ann Blume"/>
        <s v="Michael Granlund"/>
        <s v="Paul Prost"/>
        <s v="Helen Abelman"/>
        <s v="Beth Thompson"/>
        <s v="Stuart Van"/>
        <s v="Rick Wilson"/>
        <s v="Damala Kotsonis"/>
        <s v="Shui Tom"/>
        <s v="Thais Sissman"/>
        <s v="Mark Cousins"/>
        <s v="Maria Etezadi"/>
        <s v="Nora Pelletier"/>
        <s v="Christine Phan"/>
        <s v="Maxwell Schwartz"/>
        <s v="Corinna Mitchell"/>
        <s v="Todd Sumrall"/>
        <s v="John Dryer"/>
        <s v="Pauline Chand"/>
        <s v="Cindy Stewart"/>
        <s v="Paul Lucas"/>
        <s v="Gary Hwang"/>
        <s v="Jim Mitchum"/>
        <s v="Julia West"/>
        <s v="Anthony Witt"/>
        <s v="Adam Hart"/>
        <s v="Mick Crebagga"/>
        <s v="Muhammed Yedwab"/>
        <s v="Rick Duston"/>
        <s v="Dennis Pardue"/>
        <s v="Aimee Bixby"/>
        <s v="Marina Lichtenstein"/>
        <s v="Julie Kriz"/>
        <s v="Jenna Caffey"/>
        <s v="Natalie Webber"/>
        <s v="Toby Braunhardt"/>
        <s v="Hilary Holden"/>
        <s v="Christina DeMoss"/>
        <s v="Thea Hendricks"/>
        <s v="Quincy Jones"/>
        <s v="Neola Schneider"/>
        <s v="Alejandro Ballentine"/>
        <s v="Cynthia Delaney"/>
        <s v="Jamie Kunitz"/>
        <s v="Debra Catini"/>
        <s v="Filia McAdams"/>
        <s v="Keith Dawkins"/>
        <s v="Tonja Turnell"/>
        <s v="Max Ludwig"/>
        <s v="Jim Epp"/>
        <s v="Roy Phan"/>
        <s v="Jill Fjeld"/>
        <s v="Phillip Breyer"/>
        <s v="Matt Collins"/>
        <s v="Janet Lee"/>
        <s v="Cathy Hwang"/>
        <s v="Sara Luxemburg"/>
        <s v="Barbara Fisher"/>
        <s v="Katharine Harms"/>
        <s v="Dianna Arnett"/>
        <s v="Noah Childs"/>
        <s v="Michelle Ellison"/>
        <s v="Benjamin Patterson"/>
        <s v="Adam Shillingsburg"/>
        <s v="Amy Cox"/>
        <s v="Duane Benoit"/>
        <s v="Edward Hooks"/>
        <s v="Mary Zewe"/>
        <s v="Scot Coram"/>
        <s v="Seth Vernon"/>
        <s v="Joe Elijah"/>
        <s v="Ann Chong"/>
        <s v="Robert Waldorf"/>
        <s v="Joy Daniels"/>
        <s v="Joy Smith"/>
        <s v="Charlotte Melton"/>
        <s v="Stuart Calhoun"/>
        <s v="Anne McFarland"/>
        <s v="Skye Norling"/>
        <s v="Deborah Brumfield"/>
        <s v="Erica Hernandez"/>
        <s v="Randy Ferguson"/>
        <s v="William Brown"/>
        <s v="Trudy Brown"/>
        <s v="Ivan Liston"/>
        <s v="Patrick Bzostek"/>
        <s v="Maris LaWare"/>
        <s v="Dorothy Badders"/>
        <s v="Bobby Trafton"/>
        <s v="Alex Avila"/>
        <s v="John Huston"/>
        <s v="Carol Triggs"/>
        <s v="Rick Huthwaite"/>
        <s v="Sanjit Jacobs"/>
        <s v="Toby Gnade"/>
        <s v="Justin MacKendrick"/>
        <s v="Sean Miller"/>
        <s v="Tom Prescott"/>
        <s v="Patrick Jones"/>
        <s v="Ricardo Sperren"/>
        <s v="Elizabeth Moffitt"/>
        <s v="Kristina Nunn"/>
        <s v="Chris Cortes"/>
        <s v="Scott Cohen"/>
        <s v="Erica Hackney"/>
        <s v="Barry Französisch"/>
        <s v="Brad Eason"/>
        <s v="Christina VanderZanden"/>
        <s v="Dennis Kane"/>
        <s v="Speros Goranitis"/>
        <s v="Tamara Manning"/>
        <s v="Matt Collister"/>
        <s v="Susan Vittorini"/>
        <s v="Annie Zypern"/>
        <s v="Pierre Wener"/>
        <s v="Art Ferguson"/>
        <s v="Denny Blanton"/>
        <s v="Carlos Meador"/>
        <s v="Tim Brockman"/>
        <s v="Richard Bierner"/>
        <s v="Arthur Wiediger"/>
        <s v="Thomas Thornton"/>
        <s v="Adrian Barton"/>
        <s v="John Castell"/>
        <s v="Bart Watters"/>
        <s v="Edward Nazzal"/>
        <s v="Tom Ashbrook"/>
        <s v="Jason Fortune-"/>
        <s v="Sarah Bern"/>
        <s v="Tom Boeckenhauer"/>
        <s v="Rick Reed"/>
        <s v="Cathy Prescott"/>
        <s v="Edward Becker"/>
        <s v="Michael Oakman"/>
        <s v="Michelle Huthwaite"/>
        <s v="Mike Pelletier"/>
        <s v="Denise Monton"/>
        <s v="Shahid Collister"/>
        <s v="Eugene Moren"/>
        <s v="Andy Yotov"/>
        <s v="Giulietta Baptist"/>
        <s v="Julia Barnett"/>
        <s v="Michael Grace"/>
        <s v="Robert Barroso"/>
        <s v="Karen Ferguson"/>
        <s v="Benjamin Farhat"/>
        <s v="Daniel Byrd"/>
        <s v="Jason Gross"/>
        <s v="Julie Prescott"/>
        <s v="Erin Creighton"/>
        <s v="Becky Pak"/>
        <s v="Jennifer Patt"/>
        <s v="Cari Sayre"/>
        <s v="Pete Takahito"/>
        <s v="Herbert Flentye"/>
        <s v="Tamara Chand"/>
        <s v="Daniel Raglin"/>
        <s v="David Wiener"/>
        <s v="Sarah Jordon"/>
        <s v="Candace McMahon"/>
        <s v="Evan Henry"/>
        <s v="Patrick Ryan"/>
        <s v="Henia Zydlo"/>
        <s v="Sam Zeldin"/>
        <s v="Emily Burns"/>
        <s v="Sam Craven"/>
        <s v="George Ashbrook"/>
        <s v="Stephanie Ulpright"/>
        <s v="Michael Moore"/>
        <s v="Joni Wasserman"/>
        <s v="Vicky Freymann"/>
        <s v="Brian Thompson"/>
        <s v="Ed Jacobs"/>
        <s v="Nathan Cano"/>
        <s v="Anna Häberlin"/>
        <s v="Harry Greene"/>
        <s v="Gary Hansen"/>
        <s v="Toby Carlisle"/>
        <s v="Peter Fuller"/>
        <s v="Valerie Takahito"/>
        <s v="Sean Christensen"/>
        <s v="Vivek Grady"/>
        <s v="Lycoris Saunders"/>
        <s v="Katrina Edelman"/>
        <s v="Eric Barreto"/>
        <s v="Charles Sheldon"/>
        <s v="Dana Kaydos"/>
        <s v="Dean percer"/>
        <s v="Khloe Miller"/>
        <s v="Fred Harton"/>
        <s v="Jack O'Briant"/>
        <s v="Denise Leinenbach"/>
        <s v="Dionis Lloyd"/>
        <s v="Eugene Hildebrand"/>
        <s v="Aleksandra Gannaway"/>
        <s v="Darrin Martin"/>
        <s v="Nick Crebassa"/>
        <s v="Michael Dominguez"/>
        <s v="Maria Zettner"/>
        <s v="Michelle Arnett"/>
        <s v="Bill Shonely"/>
        <s v="Roger Demir"/>
        <s v="Magdelene Morse"/>
        <s v="Christy Brittain"/>
        <s v="Anna Andreadi"/>
        <s v="Brian DeCherney"/>
        <s v="Carlos Daly"/>
        <s v="Neil Ducich"/>
        <s v="Tony Molinari"/>
        <s v="Nancy Lomonaco"/>
        <s v="Stewart Visinsky"/>
        <s v="Nick Radford"/>
        <s v="Eugene Barchas"/>
        <s v="MaryBeth Skach"/>
        <s v="Karen Seio"/>
        <s v="Sample Company A"/>
        <s v="Cindy Chapman"/>
        <s v="Sean Wendt"/>
        <s v="Katherine Nockton"/>
        <s v="Dorothy Dickinson"/>
        <s v="Bill Overfelt"/>
        <s v="Aaron Hawkins"/>
        <s v="Jill Matthias"/>
        <s v="Tony Sayre"/>
        <s v="Don Miller"/>
        <s v="Arianne Irving"/>
        <s v="Michelle Lonsdale"/>
        <s v="Doug O'Connell"/>
        <s v="Mark Van Huff"/>
        <s v="Brian Stugart"/>
        <s v="Chris McAfee"/>
        <s v="Alex Grayson"/>
        <s v="Christopher Conant"/>
        <s v="Andy Reiter"/>
        <s v="Barry Pond"/>
        <s v="Shaun Weien"/>
        <s v="Pamela Stobb"/>
        <s v="Russell D'Ascenzo"/>
        <s v="Laurel Beltran"/>
        <s v="Steven Roelle"/>
        <s v="Corey Catlett"/>
        <s v="Cyra Reiten"/>
        <s v="Lisa Ryan"/>
        <s v="David Flashing"/>
        <s v="Gene McClure"/>
        <s v="Susan MacKendrick"/>
        <m/>
      </sharedItems>
    </cacheField>
    <cacheField name="Segment" numFmtId="0">
      <sharedItems containsBlank="1"/>
    </cacheField>
    <cacheField name="Country" numFmtId="0">
      <sharedItems containsBlank="1" count="2">
        <s v="United States"/>
        <m/>
      </sharedItems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841" maxValue="99207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 count="634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 8gb Micro Traveldrive Usb 2.0 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High-Back Leather Manager's Chair"/>
        <s v="Economy Binders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Logitech 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 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Eldon Cleatmat Plus Chair Mats for High Pile Carpets"/>
        <s v="Anker 36W 4-Port USB Wall Charger Travel Power Adapter for iPhone 5s 5c 5"/>
        <s v="Xerox 195"/>
        <s v="Newell 343"/>
        <s v="Sanyo 2.5 Cubic Foot Mid-Size Office Refrigerators"/>
        <s v="Seth Thomas 14&quot; Putty-Colored Wall Clock"/>
        <s v="Plantronics Cordless Phone Headset 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” x 11”"/>
        <s v="Kensington 7 Outlet MasterPiece HOMEOFFICE Power Control Center"/>
        <s v="Acco 7-Outlet Masterpiece Power Center, Wihtout Fax/Phone Line Protecti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Adtran 1202752G1"/>
        <s v="OIC Bulk Pack Metal Binder Clips"/>
        <s v="Sanford Uni-Blazer View Highlighters, Chisel Tip, Yellow"/>
        <s v="Global Low Back Tilter Chair"/>
        <s v="GBC Instant Index System for Binding Systems"/>
        <s v="Xerox 4200 Series MultiUse Premium Copy Paper (20Lb. and 84 Bright)"/>
        <s v="Xerox 1957"/>
        <s v="Safco Steel Mobile File Cart"/>
        <s v="Global Leather Highback Executive Chair with Pneumatic Height Adjustment, Black"/>
        <s v="Wirebound Message Books, Two 4 1/4&quot; x 5&quot; Forms per Page"/>
        <s v="Fellowes Personal Hanging Folder Files, Navy"/>
        <s v="Belkin 19&quot; Vented Equipment Shelf, Black"/>
        <s v="Sabrent 4-Port USB 2.0 Hub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“Important Message” Note Pad, Neon Colors, 50 Sheets/Pad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Electrix 20W Halogen Replacement Bulb for Zoom-In Desk Lamp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Logitech Wireless Headset h800"/>
        <s v="Telescoping Adjustable Floor Lamp"/>
        <s v="Aastra 57i VoIP phone"/>
        <s v="AT&amp;T 841000 Phone"/>
        <s v="Storex Dura Pro Binders"/>
        <s v="Tuff Stuff Recycled Round Ring Binders"/>
        <s v="BIC Brite Liner Highlighters, Chisel Tip"/>
        <s v="Xerox 1881"/>
        <s v="Sauder Barrister Bookcases"/>
        <s v="Belkin 8 Outlet SurgeMaster II Gold Surge Protector with Phone Protection"/>
        <s v="Global Ergonomic Managers Chair"/>
        <s v="Wilson Jones “Snap” Scratch Pad Binder Tool for Ring Binders"/>
        <s v="Xerox 1930"/>
        <s v="NETGEAR AC1750 Dual Band Gigabit Smart WiFi Router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Super Decoflex Portable Personal File"/>
        <s v="Xerox 1974"/>
        <s v="Staple holder"/>
        <s v="Sharp AL-1530CS Digital Copier"/>
        <s v="Xerox 191"/>
        <s v="Bulldog Vacuum Base Pencil Sharpener"/>
        <s v="Bevis Steel Folding Chairs"/>
        <s v="Westinghouse Mesh Shade Clip-On Gooseneck Lamp, Black"/>
        <s v="Hon Multipurpose Stacking Arm Chairs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E General Purpose, Extra Long Life, Showcase &amp; Floodlight Incandescent Bulbs"/>
        <s v="Newell 345"/>
        <s v="Deluxe Rollaway Locking File with Drawer"/>
        <s v="Global Geo Office Task Chair, Gray"/>
        <s v="Bush Advantage Collection Racetrack Conference Table"/>
        <s v="Eaton Premium Continuous-Feed Paper, 25% Cotton, Letter Size, White, 1000 Shts/Box"/>
        <s v="SAFCO Boltless Steel Shelving"/>
        <s v="Prang Colored Pencils"/>
        <s v="Imation USB 2.0 Swivel Flash Drive USB flash drive - 4 GB - Pink"/>
        <s v="Logitech G602 Wireless Gaming Mouse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Vinyl Sectional Post Binders"/>
        <s v="Rogers Handheld Barrel Pencil Sharpener"/>
        <s v="Executive Impressions Supervisor Wall Clock"/>
        <s v="Newell 327"/>
        <s v="Carina Double Wide Media Storage Towers in Natural &amp; Black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Eureka The Boss Cordless Rechargeable Stick Vac"/>
        <s v="Enermax Aurora Lite Keyboard"/>
        <s v="Avery Printable Repositionable Plastic Tabs"/>
        <s v="HON 5400 Series Task Chairs for Big and Tall"/>
        <s v="Advantus T-Pin Paper Clips"/>
        <s v="Zebra Zazzle Fluorescent Highlighters"/>
        <s v="Avery 473"/>
        <s v="GBC Prepunched Paper, 19-Hole, for Binding Systems, 24-lb"/>
        <s v="Sanitaire Vibra Groomer IR Commercial Upright Vacuum, Replacement Belts"/>
        <s v="Alliance Big Bands Rubber Bands, 12/Pack"/>
        <s v="Cisco SPA301"/>
        <s v="Personal Creations Ink Jet Cards and Labels"/>
        <s v="Cush Cases Heavy Duty Rugged Cover Case for Samsung Galaxy S5 - Purple"/>
        <s v="Newell 332"/>
        <s v="Rediform S.O.S. Phone Message Books"/>
        <s v="Contract Clock, 14&quot;, Brown"/>
        <s v="Martin-Yale Premier Letter Opener"/>
        <s v="AT&amp;T SB67148 SynJ"/>
        <s v="Dot Matrix Printer Tape Reel Labels, White, 5000/Box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Avery 493"/>
        <s v="Xerox 1972"/>
        <s v="Prestige Round Ring Binders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Tennsco Regal Shelving Units"/>
        <s v="Office Star - Mesh Screen back chair with Vinyl seat"/>
        <s v="Premium Transparent Presentation Covers by GBC"/>
        <s v="Eldon 200 Class Desk Accessories"/>
        <s v="Economy Rollaway Files"/>
        <s v="Eureka The Boss Plus 12-Amp Hard Box Upright Vacuum, Red"/>
        <s v="First Data FD10 PIN Pad"/>
        <s v="Tripp Lite Isotel 8 Ultra 8 Outlet Metal Surge"/>
        <s v="Acme Tagit Stainless Steel Antibacterial Scissors"/>
        <s v="Master Giant Foot Doorstop, Safety Yellow"/>
        <s v="Kensington 6 Outlet Guardian Standard Surge Protector"/>
        <s v="Hoover Portapower Portable Vacuum"/>
        <s v="Avery Hanging File Binders"/>
        <s v="Cubify CubeX 3D Printer Triple Head Print"/>
        <s v="Avery 516"/>
        <s v="Bush Andora Bookcase, Maple/Graphite Gray Finish"/>
        <s v="Luxo Professional Magnifying Clamp-On Fluorescent Lamps"/>
        <s v="Imation Bio 8GB USB Flash Drive Imation Corp"/>
        <s v="Avery 490"/>
        <s v="Laminate Occasional Tables"/>
        <s v="Xerox 220"/>
        <s v="O'Sullivan Living Dimensions 5-Shelf Bookcases"/>
        <s v="#10- 4 1/8&quot; x 9 1/2&quot; Security-Tint Envelopes"/>
        <s v="Bionaire Personal Warm Mist Humidifier/Vaporizer"/>
        <s v="Tops Green Bar Computer Printout Paper"/>
        <s v="Seth Thomas 16&quot; Steel Case Clock"/>
        <s v="Acme Softgrip Scissors"/>
        <s v="Manila Recycled Extra-Heavyweight Clasp Envelopes, 6&quot; x 9&quot;"/>
        <s v="Xerox 1964"/>
        <s v="Logitech Illuminated - Keyboard"/>
        <s v="Avery 508"/>
        <s v="Xerox 196"/>
        <s v="Belkin iPhone and iPad Lightning Cable"/>
        <s v="GBC Durable Plastic Covers"/>
        <s v="Hewlett Packard 610 Color Digital Copier / Printer"/>
        <s v="Brown Kraft Recycled Envelopes"/>
        <s v="Electrix Halogen Magnifier Lamp"/>
        <s v="Cardinal EasyOpen D-Ring Binders"/>
        <s v="Dixon My First Ticonderoga Pencil, #2"/>
        <s v="Safco Value Mate Series Steel Bookcases, Baked Enamel Finish on Steel, Gray"/>
        <s v="Lifetime Advantage Folding Chairs, 4/Carton"/>
        <s v="Cisco Unified IP Phone 7945G VoIP phone"/>
        <s v="Avery 499"/>
        <s v="Executive Impressions 14&quot; Contract Wall Clock"/>
        <s v="Xerox 218"/>
        <s v="Eldon Stackable Tray, Side-Load, Legal, Smoke"/>
        <s v="Razer Tiamat Over Ear 7.1 Surround Sound PC Gaming Headset"/>
        <s v="Razer Kraken PRO Over Ear PC and Music Headset"/>
        <s v="Kingston Digital DataTraveler 32GB USB 2.0"/>
        <s v="GBC ProClick Punch Binding System"/>
        <s v="Adams Telephone Message Books, 5 1/4” x 11”"/>
        <s v="Newell 335"/>
        <s v="Fellowes Binding Cases"/>
        <s v="Linden 10&quot; Round Wall Clock, Black"/>
        <s v="Maxell DVD-RAM Discs"/>
        <s v="DIXON Oriole Pencils"/>
        <s v="Xerox 1884"/>
        <s v="Deluxe Chalkboard Eraser Cleaner"/>
        <s v="Avery 482"/>
        <s v="Avery 483"/>
        <s v="Large Capacity Hanging Post Binders"/>
        <s v="GBC Ibimaster 500 Manual ProClick Binding System"/>
        <s v="Acco Pressboard Covers with Storage Hooks, 14 7/8&quot; x 11&quot;, Light Blue"/>
        <s v="Dax Clear Box Frame"/>
        <s v="Fellowes Black Plastic Comb Bindings"/>
        <s v="Anker Ultrathin Bluetooth Wireless Keyboard Aluminum Cover with Stand"/>
        <s v="Ampad Poly Cover Wirebound Steno Book, 6&quot; x 9&quot; Assorted Colors, Gregg Ruled"/>
        <s v="Binding Machine Supplies"/>
        <s v="Things To Do Today Pad"/>
        <s v="Wilson Jones Hanging Recycled Pressboard Data Binders"/>
        <s v="Polycom CX600 IP Phone VoIP phone"/>
        <s v="Acco Perma 4000 Stacking Storage Drawers"/>
        <s v="Maxell 4.7GB DVD-R"/>
        <s v="Xerox 1985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Staple-based wall hangings"/>
        <s v="Avery Durable Slant Ring Binders"/>
        <s v="Luxo Professional Combination Clamp-On Lamps"/>
        <s v="Zipper Ring Binder Pockets"/>
        <s v="Avery File Folder Labels"/>
        <s v="Color-Coded Legal Exhibit Labels"/>
        <s v="BIC Brite Liner Grip Highlighters, Assorted, 5/Pack"/>
        <s v="#10- 4 1/8&quot; x 9 1/2&quot; Recycled Envelopes"/>
        <s v="Acco Suede Grain Vinyl Round Ring Binder"/>
        <s v="Fellowes PB300 Plastic Comb Binding Machine"/>
        <s v="Laser &amp; Ink Jet Business Envelopes"/>
        <s v="Plantronics CS510 - Over-the-Head monaural Wireless Headset System"/>
        <s v="Fellowes Super Stor/Drawer Files"/>
        <s v="UniKeep View Case Binders"/>
        <s v="Eldon Delta Triangular Chair Mat, 52&quot; x 58&quot;, Clear"/>
        <s v="Enermax Acrylux Wireless Keyboard"/>
        <s v="G.E. Halogen Desk Lamp Bulb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 DVD+RW 3/Pack"/>
        <s v="Quartet Alpha White Chalk, 12/Pack"/>
        <s v="Eldon Antistatic Chair Mats for Low to Medium Pile Carpets"/>
        <s v="DIXON Ticonderoga Erasable Checking Pencils"/>
        <s v="Stockwell Gold Paper Clips"/>
        <s v="Super Bands, 12/Pack"/>
        <s v="3M Organizer Strips"/>
        <s v="Avery Durable Slant Ring Binders With Label Holder"/>
        <s v="Newell 328"/>
        <s v="Belkin 8 Outlet SurgeMaster II Gold Surge Protector"/>
        <s v="Avery 488"/>
        <s v="Innergie mMini Combo Duo USB Travel Charging Kit"/>
        <s v="Xerox 1950"/>
        <s v="Fellowes Mobile File Cart, Black"/>
        <s v="Newell 326"/>
        <s v="Rediform Wirebound &quot;Phone Memo&quot; Message Book, 11 x 5-3/4"/>
        <s v="Ampad Evidence Wirebond Steno Books, 6&quot; x 9&quot;"/>
        <s v="Avery 502"/>
        <s v="Tyvek  Top-Opening Peel &amp; Seel  Envelopes, Gray"/>
        <s v="Hoover Shoulder Vac Commercial Portable Vacuum"/>
        <s v="PowerGen Dual USB Car Charger"/>
        <s v="Geographics Note Cards, Blank, White, 8 1/2&quot; x 11&quot;"/>
        <s v="Staple-on labels"/>
        <s v="Peel &amp; Stick Add-On Corner Pockets"/>
        <s v="Toshiba IPT2010-SD IP Telephone"/>
        <s v="Newell 315"/>
        <s v="Wilson Jones Standard D-Ring Binders"/>
        <s v="GE DSL Phone Line Filter"/>
        <s v="Blue String-Tie &amp; Button Interoffice Envelopes, 10 x 13"/>
        <s v="Canon Imageclass D680 Copier / Fax"/>
        <s v="Eldon Image Series Desk Accessories, Ebony"/>
        <s v="Fashion Color Clasp Envelopes"/>
        <s v="Hon Non-Folding Utility Tables"/>
        <s v="Westinghouse Clip-On Gooseneck Lamp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anasonic KP-380BK Classic Electric Pencil Sharpener"/>
        <s v="BIC Liqua Brite Liner"/>
        <s v="Sauder Cornerstone Collection Library"/>
        <s v="Westinghouse Floor Lamp with Metal Mesh Shade, Black"/>
        <s v="Eureka Recycled Copy Paper 8 1/2&quot; x 11&quot;, Ream"/>
        <s v="Acco 6 Outlet Guardian Premium Surge Suppressor"/>
        <s v="Avoid Verbal Orders Carbonless Minifold Book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Cisco CP-7937G Unified IP Conference Station Phone"/>
        <s v="Xerox 1909"/>
        <s v="Leather Task Chair, Black"/>
        <s v="It's Hot Message Books with Stickers, 2 3/4&quot; x 5&quot;"/>
        <s v="DYMO CardScan Personal V9 Business Card Scanner"/>
        <s v="Logitech Desktop MK120 Mouse and keyboard Combo"/>
        <s v="White Computer Printout Paper by Universal"/>
        <s v="GBC Recycled Regency Composition Covers"/>
        <s v="DAX Executive Solid Wood Document Frame, Desktop or Hang, Mahogany, 5 x 7"/>
        <s v="ShoreTel ShorePhone IP 230 VoIP phone"/>
        <s v="Petty Cash Envelope"/>
        <s v="Acco Four Pocket Poly Ring Binder with Label Holder, Smoke, 1&quot;"/>
        <s v="Xerox 203"/>
        <s v="Wilson Jones DublLock D-Ring Binders"/>
        <s v="Surelock Post Binders"/>
        <s v="Ibico Plastic Spiral Binding Combs"/>
        <s v="Newell 340"/>
        <s v="WD My Passport Ultra 500GB Portable External Hard Drive"/>
        <s v="Cisco IP Phone 7961G-GE VoIP phone"/>
        <s v="Adams Telephone Message Book W/Dividers/Space For Phone Numbers, 5 1/4&quot;X8 1/2&quot;, 300/Messages"/>
        <s v="Acco Perma 3000 Stacking Storage Drawers"/>
        <s v="Hon 2111 Invitation Series Corner Table"/>
        <s v="Lexmark X 9575 Professional All-in-One Color Printer"/>
        <s v="Newell 325"/>
        <s v="Xerox 1970"/>
        <s v="Rogers Jumbo File, Granite"/>
        <s v="Kingston Digital DataTraveler 16GB USB 2.0"/>
        <s v="Newell 347"/>
        <s v="ARKON Windshield Dashboard Air Vent Car Mount Holder"/>
        <s v="Dixon Ticonderoga Erasable Colored Pencil Set, 12-Color"/>
        <s v="Pyle PRT45 Retro Home Telephone"/>
        <s v="Sauder Inglewood Library Bookcases"/>
        <s v="Xerox 1901"/>
        <s v="VTech DS6151"/>
        <s v="Peel-Off China Markers"/>
        <s v="GE 48&quot; Fluorescent Tube, Cool White Energy Saver, 34 Watts, 30/Box"/>
        <s v="Jawbone MINI JAMBOX Wireless Bluetooth Speaker"/>
        <s v="Weyerhaeuser First Choice Laser/Copy Paper (20Lb. and 88 Bright)"/>
        <s v="Xerox 1940"/>
        <s v="Binder Clips by OIC"/>
        <s v="RCA Visys Integrated PBX 8-Line Router"/>
        <s v="GBC VeloBind Cover Sets"/>
        <s v="Colored Push Pins"/>
        <s v="Memorex Mini Travel Drive 4 GB USB 2.0 Flash Drive"/>
        <s v="Avery 500"/>
        <s v="O'Sullivan Manor Hill 2-Door Library in Brianna Oak"/>
        <s v="SAFCO PlanMaster Heigh-Adjustable Drafting Table Base, 43w x 30d x 30-37h, Black"/>
        <s v="White GlueTop Scratch Pads"/>
        <s v="Wilson Electronics DB Pro Signal Booster"/>
        <s v="Advantus Panel Wall Certificate Holder - 8.5x11"/>
        <s v="AT&amp;T CL82213"/>
        <s v="Maxell LTO Ultrium - 800 GB"/>
        <s v="Ink Jet Note and Greeting Cards, 8-1/2&quot; x 5-1/2&quot; Card Size"/>
        <s v="Mediabridge Sport Armband iPhone 5s"/>
        <s v="Avery 513"/>
        <s v="Harmony Air Purifier"/>
        <s v="Samsung Galaxy S4 Mini"/>
        <s v="Polycom VVX 310 VoIP phone"/>
        <s v="Honeywell Quietcare HEPA Air Cleaner"/>
        <s v="Hon Olson Stacker Stools"/>
        <s v="Flat Face Poster Frame"/>
        <s v="Executive Impressions 8-1/2&quot; Career Panel/Partition Cubicle Clock"/>
        <s v="Newell 334"/>
        <s v="Safco Drafting Table"/>
        <s v="Newell 309"/>
        <s v="GBC DocuBind TL300 Electric Binding System"/>
        <s v="DAX Charcoal/Nickel-Tone Document Frame, 5 x 7"/>
        <s v="GBC DocuBind TL200 Manual Binding Machine"/>
        <s v="Staple magnet"/>
        <s v="Cisco SPA 502G IP Phone"/>
        <s v="O'Sullivan 2-Shelf Heavy-Duty Bookcases"/>
        <s v="GBC Twin Loop Wire Binding Elements"/>
        <s v="BIC Brite Liner Grip Highlighters"/>
        <s v="Holmes Replacement Filter for HEPA Air Cleaner, Medium Room"/>
        <s v="Avery Heavy-Duty EZD View Binder with Locking Rings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Xerox 1922"/>
        <s v="Anker Ultra-Slim Mini Bluetooth 3.0 Wireless Keyboard"/>
        <s v="Quality Park Security Envelopes"/>
        <s v="Acco 6 Outlet Guardian Basic Surge Suppressor"/>
        <s v="Motorla HX550 Universal Bluetooth Headset"/>
        <s v="Eldon Expressions Wood Desk Accessories, Oak"/>
        <s v="Wilson Jones data.warehouse D-Ring Binders with DublLock"/>
        <s v="Xerox 1982"/>
        <s v="Polycom SoundPoint Pro SE-225 Corded phone"/>
        <s v="Nontoxic Chalk"/>
        <s v="Atlantic Metals Mobile 2-Shelf Bookcases, Custom Colors"/>
        <s v="Fellowes Advanced Computer Series Surge Protectors"/>
        <s v="Recycled Steel Personal File for Hanging File Folders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Xerox 1989"/>
        <s v="Xerox 1984"/>
        <s v="Xerox 1965"/>
        <s v="Balt Solid Wood Round Tables"/>
        <s v="Logitech G35 7.1-Channel Surround Sound Headset"/>
        <s v="Wausau Papers Astrobrights Colored Envelopes"/>
        <s v="Tripp Lite Isotel 6 Outlet Surge Protector with Fax/Modem Protection"/>
        <s v="Memorex Micro Travel Drive 32 GB"/>
        <s v="Global Leather &amp; Oak Executive Chair, Burgundy"/>
        <s v="Acco Hot Clips Clips to Go"/>
        <s v="Xerox 1951"/>
        <s v="Acco Smartsocket Color-Coded Six-Outlet AC Adapter Model Surge Protectors"/>
        <s v="Xerox 219"/>
        <s v="Panasonic KX-TG9541B DECT 6.0 Digital 2-Line Expandable Cordless Phone With Digital Answering System"/>
        <s v="Razer Kraken 7.1 Surround Sound Over Ear USB Gaming Headset"/>
        <s v="Hon Rectangular Conference Tables"/>
        <s v="Iceberg Nesting Folding Chair, 19w x 6d x 43h"/>
        <s v="Bevis Rectangular Conference Tables"/>
        <s v="Ampad #10 Peel &amp; Seel Holiday Envelopes"/>
        <s v="Avery 496"/>
        <s v="Eldon Pizzaz Desk Accessories"/>
        <s v="Jawbone JAMBOX Wireless Bluetooth Speaker"/>
        <s v="Belkin 8 Outlet Surge Protector"/>
        <s v="Tennsco Snap-Together Open Shelving Units, Starter Sets and Add-On Units"/>
        <s v="Maxell 4.7GB DVD-RW 3/Pack"/>
        <s v="3M Polarizing Task Lamp with Clamp Arm, Light Gray"/>
        <s v="HTC One Mini"/>
        <s v="Contemporary Wood/Metal Frame"/>
        <s v="Panasonic KX MC6040 Color Laser Multifunction Printer"/>
        <s v="Canon imageCLASS 2200 Advanced Copier"/>
        <s v="SAFCO Optional Arm Kit for Workspace Cribbage Stacking Chair"/>
        <s v="TOPS Voice Message Log Book, Flash Format"/>
        <s v="GBC Laser Imprintable Binding System Covers, Desert Sand"/>
        <s v="Global Italian Leather Office Chair"/>
        <s v="Plantronics Voyager Pro HD - Bluetooth Headset"/>
        <s v="Compact Automatic Electric Letter Opener"/>
        <s v="APC 7 Outlet Network SurgeArrest Surge Protector"/>
        <s v="Xerox 228"/>
        <s v="Advantus Employee of the Month Certificate Frame, 11 x 13-1/2"/>
        <s v="Eldon Expressions Punched Metal &amp; Wood Desk Accessories, Black &amp; Cherry"/>
        <s v="Nokia Lumia 925"/>
        <s v="Harbour Creations 67200 Series Stacking Chairs"/>
        <s v="DAX Two-Tone Rosewood/Black Document Frame, Desktop, 5 x 7"/>
        <s v="Xerox 1997"/>
        <s v="Eldon Expressions Mahogany Wood Desk Collection"/>
        <s v="Kensington 7 Outlet MasterPiece Power Center with Fax/Phone Line Protection"/>
        <s v="SlimView Poly Binder, 3/8&quot;"/>
        <s v="#10 Self-Seal White Envelopes"/>
        <s v="Logitech Wireless Headset H600 Over-The-Head Design"/>
        <s v="Vtech CS6719"/>
        <s v="Bush Cubix Collection Bookcases, Fully Assembled"/>
        <s v="Universal Recycled Hanging Pressboard Report Binders, Letter Size"/>
        <s v="Xerox 1980"/>
        <s v="Xerox 1907"/>
        <s v="G.E. Longer-Life Indoor Recessed Floodlight Bulbs"/>
        <s v="Global Leather and Oak Executive Chair, Black"/>
        <s v="Wilson Jones Impact Binders"/>
        <s v="Newell 34"/>
        <s v="Sterilite Show Offs Storage Containers"/>
        <s v="Samsung HM1900 Bluetooth Headset"/>
        <s v="Cisco SPA112 2 Port Phone Adapter"/>
        <s v="Xerox 221"/>
        <s v="Plantronics Encore H101 Dual Earpieces Headset"/>
        <s v="Tenex Chairmats For Use with Hard Floors"/>
        <s v="Eldon Executive Woodline II Cherry Finish Desk Accessories"/>
        <s v="Message Book, Wirebound, Four 5 1/2&quot; X 4&quot; Forms/Pg., 200 Dupl. Sets/Book"/>
        <s v="Binney &amp; Smith inkTank Desk Highlighter, Chisel Tip, Yellow, 12/Box"/>
        <s v="Hon Metal Bookcases, Black"/>
        <s v="AT&amp;T 1080 Phone"/>
        <s v="Avery Metallic Poly Binders"/>
        <s v="Acco 6 Outlet Guardian Premium Plus Surge Suppressor"/>
        <s v="Staples in misc. colors"/>
        <s v="Acme Kleen Earth Office Shears"/>
        <s v="Avery 05222 Permanent Self-Adhesive File Folder Labels for Typewriters, on Rolls, White, 250/Roll"/>
        <s v="Balt Split Level Computer Training Table"/>
        <s v="SAFCO Folding Chair Trolley"/>
        <s v="Office Star - Contemporary Task Swivel chair with Loop Arms, Charcoal"/>
        <s v="TOPS 4 x 6 Fluorescent Color Memo Sheets, 500 Sheets per Pack"/>
        <s v="Eldon 300 Class Desk Accessories, Black"/>
        <s v="Logitech G430 Surround Sound Gaming Headset with Dolby 7.1 Technology"/>
        <s v="DAX Copper Panel Document Frame, 5 x 7 Size"/>
        <s v="Bush Heritage Pine Collection 5-Shelf Bookcase, Albany Pine Finish, *Special Order"/>
        <s v="HP Office Paper (20Lb. and 87 Bright)"/>
        <s v="Binney &amp; Smith inkTank Erasable Pocket Highlighter, Chisel Tip, Yellow"/>
        <s v="Xerox 1928"/>
        <s v="Eldon Expressions Wood and Plastic Desk Accessories, Oak"/>
        <s v="Ultra Door Kickplate, 8&quot;H x 34&quot;W"/>
        <s v="Boston 1900 Electric Pencil Sharpener"/>
        <s v="WD My Passport Ultra 1TB Portable External Hard Drive"/>
        <s v="Memorex 25GB 6X Branded Blu-Ray Recordable Disc, 15/Pack"/>
        <s v="Xerox 1890"/>
        <s v="Jackery Bar Premium Fast-charging Portable Charger"/>
        <s v="Prang Drawing Pencil Set"/>
        <s v="Rush Hierlooms Collection Rich Wood Bookcases"/>
        <s v="Newell 338"/>
        <s v="O'Sullivan 5-Shelf Heavy-Duty Bookcases"/>
        <s v="Xerox 1990"/>
        <s v="Safco Value Mate Steel Bookcase, Baked Enamel Finish on Steel, Black"/>
        <s v="Newell 323"/>
        <s v="Boston 1827 Commercial Additional Cutter, Drive Gear &amp; Gear Rack for 1606"/>
        <s v="3D Systems Cube Printer, 2nd Generation, Magenta"/>
        <s v="Memorex Micro Travel Drive 4 GB"/>
        <s v="DAX Two-Tone Silver Metal Document Frame"/>
        <s v="Newell 316"/>
        <s v="Inter-Office Recycled Envelopes, Brown Kraft, Button-String,10&quot; x 13&quot; , 100/Box"/>
        <s v="Fellowes Recycled Storage Drawers"/>
        <s v="Xerox 190"/>
        <s v="24 Capacity Maxi Data Binder Racks, Pearl"/>
        <s v="Multimedia Mailers"/>
        <s v="GBC Therma-A-Bind 250T Electric Binding System"/>
        <s v="SanDisk Cruzer 16 GB USB Flash Drive"/>
        <s v="Tyvek Interoffice Envelopes, 9 1/2&quot; x 12 1/2&quot;, 100/Box"/>
        <s v="DAX Contemporary Wood Frame with Silver Metal Mat, Desktop, 11 x 14 Size"/>
        <s v="PNY Rapid USB Car Charger - Black"/>
        <s v="SmartStand Mobile Device Holder, Assorted Colors"/>
        <s v="Astroparche Fine Business Paper"/>
        <s v="Letter Size File"/>
        <s v="Samsung Convoy 3"/>
        <s v="Avery 491"/>
        <s v="Avery 495"/>
        <s v="EcoTones Memo Sheets"/>
        <s v="Texas Instruments TI-34 Scientific Calculator"/>
        <s v="Kingston Digital DataTraveler 64GB USB 2.0"/>
        <s v="Luxo Adjustable Task Clamp Lamp"/>
        <s v="Unpadded Memo Slips"/>
        <s v="Career Cubicle Clock, 8 1/4&quot;, Black"/>
        <s v="Griffin GC17055 Auxiliary Audio Cable"/>
        <s v="Rogers Profile Extra Capacity Storage Tub"/>
        <s v="RCA ViSYS 25825 Wireless digital phone"/>
        <s v="Xerox 1914"/>
        <s v="Sony Micro Vault Click 4 GB USB 2.0 Flash Drive"/>
        <s v="Avery Legal 4-Ring Binder"/>
        <s v="TOPS Money Receipt Book, Consecutively Numbered in Red,"/>
        <s v="Konica Minolta magicolor 1690MF Multifunction Printer"/>
        <s v="Wirebound Message Forms, Four 2 3/4 x 5 Forms per Page, Pink Paper"/>
        <s v="Tensor Track Tree Floor Lamp"/>
        <s v="Motorola L703CM"/>
        <s v="Zebra GK420t Direct Thermal/Thermal Transfer Printer"/>
        <s v="Hewlett-Packard Desktjet 6988DT Refurbished Printer"/>
        <s v="Bush Westfield Collection Bookcases, Dark Cherry Finish, Fully Assembled"/>
        <s v="Dixon Ticonderoga Core-Lock Colored Pencils, 48-Color Set"/>
        <s v="Acme Design Line 8&quot; Stainless Steel Bent Scissors w/Champagne Handles, 3-1/8&quot; Cut"/>
        <s v="Nokia Lumia 1020"/>
        <s v="Grip Seal Envelopes"/>
        <s v="Cisco 8961 IP Phone Charcoal"/>
        <m/>
      </sharedItems>
    </cacheField>
    <cacheField name="Sales" numFmtId="0">
      <sharedItems containsString="0" containsBlank="1" containsNumber="1" minValue="1.1120000000000001" maxValue="11199.968000000001"/>
    </cacheField>
    <cacheField name="aggregate functions " numFmtId="0">
      <sharedItems containsString="0" containsBlank="1" containsNumber="1" minValue="1.1120000000000001" maxValue="156017.70259999981"/>
    </cacheField>
    <cacheField name="if function " numFmtId="0">
      <sharedItems containsBlank="1"/>
    </cacheField>
    <cacheField name="multiple if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n v="1"/>
    <x v="0"/>
    <x v="0"/>
    <s v="11/11/2017"/>
    <s v="Second Class"/>
    <s v="CG-12520"/>
    <x v="0"/>
    <x v="0"/>
    <x v="0"/>
    <s v="Henderson"/>
    <x v="0"/>
    <n v="42420"/>
    <x v="0"/>
    <s v="FUR-BO-10001798"/>
    <s v="Furniture"/>
    <s v="Bookcases"/>
    <s v="Bush Somerset Collection Bookcase"/>
    <n v="261.95999999999998"/>
    <n v="156017.70259999981"/>
    <s v="Cardbaord"/>
    <s v="cardbaord"/>
  </r>
  <r>
    <n v="3"/>
    <x v="1"/>
    <x v="1"/>
    <s v="16/06/2017"/>
    <s v="Second Class"/>
    <s v="DV-13045"/>
    <x v="1"/>
    <x v="1"/>
    <x v="0"/>
    <s v="Los Angeles"/>
    <x v="1"/>
    <n v="90036"/>
    <x v="1"/>
    <s v="OFF-LA-10000240"/>
    <s v="Office Supplies"/>
    <s v="Labels"/>
    <s v="Self-Adhesive Address Labels for Typewriters by Universal"/>
    <n v="14.62"/>
    <n v="11199.968000000001"/>
    <s v="Office Supplies"/>
    <s v="OS"/>
  </r>
  <r>
    <n v="4"/>
    <x v="2"/>
    <x v="2"/>
    <s v="18/10/2016"/>
    <s v="Standard Class"/>
    <s v="SO-20335"/>
    <x v="2"/>
    <x v="0"/>
    <x v="0"/>
    <s v="Fort Lauderdale"/>
    <x v="2"/>
    <n v="33311"/>
    <x v="0"/>
    <s v="FUR-TA-10000577"/>
    <s v="Furniture"/>
    <s v="Tables"/>
    <s v="Bretford CR4500 Series Slim Rectangular Table"/>
    <n v="957.57749999999999"/>
    <n v="242.64028398133721"/>
    <s v="Cardbaord"/>
    <s v="cardbaord"/>
  </r>
  <r>
    <n v="6"/>
    <x v="3"/>
    <x v="3"/>
    <s v="14/06/2015"/>
    <s v="Standard Class"/>
    <s v="BH-11710"/>
    <x v="3"/>
    <x v="0"/>
    <x v="0"/>
    <s v="Los Angeles"/>
    <x v="1"/>
    <n v="90032"/>
    <x v="1"/>
    <s v="FUR-FU-10001487"/>
    <s v="Furniture"/>
    <s v="Furnishings"/>
    <s v="Eldon Expressions Wood and Plastic Desk Accessories, Cherry Wood"/>
    <n v="48.86"/>
    <n v="1.1120000000000001"/>
    <s v="Cardbaord"/>
    <s v="cardbaord"/>
  </r>
  <r>
    <n v="13"/>
    <x v="4"/>
    <x v="4"/>
    <s v="20/04/2018"/>
    <s v="Standard Class"/>
    <s v="AA-10480"/>
    <x v="4"/>
    <x v="0"/>
    <x v="0"/>
    <s v="Concord"/>
    <x v="3"/>
    <n v="28027"/>
    <x v="0"/>
    <s v="OFF-PA-10002365"/>
    <s v="Office Supplies"/>
    <s v="Paper"/>
    <s v="Xerox 1967"/>
    <n v="15.552"/>
    <n v="643"/>
    <s v="Office Supplies"/>
    <s v="OS"/>
  </r>
  <r>
    <n v="14"/>
    <x v="5"/>
    <x v="5"/>
    <s v="10/12/2017"/>
    <s v="Standard Class"/>
    <s v="IM-15070"/>
    <x v="5"/>
    <x v="0"/>
    <x v="0"/>
    <s v="Seattle"/>
    <x v="4"/>
    <n v="98103"/>
    <x v="1"/>
    <s v="OFF-BI-10003656"/>
    <s v="Office Supplies"/>
    <s v="Binders"/>
    <s v="Fellowes PB200 Plastic Comb Binding Machine"/>
    <n v="407.976"/>
    <n v="74"/>
    <s v="Office Supplies"/>
    <s v="OS"/>
  </r>
  <r>
    <n v="15"/>
    <x v="6"/>
    <x v="6"/>
    <s v="26/11/2016"/>
    <s v="Standard Class"/>
    <s v="HP-14815"/>
    <x v="6"/>
    <x v="2"/>
    <x v="0"/>
    <s v="Fort Worth"/>
    <x v="5"/>
    <n v="76106"/>
    <x v="2"/>
    <s v="OFF-AP-10002311"/>
    <s v="Office Supplies"/>
    <s v="Appliances"/>
    <s v="Holmes Replacement Filter for HEPA Air Cleaner, Very Large Room, HEPA Filter"/>
    <n v="68.81"/>
    <m/>
    <s v="Office Supplies"/>
    <s v="OS"/>
  </r>
  <r>
    <n v="17"/>
    <x v="7"/>
    <x v="7"/>
    <s v="18/11/2015"/>
    <s v="Standard Class"/>
    <s v="PK-19075"/>
    <x v="7"/>
    <x v="0"/>
    <x v="0"/>
    <s v="Madison"/>
    <x v="6"/>
    <n v="53711"/>
    <x v="2"/>
    <s v="OFF-ST-10004186"/>
    <s v="Office Supplies"/>
    <s v="Storage"/>
    <s v="Stur-D-Stor Shelving, Vertical 5-Shelf: 72&quot;H x 36&quot;W x 18 1/2&quot;D"/>
    <n v="665.88"/>
    <m/>
    <s v="Office Supplies"/>
    <s v="OS"/>
  </r>
  <r>
    <n v="18"/>
    <x v="8"/>
    <x v="8"/>
    <s v="15/05/2015"/>
    <s v="Second Class"/>
    <s v="AG-10270"/>
    <x v="8"/>
    <x v="0"/>
    <x v="0"/>
    <s v="West Jordan"/>
    <x v="7"/>
    <n v="84084"/>
    <x v="1"/>
    <s v="OFF-ST-10000107"/>
    <s v="Office Supplies"/>
    <s v="Storage"/>
    <s v="Fellowes Super Stor/Drawer"/>
    <n v="55.5"/>
    <m/>
    <s v="Office Supplies"/>
    <s v="OS"/>
  </r>
  <r>
    <n v="19"/>
    <x v="9"/>
    <x v="9"/>
    <s v="01/09/2015"/>
    <s v="Second Class"/>
    <s v="ZD-21925"/>
    <x v="9"/>
    <x v="0"/>
    <x v="0"/>
    <s v="San Francisco"/>
    <x v="1"/>
    <n v="94109"/>
    <x v="1"/>
    <s v="OFF-AR-10003056"/>
    <s v="Office Supplies"/>
    <s v="Art"/>
    <s v="Newell 341"/>
    <n v="8.56"/>
    <m/>
    <s v="Office Supplies"/>
    <s v="OS"/>
  </r>
  <r>
    <n v="22"/>
    <x v="10"/>
    <x v="10"/>
    <s v="13/12/2017"/>
    <s v="Standard Class"/>
    <s v="KB-16585"/>
    <x v="10"/>
    <x v="1"/>
    <x v="0"/>
    <s v="Fremont"/>
    <x v="8"/>
    <n v="68025"/>
    <x v="2"/>
    <s v="OFF-AR-10000246"/>
    <s v="Office Supplies"/>
    <s v="Art"/>
    <s v="Newell 318"/>
    <n v="19.46"/>
    <m/>
    <s v="Office Supplies"/>
    <s v="OS"/>
  </r>
  <r>
    <n v="24"/>
    <x v="11"/>
    <x v="11"/>
    <s v="18/07/2018"/>
    <s v="Second Class"/>
    <s v="SF-20065"/>
    <x v="11"/>
    <x v="0"/>
    <x v="0"/>
    <s v="Philadelphia"/>
    <x v="9"/>
    <n v="19140"/>
    <x v="3"/>
    <s v="FUR-CH-10002774"/>
    <s v="Furniture"/>
    <s v="Chairs"/>
    <s v="Global Deluxe Stacking Chair, Gray"/>
    <n v="71.372"/>
    <m/>
    <s v="Cardbaord"/>
    <s v="cardbaord"/>
  </r>
  <r>
    <n v="26"/>
    <x v="12"/>
    <x v="12"/>
    <s v="20/01/2017"/>
    <s v="Second Class"/>
    <s v="EH-13945"/>
    <x v="12"/>
    <x v="0"/>
    <x v="0"/>
    <s v="Los Angeles"/>
    <x v="1"/>
    <n v="90049"/>
    <x v="1"/>
    <s v="OFF-BI-10001634"/>
    <s v="Office Supplies"/>
    <s v="Binders"/>
    <s v="Wilson Jones Active Use Binders"/>
    <n v="11.648"/>
    <m/>
    <s v="Office Supplies"/>
    <s v="OS"/>
  </r>
  <r>
    <n v="28"/>
    <x v="13"/>
    <x v="13"/>
    <s v="21/09/2016"/>
    <s v="Standard Class"/>
    <s v="TB-21520"/>
    <x v="13"/>
    <x v="0"/>
    <x v="0"/>
    <s v="Philadelphia"/>
    <x v="9"/>
    <n v="19140"/>
    <x v="3"/>
    <s v="FUR-BO-10004834"/>
    <s v="Furniture"/>
    <s v="Bookcases"/>
    <s v="Riverside Palais Royal Lawyers Bookcase, Royale Cherry Finish"/>
    <n v="3083.43"/>
    <m/>
    <s v="Cardbaord"/>
    <s v="cardbaord"/>
  </r>
  <r>
    <n v="35"/>
    <x v="14"/>
    <x v="14"/>
    <s v="23/10/2018"/>
    <s v="Second Class"/>
    <s v="MA-17560"/>
    <x v="14"/>
    <x v="2"/>
    <x v="0"/>
    <s v="Houston"/>
    <x v="5"/>
    <n v="77095"/>
    <x v="2"/>
    <s v="OFF-PA-10000249"/>
    <s v="Office Supplies"/>
    <s v="Paper"/>
    <s v="Easy-staple paper"/>
    <n v="29.472000000000001"/>
    <m/>
    <s v="Office Supplies"/>
    <s v="OS"/>
  </r>
  <r>
    <n v="36"/>
    <x v="15"/>
    <x v="15"/>
    <s v="10/12/2017"/>
    <s v="First Class"/>
    <s v="GH-14485"/>
    <x v="15"/>
    <x v="1"/>
    <x v="0"/>
    <s v="Richardson"/>
    <x v="5"/>
    <n v="75080"/>
    <x v="2"/>
    <s v="TEC-PH-10004977"/>
    <s v="Technology"/>
    <s v="Phones"/>
    <s v="GE 30524EE4"/>
    <n v="1097.5440000000001"/>
    <m/>
    <s v="Technology"/>
    <s v="Technology"/>
  </r>
  <r>
    <n v="38"/>
    <x v="16"/>
    <x v="16"/>
    <s v="31/12/2016"/>
    <s v="Standard Class"/>
    <s v="SN-20710"/>
    <x v="16"/>
    <x v="2"/>
    <x v="0"/>
    <s v="Houston"/>
    <x v="5"/>
    <n v="77041"/>
    <x v="2"/>
    <s v="OFF-EN-10002986"/>
    <s v="Office Supplies"/>
    <s v="Envelopes"/>
    <s v="#10-4 1/8&quot; x 9 1/2&quot; Premium Diagonal Seam Envelopes"/>
    <n v="113.328"/>
    <m/>
    <s v="Office Supplies"/>
    <s v="OS"/>
  </r>
  <r>
    <n v="42"/>
    <x v="17"/>
    <x v="17"/>
    <s v="15/09/2018"/>
    <s v="Standard Class"/>
    <s v="LC-16930"/>
    <x v="17"/>
    <x v="1"/>
    <x v="0"/>
    <s v="Naperville"/>
    <x v="10"/>
    <n v="60540"/>
    <x v="2"/>
    <s v="TEC-PH-10004093"/>
    <s v="Technology"/>
    <s v="Phones"/>
    <s v="Panasonic Kx-TS550"/>
    <n v="147.16800000000001"/>
    <m/>
    <s v="Technology"/>
    <s v="Technology"/>
  </r>
  <r>
    <n v="43"/>
    <x v="18"/>
    <x v="18"/>
    <s v="22/07/2017"/>
    <s v="Standard Class"/>
    <s v="RA-19885"/>
    <x v="18"/>
    <x v="1"/>
    <x v="0"/>
    <s v="Los Angeles"/>
    <x v="1"/>
    <n v="90049"/>
    <x v="1"/>
    <s v="OFF-ST-10003479"/>
    <s v="Office Supplies"/>
    <s v="Storage"/>
    <s v="Eldon Base for stackable storage shelf, platinum"/>
    <n v="77.88"/>
    <m/>
    <s v="Office Supplies"/>
    <s v="OS"/>
  </r>
  <r>
    <n v="44"/>
    <x v="19"/>
    <x v="19"/>
    <s v="23/09/2018"/>
    <s v="Standard Class"/>
    <s v="ES-14080"/>
    <x v="19"/>
    <x v="1"/>
    <x v="0"/>
    <s v="Melbourne"/>
    <x v="2"/>
    <n v="32935"/>
    <x v="0"/>
    <s v="OFF-ST-10003282"/>
    <s v="Office Supplies"/>
    <s v="Storage"/>
    <s v="Advantus 10-Drawer Portable Organizer, Chrome Metal Frame, Smoke Drawers"/>
    <n v="95.616"/>
    <m/>
    <s v="Office Supplies"/>
    <s v="OS"/>
  </r>
  <r>
    <n v="45"/>
    <x v="20"/>
    <x v="20"/>
    <s v="13/03/2017"/>
    <s v="First Class"/>
    <s v="ON-18715"/>
    <x v="20"/>
    <x v="1"/>
    <x v="0"/>
    <s v="Eagan"/>
    <x v="11"/>
    <n v="55122"/>
    <x v="2"/>
    <s v="TEC-AC-10000171"/>
    <s v="Technology"/>
    <s v="Accessories"/>
    <s v="Verbatim 25 GB 6x Blu-ray Single Layer Recordable Disc, 25/Pack"/>
    <n v="45.98"/>
    <m/>
    <s v="Technology"/>
    <s v="Technology"/>
  </r>
  <r>
    <n v="47"/>
    <x v="21"/>
    <x v="21"/>
    <s v="25/10/2015"/>
    <s v="Second Class"/>
    <s v="PO-18865"/>
    <x v="21"/>
    <x v="0"/>
    <x v="0"/>
    <s v="Westland"/>
    <x v="12"/>
    <n v="48185"/>
    <x v="2"/>
    <s v="OFF-ST-10001713"/>
    <s v="Office Supplies"/>
    <s v="Storage"/>
    <s v="Gould Plastics 9-Pocket Panel Bin, 18-3/8w x 5-1/4d x 20-1/2h, Black"/>
    <n v="211.96"/>
    <m/>
    <s v="Office Supplies"/>
    <s v="OS"/>
  </r>
  <r>
    <n v="48"/>
    <x v="22"/>
    <x v="22"/>
    <s v="25/06/2017"/>
    <s v="Standard Class"/>
    <s v="LH-16900"/>
    <x v="22"/>
    <x v="0"/>
    <x v="0"/>
    <s v="Dover"/>
    <x v="13"/>
    <n v="19901"/>
    <x v="3"/>
    <s v="TEC-AC-10002167"/>
    <s v="Technology"/>
    <s v="Accessories"/>
    <s v="Imation 8gb Micro Traveldrive Usb 2.0 Flash Drive"/>
    <n v="45"/>
    <m/>
    <s v="Technology"/>
    <s v="Technology"/>
  </r>
  <r>
    <n v="50"/>
    <x v="23"/>
    <x v="23"/>
    <s v="22/04/2016"/>
    <s v="Standard Class"/>
    <s v="DP-13000"/>
    <x v="23"/>
    <x v="0"/>
    <x v="0"/>
    <s v="New Albany"/>
    <x v="14"/>
    <n v="47150"/>
    <x v="2"/>
    <s v="OFF-BI-10004410"/>
    <s v="Office Supplies"/>
    <s v="Binders"/>
    <s v="C-Line Peel &amp; Stick Add-On Filing Pockets, 8-3/4 x 5-1/8, 10/Pack"/>
    <n v="38.22"/>
    <m/>
    <s v="Office Supplies"/>
    <s v="OS"/>
  </r>
  <r>
    <n v="54"/>
    <x v="24"/>
    <x v="24"/>
    <s v="17/12/2017"/>
    <s v="Standard Class"/>
    <s v="JM-15265"/>
    <x v="24"/>
    <x v="1"/>
    <x v="0"/>
    <s v="New York City"/>
    <x v="15"/>
    <n v="10024"/>
    <x v="3"/>
    <s v="OFF-FA-10000304"/>
    <s v="Office Supplies"/>
    <s v="Fasteners"/>
    <s v="Advantus Push Pins"/>
    <n v="15.26"/>
    <m/>
    <s v="Office Supplies"/>
    <s v="OS"/>
  </r>
  <r>
    <n v="56"/>
    <x v="25"/>
    <x v="25"/>
    <s v="18/06/2017"/>
    <s v="First Class"/>
    <s v="TB-21055"/>
    <x v="25"/>
    <x v="0"/>
    <x v="0"/>
    <s v="Troy"/>
    <x v="15"/>
    <n v="12180"/>
    <x v="3"/>
    <s v="OFF-ST-10000604"/>
    <s v="Office Supplies"/>
    <s v="Storage"/>
    <s v="Home/Office Personal File Carts"/>
    <n v="208.56"/>
    <m/>
    <s v="Office Supplies"/>
    <s v="OS"/>
  </r>
  <r>
    <n v="63"/>
    <x v="26"/>
    <x v="26"/>
    <s v="30/11/2016"/>
    <s v="Standard Class"/>
    <s v="KM-16720"/>
    <x v="26"/>
    <x v="0"/>
    <x v="0"/>
    <s v="Los Angeles"/>
    <x v="1"/>
    <n v="90004"/>
    <x v="1"/>
    <s v="TEC-AC-10004633"/>
    <s v="Technology"/>
    <s v="Accessories"/>
    <s v="Verbatim 25 GB 6x Blu-ray Single Layer Recordable Disc, 3/Pack"/>
    <n v="13.98"/>
    <m/>
    <s v="Technology"/>
    <s v="Technology"/>
  </r>
  <r>
    <n v="67"/>
    <x v="27"/>
    <x v="27"/>
    <s v="05/05/2016"/>
    <s v="Standard Class"/>
    <s v="PS-18970"/>
    <x v="27"/>
    <x v="2"/>
    <x v="0"/>
    <s v="Chicago"/>
    <x v="10"/>
    <n v="60610"/>
    <x v="2"/>
    <s v="FUR-CH-10001146"/>
    <s v="Furniture"/>
    <s v="Chairs"/>
    <s v="Global Value Mid-Back Manager's Chair, Gray"/>
    <n v="213.11500000000001"/>
    <m/>
    <s v="Cardbaord"/>
    <s v="cardbaord"/>
  </r>
  <r>
    <n v="68"/>
    <x v="28"/>
    <x v="28"/>
    <s v="10/12/2015"/>
    <s v="Standard Class"/>
    <s v="BS-11590"/>
    <x v="28"/>
    <x v="1"/>
    <x v="0"/>
    <s v="Gilbert"/>
    <x v="16"/>
    <n v="85234"/>
    <x v="1"/>
    <s v="OFF-AR-10002671"/>
    <s v="Office Supplies"/>
    <s v="Art"/>
    <s v="Hunt BOSTON Model 1606 High-Volume Electric Pencil Sharpener, Beige"/>
    <n v="1113.0239999999999"/>
    <m/>
    <s v="Office Supplies"/>
    <s v="OS"/>
  </r>
  <r>
    <n v="70"/>
    <x v="29"/>
    <x v="29"/>
    <s v="06/06/2017"/>
    <s v="First Class"/>
    <s v="KD-16270"/>
    <x v="29"/>
    <x v="0"/>
    <x v="0"/>
    <s v="Springfield"/>
    <x v="17"/>
    <n v="22153"/>
    <x v="0"/>
    <s v="OFF-PA-10000482"/>
    <s v="Office Supplies"/>
    <s v="Paper"/>
    <s v="Snap-A-Way Black Print Carbonless Ruled Speed Letter, Triplicate"/>
    <n v="75.88"/>
    <m/>
    <s v="Office Supplies"/>
    <s v="OS"/>
  </r>
  <r>
    <n v="71"/>
    <x v="30"/>
    <x v="30"/>
    <s v="23/09/2017"/>
    <s v="Standard Class"/>
    <s v="HM-14980"/>
    <x v="30"/>
    <x v="0"/>
    <x v="0"/>
    <s v="New York City"/>
    <x v="15"/>
    <n v="10009"/>
    <x v="3"/>
    <s v="OFF-BI-10004654"/>
    <s v="Office Supplies"/>
    <s v="Binders"/>
    <s v="Avery Binding System Hidden Tab Executive Style Index Sets"/>
    <n v="4.6159999999999997"/>
    <m/>
    <s v="Office Supplies"/>
    <s v="OS"/>
  </r>
  <r>
    <n v="73"/>
    <x v="31"/>
    <x v="31"/>
    <s v="02/05/2016"/>
    <s v="Standard Class"/>
    <s v="JE-15745"/>
    <x v="31"/>
    <x v="0"/>
    <x v="0"/>
    <s v="Memphis"/>
    <x v="18"/>
    <n v="38109"/>
    <x v="0"/>
    <s v="FUR-CH-10000513"/>
    <s v="Furniture"/>
    <s v="Chairs"/>
    <s v="High-Back Leather Manager's Chair"/>
    <n v="831.93600000000004"/>
    <m/>
    <s v="Cardbaord"/>
    <s v="cardbaord"/>
  </r>
  <r>
    <n v="76"/>
    <x v="32"/>
    <x v="32"/>
    <s v="11/12/2018"/>
    <s v="First Class"/>
    <s v="KB-16600"/>
    <x v="32"/>
    <x v="1"/>
    <x v="0"/>
    <s v="Houston"/>
    <x v="5"/>
    <n v="77041"/>
    <x v="2"/>
    <s v="OFF-BI-10004182"/>
    <s v="Office Supplies"/>
    <s v="Binders"/>
    <s v="Economy Binders"/>
    <n v="1.248"/>
    <m/>
    <s v="Office Supplies"/>
    <s v="OS"/>
  </r>
  <r>
    <n v="80"/>
    <x v="33"/>
    <x v="1"/>
    <s v="15/06/2017"/>
    <s v="First Class"/>
    <s v="SC-20770"/>
    <x v="33"/>
    <x v="1"/>
    <x v="0"/>
    <s v="Decatur"/>
    <x v="19"/>
    <n v="35601"/>
    <x v="0"/>
    <s v="OFF-AP-10002118"/>
    <s v="Office Supplies"/>
    <s v="Appliances"/>
    <s v="1.7 Cubic Foot Compact &quot;Cube&quot; Office Refrigerators"/>
    <n v="208.16"/>
    <m/>
    <s v="Office Supplies"/>
    <s v="OS"/>
  </r>
  <r>
    <n v="82"/>
    <x v="34"/>
    <x v="33"/>
    <s v="16/10/2015"/>
    <s v="Standard Class"/>
    <s v="DN-13690"/>
    <x v="34"/>
    <x v="0"/>
    <x v="0"/>
    <s v="San Francisco"/>
    <x v="1"/>
    <n v="94122"/>
    <x v="1"/>
    <s v="OFF-AR-10002053"/>
    <s v="Office Supplies"/>
    <s v="Art"/>
    <s v="Premium Writing Pencils, Soft, #2 by Central Association for the Blind"/>
    <n v="14.9"/>
    <m/>
    <s v="Office Supplies"/>
    <s v="OS"/>
  </r>
  <r>
    <n v="84"/>
    <x v="35"/>
    <x v="34"/>
    <s v="08/09/2016"/>
    <s v="Standard Class"/>
    <s v="JC-16105"/>
    <x v="35"/>
    <x v="1"/>
    <x v="0"/>
    <s v="Durham"/>
    <x v="3"/>
    <n v="27707"/>
    <x v="0"/>
    <s v="OFF-EN-10000927"/>
    <s v="Office Supplies"/>
    <s v="Envelopes"/>
    <s v="Jet-Pak Recycled Peel 'N' Seal Padded Mailers"/>
    <n v="200.98400000000001"/>
    <m/>
    <s v="Office Supplies"/>
    <s v="OS"/>
  </r>
  <r>
    <n v="85"/>
    <x v="36"/>
    <x v="35"/>
    <s v="16/11/2018"/>
    <s v="First Class"/>
    <s v="CS-12400"/>
    <x v="36"/>
    <x v="2"/>
    <x v="0"/>
    <s v="Chicago"/>
    <x v="10"/>
    <n v="60623"/>
    <x v="2"/>
    <s v="OFF-ST-10003656"/>
    <s v="Office Supplies"/>
    <s v="Storage"/>
    <s v="Safco Industrial Wire Shelving"/>
    <n v="230.376"/>
    <m/>
    <s v="Office Supplies"/>
    <s v="OS"/>
  </r>
  <r>
    <n v="87"/>
    <x v="37"/>
    <x v="36"/>
    <s v="02/11/2018"/>
    <s v="Standard Class"/>
    <s v="PG-18895"/>
    <x v="37"/>
    <x v="0"/>
    <x v="0"/>
    <s v="Rochester"/>
    <x v="11"/>
    <n v="55901"/>
    <x v="2"/>
    <s v="TEC-AC-10001998"/>
    <s v="Technology"/>
    <s v="Accessories"/>
    <s v="Logitech LS21 Speaker System - PC Multimedia - 2.1-CH - Wired"/>
    <n v="19.989999999999998"/>
    <m/>
    <s v="Technology"/>
    <s v="Technology"/>
  </r>
  <r>
    <n v="89"/>
    <x v="38"/>
    <x v="37"/>
    <s v="10/04/2017"/>
    <s v="Second Class"/>
    <s v="GM-14455"/>
    <x v="38"/>
    <x v="2"/>
    <x v="0"/>
    <s v="Houston"/>
    <x v="5"/>
    <n v="77095"/>
    <x v="2"/>
    <s v="OFF-ST-10003442"/>
    <s v="Office Supplies"/>
    <s v="Storage"/>
    <s v="Eldon Portable Mobile Manager"/>
    <n v="158.36799999999999"/>
    <m/>
    <s v="Office Supplies"/>
    <s v="OS"/>
  </r>
  <r>
    <n v="90"/>
    <x v="39"/>
    <x v="38"/>
    <s v="22/09/2017"/>
    <s v="Standard Class"/>
    <s v="JS-15685"/>
    <x v="39"/>
    <x v="1"/>
    <x v="0"/>
    <s v="Los Angeles"/>
    <x v="1"/>
    <n v="90036"/>
    <x v="1"/>
    <s v="OFF-AR-10004930"/>
    <s v="Office Supplies"/>
    <s v="Art"/>
    <s v="Turquoise Lead Holder with Pocket Clip"/>
    <n v="20.100000000000001"/>
    <m/>
    <s v="Office Supplies"/>
    <s v="OS"/>
  </r>
  <r>
    <n v="93"/>
    <x v="40"/>
    <x v="39"/>
    <s v="05/02/2016"/>
    <s v="Second Class"/>
    <s v="KB-16315"/>
    <x v="40"/>
    <x v="0"/>
    <x v="0"/>
    <s v="Minneapolis"/>
    <x v="11"/>
    <n v="55407"/>
    <x v="2"/>
    <s v="OFF-PA-10003177"/>
    <s v="Office Supplies"/>
    <s v="Paper"/>
    <s v="Xerox 1999"/>
    <n v="12.96"/>
    <m/>
    <s v="Office Supplies"/>
    <s v="OS"/>
  </r>
  <r>
    <n v="96"/>
    <x v="41"/>
    <x v="40"/>
    <s v="12/11/2018"/>
    <s v="Standard Class"/>
    <s v="RB-19705"/>
    <x v="41"/>
    <x v="2"/>
    <x v="0"/>
    <s v="Portland"/>
    <x v="20"/>
    <n v="97206"/>
    <x v="1"/>
    <s v="OFF-BI-10004738"/>
    <s v="Office Supplies"/>
    <s v="Binders"/>
    <s v="Flexible Leather- Look Classic Collection Ring Binder"/>
    <n v="5.6820000000000004"/>
    <m/>
    <s v="Office Supplies"/>
    <s v="OS"/>
  </r>
  <r>
    <n v="97"/>
    <x v="42"/>
    <x v="41"/>
    <s v="11/11/2018"/>
    <s v="Second Class"/>
    <s v="PN-18775"/>
    <x v="42"/>
    <x v="2"/>
    <x v="0"/>
    <s v="New York City"/>
    <x v="15"/>
    <n v="10009"/>
    <x v="3"/>
    <s v="FUR-FU-10000629"/>
    <s v="Furniture"/>
    <s v="Furnishings"/>
    <s v="9-3/4 Diameter Round Wall Clock"/>
    <n v="96.53"/>
    <m/>
    <s v="Cardbaord"/>
    <s v="cardbaord"/>
  </r>
  <r>
    <n v="98"/>
    <x v="43"/>
    <x v="42"/>
    <s v="20/06/2018"/>
    <s v="First Class"/>
    <s v="KD-16345"/>
    <x v="43"/>
    <x v="0"/>
    <x v="0"/>
    <s v="San Francisco"/>
    <x v="1"/>
    <n v="94122"/>
    <x v="1"/>
    <s v="OFF-BI-10001721"/>
    <s v="Office Supplies"/>
    <s v="Binders"/>
    <s v="Trimflex Flexible Post Binders"/>
    <n v="51.311999999999998"/>
    <m/>
    <s v="Office Supplies"/>
    <s v="OS"/>
  </r>
  <r>
    <n v="99"/>
    <x v="44"/>
    <x v="43"/>
    <s v="11/09/2017"/>
    <s v="Standard Class"/>
    <s v="ER-13855"/>
    <x v="44"/>
    <x v="1"/>
    <x v="0"/>
    <s v="Saint Paul"/>
    <x v="11"/>
    <n v="55106"/>
    <x v="2"/>
    <s v="OFF-AP-10000358"/>
    <s v="Office Supplies"/>
    <s v="Appliances"/>
    <s v="Fellowes Basic Home/Office Series Surge Protectors"/>
    <n v="77.88"/>
    <m/>
    <s v="Office Supplies"/>
    <s v="OS"/>
  </r>
  <r>
    <n v="100"/>
    <x v="45"/>
    <x v="44"/>
    <s v="02/09/2017"/>
    <s v="Standard Class"/>
    <s v="RB-19465"/>
    <x v="45"/>
    <x v="2"/>
    <x v="0"/>
    <s v="Chicago"/>
    <x v="10"/>
    <n v="60610"/>
    <x v="2"/>
    <s v="OFF-PA-10003256"/>
    <s v="Office Supplies"/>
    <s v="Paper"/>
    <s v="Avery Personal Creations Heavyweight Cards"/>
    <n v="64.623999999999995"/>
    <m/>
    <s v="Office Supplies"/>
    <s v="OS"/>
  </r>
  <r>
    <n v="103"/>
    <x v="46"/>
    <x v="45"/>
    <s v="04/12/2017"/>
    <s v="Second Class"/>
    <s v="GZ-14470"/>
    <x v="46"/>
    <x v="0"/>
    <x v="0"/>
    <s v="Rochester"/>
    <x v="11"/>
    <n v="55901"/>
    <x v="2"/>
    <s v="OFF-PA-10004040"/>
    <s v="Office Supplies"/>
    <s v="Paper"/>
    <s v="Universal Premium White Copier/Laser Paper (20Lb. and 87 Bright)"/>
    <n v="23.92"/>
    <m/>
    <s v="Office Supplies"/>
    <s v="OS"/>
  </r>
  <r>
    <n v="104"/>
    <x v="47"/>
    <x v="46"/>
    <s v="17/11/2016"/>
    <s v="Standard Class"/>
    <s v="LC-16870"/>
    <x v="47"/>
    <x v="0"/>
    <x v="0"/>
    <s v="Aurora"/>
    <x v="21"/>
    <n v="80013"/>
    <x v="1"/>
    <s v="TEC-AC-10001552"/>
    <s v="Technology"/>
    <s v="Accessories"/>
    <s v="Logitech K350 2.4Ghz Wireless Keyboard"/>
    <n v="238.89599999999999"/>
    <m/>
    <s v="Technology"/>
    <s v="Technology"/>
  </r>
  <r>
    <n v="107"/>
    <x v="48"/>
    <x v="47"/>
    <s v="28/11/2018"/>
    <s v="Standard Class"/>
    <s v="JM-15250"/>
    <x v="48"/>
    <x v="0"/>
    <x v="0"/>
    <s v="Charlotte"/>
    <x v="3"/>
    <n v="28205"/>
    <x v="0"/>
    <s v="TEC-AC-10003499"/>
    <s v="Technology"/>
    <s v="Accessories"/>
    <s v="Memorex Mini Travel Drive 8 GB USB 2.0 Flash Drive"/>
    <n v="74.111999999999995"/>
    <m/>
    <s v="Technology"/>
    <s v="Technology"/>
  </r>
  <r>
    <n v="110"/>
    <x v="49"/>
    <x v="48"/>
    <s v="20/10/2016"/>
    <s v="Standard Class"/>
    <s v="PA-19060"/>
    <x v="49"/>
    <x v="2"/>
    <x v="0"/>
    <s v="Orland Park"/>
    <x v="10"/>
    <n v="60462"/>
    <x v="2"/>
    <s v="TEC-AC-10000844"/>
    <s v="Technology"/>
    <s v="Accessories"/>
    <s v="Logitech Gaming G510s - Keyboard"/>
    <n v="339.96"/>
    <m/>
    <s v="Technology"/>
    <s v="Technology"/>
  </r>
  <r>
    <n v="111"/>
    <x v="50"/>
    <x v="49"/>
    <s v="30/12/2018"/>
    <s v="Standard Class"/>
    <s v="CV-12805"/>
    <x v="50"/>
    <x v="1"/>
    <x v="0"/>
    <s v="New York City"/>
    <x v="15"/>
    <n v="10035"/>
    <x v="3"/>
    <s v="FUR-FU-10001934"/>
    <s v="Furniture"/>
    <s v="Furnishings"/>
    <s v="Magnifier Swing Arm Lamp"/>
    <n v="41.96"/>
    <m/>
    <s v="Cardbaord"/>
    <s v="cardbaord"/>
  </r>
  <r>
    <n v="112"/>
    <x v="51"/>
    <x v="50"/>
    <s v="10/11/2017"/>
    <s v="Standard Class"/>
    <s v="CL-12565"/>
    <x v="51"/>
    <x v="0"/>
    <x v="0"/>
    <s v="Urbandale"/>
    <x v="22"/>
    <n v="50322"/>
    <x v="2"/>
    <s v="OFF-AR-10000380"/>
    <s v="Office Supplies"/>
    <s v="Art"/>
    <s v="Hunt PowerHouse Electric Pencil Sharpener, Blue"/>
    <n v="75.959999999999994"/>
    <m/>
    <s v="Office Supplies"/>
    <s v="OS"/>
  </r>
  <r>
    <n v="114"/>
    <x v="52"/>
    <x v="51"/>
    <s v="27/08/2015"/>
    <s v="Second Class"/>
    <s v="RC-19960"/>
    <x v="52"/>
    <x v="0"/>
    <x v="0"/>
    <s v="Columbus"/>
    <x v="23"/>
    <n v="43229"/>
    <x v="3"/>
    <s v="OFF-FA-10000621"/>
    <s v="Office Supplies"/>
    <s v="Fasteners"/>
    <s v="OIC Colored Binder Clips, Assorted Sizes"/>
    <n v="40.095999999999997"/>
    <m/>
    <s v="Office Supplies"/>
    <s v="OS"/>
  </r>
  <r>
    <n v="118"/>
    <x v="53"/>
    <x v="52"/>
    <s v="06/03/2016"/>
    <s v="Standard Class"/>
    <s v="DK-13090"/>
    <x v="53"/>
    <x v="0"/>
    <x v="0"/>
    <s v="Seattle"/>
    <x v="4"/>
    <n v="98103"/>
    <x v="1"/>
    <s v="FUR-TA-10001768"/>
    <s v="Furniture"/>
    <s v="Tables"/>
    <s v="Hon Racetrack Conference Tables"/>
    <n v="787.53"/>
    <m/>
    <s v="Cardbaord"/>
    <s v="cardbaord"/>
  </r>
  <r>
    <n v="119"/>
    <x v="54"/>
    <x v="53"/>
    <s v="10/04/2016"/>
    <s v="Standard Class"/>
    <s v="GG-14650"/>
    <x v="54"/>
    <x v="1"/>
    <x v="0"/>
    <s v="Bristol"/>
    <x v="18"/>
    <n v="37620"/>
    <x v="0"/>
    <s v="OFF-BI-10003650"/>
    <s v="Office Supplies"/>
    <s v="Binders"/>
    <s v="GBC DocuBind 300 Electric Binding Machine"/>
    <n v="157.79400000000001"/>
    <m/>
    <s v="Office Supplies"/>
    <s v="OS"/>
  </r>
  <r>
    <n v="120"/>
    <x v="55"/>
    <x v="1"/>
    <s v="15/06/2017"/>
    <s v="First Class"/>
    <s v="SC-20725"/>
    <x v="55"/>
    <x v="0"/>
    <x v="0"/>
    <s v="Wilmington"/>
    <x v="13"/>
    <n v="19805"/>
    <x v="3"/>
    <s v="FUR-FU-10002157"/>
    <s v="Furniture"/>
    <s v="Furnishings"/>
    <s v="Artistic Insta-Plaque"/>
    <n v="47.04"/>
    <m/>
    <s v="Cardbaord"/>
    <s v="cardbaord"/>
  </r>
  <r>
    <n v="125"/>
    <x v="56"/>
    <x v="54"/>
    <s v="28/12/2015"/>
    <s v="Second Class"/>
    <s v="AD-10180"/>
    <x v="56"/>
    <x v="2"/>
    <x v="0"/>
    <s v="Houston"/>
    <x v="5"/>
    <n v="77041"/>
    <x v="2"/>
    <s v="FUR-CH-10004063"/>
    <s v="Furniture"/>
    <s v="Chairs"/>
    <s v="Global Deluxe High-Back Manager's Chair"/>
    <n v="600.55799999999999"/>
    <m/>
    <s v="Cardbaord"/>
    <s v="cardbaord"/>
  </r>
  <r>
    <n v="126"/>
    <x v="57"/>
    <x v="55"/>
    <s v="25/09/2015"/>
    <s v="Standard Class"/>
    <s v="PF-19165"/>
    <x v="57"/>
    <x v="0"/>
    <x v="0"/>
    <s v="Bloomington"/>
    <x v="10"/>
    <n v="61701"/>
    <x v="2"/>
    <s v="FUR-TA-10004534"/>
    <s v="Furniture"/>
    <s v="Tables"/>
    <s v="Bevis 44 x 96 Conference Tables"/>
    <n v="617.70000000000005"/>
    <m/>
    <s v="Cardbaord"/>
    <s v="cardbaord"/>
  </r>
  <r>
    <n v="127"/>
    <x v="58"/>
    <x v="56"/>
    <s v="12/11/2018"/>
    <s v="Standard Class"/>
    <s v="TS-21610"/>
    <x v="58"/>
    <x v="0"/>
    <x v="0"/>
    <s v="Phoenix"/>
    <x v="16"/>
    <n v="85023"/>
    <x v="1"/>
    <s v="OFF-BI-10003274"/>
    <s v="Office Supplies"/>
    <s v="Binders"/>
    <s v="Avery Durable Slant Ring Binders, No Labels"/>
    <n v="2.3879999999999999"/>
    <m/>
    <s v="Office Supplies"/>
    <s v="OS"/>
  </r>
  <r>
    <n v="130"/>
    <x v="59"/>
    <x v="57"/>
    <s v="10/11/2017"/>
    <s v="Second Class"/>
    <s v="LS-16975"/>
    <x v="59"/>
    <x v="2"/>
    <x v="0"/>
    <s v="Los Angeles"/>
    <x v="1"/>
    <n v="90004"/>
    <x v="1"/>
    <s v="FUR-FU-10003773"/>
    <s v="Furniture"/>
    <s v="Furnishings"/>
    <s v="Eldon Cleatmat Plus Chair Mats for High Pile Carpets"/>
    <n v="238.56"/>
    <m/>
    <s v="Cardbaord"/>
    <s v="cardbaord"/>
  </r>
  <r>
    <n v="131"/>
    <x v="60"/>
    <x v="58"/>
    <s v="05/02/2018"/>
    <s v="First Class"/>
    <s v="DW-13585"/>
    <x v="60"/>
    <x v="1"/>
    <x v="0"/>
    <s v="Columbus"/>
    <x v="23"/>
    <n v="43229"/>
    <x v="3"/>
    <s v="TEC-PH-10002293"/>
    <s v="Technology"/>
    <s v="Phones"/>
    <s v="Anker 36W 4-Port USB Wall Charger Travel Power Adapter for iPhone 5s 5c 5"/>
    <n v="59.97"/>
    <m/>
    <s v="Technology"/>
    <s v="Technology"/>
  </r>
  <r>
    <n v="134"/>
    <x v="61"/>
    <x v="59"/>
    <s v="19/10/2017"/>
    <s v="Standard Class"/>
    <s v="LC-16885"/>
    <x v="61"/>
    <x v="0"/>
    <x v="0"/>
    <s v="Roseville"/>
    <x v="1"/>
    <n v="95661"/>
    <x v="1"/>
    <s v="OFF-PA-10001804"/>
    <s v="Office Supplies"/>
    <s v="Paper"/>
    <s v="Xerox 195"/>
    <n v="20.04"/>
    <m/>
    <s v="Office Supplies"/>
    <s v="OS"/>
  </r>
  <r>
    <n v="142"/>
    <x v="62"/>
    <x v="60"/>
    <s v="23/09/2018"/>
    <s v="Standard Class"/>
    <s v="SH-19975"/>
    <x v="62"/>
    <x v="1"/>
    <x v="0"/>
    <s v="San Francisco"/>
    <x v="1"/>
    <n v="94122"/>
    <x v="1"/>
    <s v="OFF-AR-10000940"/>
    <s v="Office Supplies"/>
    <s v="Art"/>
    <s v="Newell 343"/>
    <n v="8.82"/>
    <m/>
    <s v="Office Supplies"/>
    <s v="OS"/>
  </r>
  <r>
    <n v="145"/>
    <x v="63"/>
    <x v="61"/>
    <s v="27/12/2018"/>
    <s v="Standard Class"/>
    <s v="SG-20080"/>
    <x v="63"/>
    <x v="0"/>
    <x v="0"/>
    <s v="Independence"/>
    <x v="24"/>
    <n v="64055"/>
    <x v="2"/>
    <s v="OFF-AP-10001058"/>
    <s v="Office Supplies"/>
    <s v="Appliances"/>
    <s v="Sanyo 2.5 Cubic Foot Mid-Size Office Refrigerators"/>
    <n v="839.43"/>
    <m/>
    <s v="Office Supplies"/>
    <s v="OS"/>
  </r>
  <r>
    <n v="147"/>
    <x v="64"/>
    <x v="62"/>
    <s v="28/10/2015"/>
    <s v="Standard Class"/>
    <s v="MG-17680"/>
    <x v="64"/>
    <x v="2"/>
    <x v="0"/>
    <s v="Newark"/>
    <x v="23"/>
    <n v="43055"/>
    <x v="3"/>
    <s v="FUR-FU-10000521"/>
    <s v="Furniture"/>
    <s v="Furnishings"/>
    <s v="Seth Thomas 14&quot; Putty-Colored Wall Clock"/>
    <n v="93.888000000000005"/>
    <m/>
    <s v="Cardbaord"/>
    <s v="cardbaord"/>
  </r>
  <r>
    <n v="148"/>
    <x v="65"/>
    <x v="5"/>
    <s v="09/12/2017"/>
    <s v="Standard Class"/>
    <s v="JE-16165"/>
    <x v="65"/>
    <x v="1"/>
    <x v="0"/>
    <s v="Franklin"/>
    <x v="6"/>
    <n v="53132"/>
    <x v="2"/>
    <s v="TEC-PH-10000215"/>
    <s v="Technology"/>
    <s v="Phones"/>
    <s v="Plantronics Cordless Phone Headset with In-line Volume - M214C"/>
    <n v="384.45"/>
    <m/>
    <s v="Technology"/>
    <s v="Technology"/>
  </r>
  <r>
    <n v="152"/>
    <x v="66"/>
    <x v="63"/>
    <s v="16/03/2017"/>
    <s v="First Class"/>
    <s v="TW-21025"/>
    <x v="66"/>
    <x v="2"/>
    <x v="0"/>
    <s v="Scottsdale"/>
    <x v="16"/>
    <n v="85254"/>
    <x v="1"/>
    <s v="OFF-AP-10000326"/>
    <s v="Office Supplies"/>
    <s v="Appliances"/>
    <s v="Belkin 7 Outlet SurgeMaster Surge Protector with Phone Protection"/>
    <n v="157.91999999999999"/>
    <m/>
    <s v="Office Supplies"/>
    <s v="OS"/>
  </r>
  <r>
    <n v="154"/>
    <x v="67"/>
    <x v="64"/>
    <s v="02/06/2016"/>
    <s v="First Class"/>
    <s v="SP-20650"/>
    <x v="67"/>
    <x v="1"/>
    <x v="0"/>
    <s v="San Jose"/>
    <x v="1"/>
    <n v="95123"/>
    <x v="1"/>
    <s v="OFF-PA-10001950"/>
    <s v="Office Supplies"/>
    <s v="Paper"/>
    <s v="Southworth 25% Cotton Antique Laid Paper &amp; Envelopes"/>
    <n v="58.38"/>
    <m/>
    <s v="Office Supplies"/>
    <s v="OS"/>
  </r>
  <r>
    <n v="157"/>
    <x v="68"/>
    <x v="65"/>
    <s v="03/06/2016"/>
    <s v="Standard Class"/>
    <s v="NK-18490"/>
    <x v="68"/>
    <x v="2"/>
    <x v="0"/>
    <s v="Seattle"/>
    <x v="4"/>
    <n v="98105"/>
    <x v="1"/>
    <s v="OFF-AR-10001547"/>
    <s v="Office Supplies"/>
    <s v="Art"/>
    <s v="Newell 311"/>
    <n v="6.63"/>
    <m/>
    <s v="Office Supplies"/>
    <s v="OS"/>
  </r>
  <r>
    <n v="159"/>
    <x v="69"/>
    <x v="66"/>
    <s v="24/11/2017"/>
    <s v="Standard Class"/>
    <s v="NP-18670"/>
    <x v="69"/>
    <x v="0"/>
    <x v="0"/>
    <s v="Edmond"/>
    <x v="25"/>
    <n v="73034"/>
    <x v="2"/>
    <s v="OFF-LA-10002475"/>
    <s v="Office Supplies"/>
    <s v="Labels"/>
    <s v="Avery 519"/>
    <n v="14.62"/>
    <m/>
    <s v="Office Supplies"/>
    <s v="OS"/>
  </r>
  <r>
    <n v="161"/>
    <x v="70"/>
    <x v="67"/>
    <s v="12/05/2017"/>
    <s v="First Class"/>
    <s v="TT-21070"/>
    <x v="70"/>
    <x v="0"/>
    <x v="0"/>
    <s v="Los Angeles"/>
    <x v="1"/>
    <n v="90045"/>
    <x v="1"/>
    <s v="OFF-PA-10002751"/>
    <s v="Office Supplies"/>
    <s v="Paper"/>
    <s v="Xerox 1920"/>
    <n v="5.98"/>
    <m/>
    <s v="Office Supplies"/>
    <s v="OS"/>
  </r>
  <r>
    <n v="162"/>
    <x v="71"/>
    <x v="68"/>
    <s v="31/12/2016"/>
    <s v="Second Class"/>
    <s v="EM-13960"/>
    <x v="71"/>
    <x v="0"/>
    <x v="0"/>
    <s v="Philadelphia"/>
    <x v="9"/>
    <n v="19134"/>
    <x v="3"/>
    <s v="TEC-AC-10003657"/>
    <s v="Technology"/>
    <s v="Accessories"/>
    <s v="Lenovo 17-Key USB Numeric Keypad"/>
    <n v="54.384"/>
    <m/>
    <s v="Technology"/>
    <s v="Technology"/>
  </r>
  <r>
    <n v="163"/>
    <x v="72"/>
    <x v="69"/>
    <s v="20/11/2017"/>
    <s v="Standard Class"/>
    <s v="RD-19900"/>
    <x v="72"/>
    <x v="0"/>
    <x v="0"/>
    <s v="Carlsbad"/>
    <x v="26"/>
    <n v="88220"/>
    <x v="1"/>
    <s v="OFF-EN-10001990"/>
    <s v="Office Supplies"/>
    <s v="Envelopes"/>
    <s v="Staple envelope"/>
    <n v="28.4"/>
    <m/>
    <s v="Office Supplies"/>
    <s v="OS"/>
  </r>
  <r>
    <n v="164"/>
    <x v="73"/>
    <x v="70"/>
    <s v="11/11/2017"/>
    <s v="Standard Class"/>
    <s v="MJ-17740"/>
    <x v="73"/>
    <x v="0"/>
    <x v="0"/>
    <s v="Seattle"/>
    <x v="4"/>
    <n v="98115"/>
    <x v="1"/>
    <s v="OFF-BI-10004002"/>
    <s v="Office Supplies"/>
    <s v="Binders"/>
    <s v="Wilson Jones International Size A4 Ring Binders"/>
    <n v="27.68"/>
    <m/>
    <s v="Office Supplies"/>
    <s v="OS"/>
  </r>
  <r>
    <n v="165"/>
    <x v="74"/>
    <x v="71"/>
    <s v="12/09/2015"/>
    <s v="Standard Class"/>
    <s v="BM-11140"/>
    <x v="74"/>
    <x v="0"/>
    <x v="0"/>
    <s v="San Antonio"/>
    <x v="5"/>
    <n v="78207"/>
    <x v="2"/>
    <s v="OFF-AR-10004441"/>
    <s v="Office Supplies"/>
    <s v="Art"/>
    <s v="BIC Brite Liner Highlighters"/>
    <n v="9.9359999999999999"/>
    <m/>
    <s v="Office Supplies"/>
    <s v="OS"/>
  </r>
  <r>
    <n v="172"/>
    <x v="75"/>
    <x v="72"/>
    <s v="09/08/2015"/>
    <s v="Standard Class"/>
    <s v="CS-12130"/>
    <x v="75"/>
    <x v="0"/>
    <x v="0"/>
    <s v="Los Angeles"/>
    <x v="1"/>
    <n v="90004"/>
    <x v="1"/>
    <s v="OFF-PA-10000659"/>
    <s v="Office Supplies"/>
    <s v="Paper"/>
    <s v="Adams Phone Message Book, Professional, 400 Message Capacity, 5 3/6” x 11”"/>
    <n v="20.94"/>
    <m/>
    <s v="Office Supplies"/>
    <s v="OS"/>
  </r>
  <r>
    <n v="175"/>
    <x v="76"/>
    <x v="73"/>
    <s v="19/09/2015"/>
    <s v="Standard Class"/>
    <s v="JB-15400"/>
    <x v="76"/>
    <x v="1"/>
    <x v="0"/>
    <s v="Chicago"/>
    <x v="10"/>
    <n v="60623"/>
    <x v="2"/>
    <s v="OFF-AP-10000891"/>
    <s v="Office Supplies"/>
    <s v="Appliances"/>
    <s v="Kensington 7 Outlet MasterPiece HOMEOFFICE Power Control Center"/>
    <n v="52.448"/>
    <m/>
    <s v="Office Supplies"/>
    <s v="OS"/>
  </r>
  <r>
    <n v="177"/>
    <x v="77"/>
    <x v="74"/>
    <s v="25/04/2018"/>
    <s v="Second Class"/>
    <s v="SJ-20500"/>
    <x v="77"/>
    <x v="0"/>
    <x v="0"/>
    <s v="Houston"/>
    <x v="5"/>
    <n v="77036"/>
    <x v="2"/>
    <s v="OFF-AP-10002684"/>
    <s v="Office Supplies"/>
    <s v="Appliances"/>
    <s v="Acco 7-Outlet Masterpiece Power Center, Wihtout Fax/Phone Line Protection"/>
    <n v="97.263999999999996"/>
    <m/>
    <s v="Office Supplies"/>
    <s v="OS"/>
  </r>
  <r>
    <n v="180"/>
    <x v="78"/>
    <x v="75"/>
    <s v="19/12/2016"/>
    <s v="Standard Class"/>
    <s v="JK-15640"/>
    <x v="78"/>
    <x v="2"/>
    <x v="0"/>
    <s v="New York City"/>
    <x v="15"/>
    <n v="10009"/>
    <x v="3"/>
    <s v="OFF-AR-10001940"/>
    <s v="Office Supplies"/>
    <s v="Art"/>
    <s v="Sanford Colorific Eraseable Coloring Pencils, 12 Count"/>
    <n v="3.28"/>
    <m/>
    <s v="Office Supplies"/>
    <s v="OS"/>
  </r>
  <r>
    <n v="181"/>
    <x v="79"/>
    <x v="28"/>
    <s v="09/12/2015"/>
    <s v="Second Class"/>
    <s v="DK-13150"/>
    <x v="79"/>
    <x v="1"/>
    <x v="0"/>
    <s v="Decatur"/>
    <x v="10"/>
    <n v="62521"/>
    <x v="2"/>
    <s v="OFF-ST-10003455"/>
    <s v="Office Supplies"/>
    <s v="Storage"/>
    <s v="Tenex File Box, Personal Filing Tote with Lid, Black"/>
    <n v="24.815999999999999"/>
    <m/>
    <s v="Office Supplies"/>
    <s v="OS"/>
  </r>
  <r>
    <n v="183"/>
    <x v="80"/>
    <x v="76"/>
    <s v="24/11/2015"/>
    <s v="Second Class"/>
    <s v="RM-19675"/>
    <x v="80"/>
    <x v="2"/>
    <x v="0"/>
    <s v="Monroe"/>
    <x v="27"/>
    <n v="71203"/>
    <x v="0"/>
    <s v="TEC-PH-10003273"/>
    <s v="Technology"/>
    <s v="Phones"/>
    <s v="AT&amp;T TR1909W"/>
    <n v="503.96"/>
    <m/>
    <s v="Technology"/>
    <s v="Technology"/>
  </r>
  <r>
    <n v="186"/>
    <x v="81"/>
    <x v="77"/>
    <s v="02/12/2017"/>
    <s v="Standard Class"/>
    <s v="SK-19990"/>
    <x v="81"/>
    <x v="0"/>
    <x v="0"/>
    <s v="Fairfield"/>
    <x v="28"/>
    <n v="6824"/>
    <x v="3"/>
    <s v="OFF-BI-10001890"/>
    <s v="Office Supplies"/>
    <s v="Binders"/>
    <s v="Avery Poly Binder Pockets"/>
    <n v="7.16"/>
    <m/>
    <s v="Office Supplies"/>
    <s v="OS"/>
  </r>
  <r>
    <n v="187"/>
    <x v="82"/>
    <x v="78"/>
    <s v="30/08/2015"/>
    <s v="Standard Class"/>
    <s v="FM-14290"/>
    <x v="82"/>
    <x v="2"/>
    <x v="0"/>
    <s v="Los Angeles"/>
    <x v="1"/>
    <n v="90032"/>
    <x v="1"/>
    <s v="TEC-AC-10002323"/>
    <s v="Technology"/>
    <s v="Accessories"/>
    <s v="SanDisk Ultra 32 GB MicroSDHC Class 10 Memory Card"/>
    <n v="176.8"/>
    <m/>
    <s v="Technology"/>
    <s v="Technology"/>
  </r>
  <r>
    <n v="188"/>
    <x v="83"/>
    <x v="79"/>
    <s v="22/07/2017"/>
    <s v="Standard Class"/>
    <s v="AM-10360"/>
    <x v="83"/>
    <x v="1"/>
    <x v="0"/>
    <s v="Grand Prairie"/>
    <x v="5"/>
    <n v="75051"/>
    <x v="2"/>
    <s v="OFF-ST-10001328"/>
    <s v="Office Supplies"/>
    <s v="Storage"/>
    <s v="Personal Filing Tote with Lid, Black/Gray"/>
    <n v="37.223999999999997"/>
    <m/>
    <s v="Office Supplies"/>
    <s v="OS"/>
  </r>
  <r>
    <n v="190"/>
    <x v="84"/>
    <x v="80"/>
    <s v="14/10/2016"/>
    <s v="First Class"/>
    <s v="MP-17470"/>
    <x v="84"/>
    <x v="2"/>
    <x v="0"/>
    <s v="New York City"/>
    <x v="15"/>
    <n v="10035"/>
    <x v="3"/>
    <s v="FUR-BO-10002613"/>
    <s v="Furniture"/>
    <s v="Bookcases"/>
    <s v="Atlantic Metals Mobile 4-Shelf Bookcases, Custom Colors"/>
    <n v="899.13599999999997"/>
    <m/>
    <s v="Cardbaord"/>
    <s v="cardbaord"/>
  </r>
  <r>
    <n v="196"/>
    <x v="85"/>
    <x v="81"/>
    <s v="25/03/2015"/>
    <s v="Standard Class"/>
    <s v="CB-12025"/>
    <x v="85"/>
    <x v="0"/>
    <x v="0"/>
    <s v="Hamilton"/>
    <x v="23"/>
    <n v="45011"/>
    <x v="3"/>
    <s v="OFF-AR-10004685"/>
    <s v="Office Supplies"/>
    <s v="Art"/>
    <s v="Binney &amp; Smith Crayola Metallic Colored Pencils, 8-Color Set"/>
    <n v="7.4080000000000004"/>
    <m/>
    <s v="Office Supplies"/>
    <s v="OS"/>
  </r>
  <r>
    <n v="198"/>
    <x v="86"/>
    <x v="40"/>
    <s v="13/11/2018"/>
    <s v="Standard Class"/>
    <s v="VM-21685"/>
    <x v="86"/>
    <x v="2"/>
    <x v="0"/>
    <s v="Westfield"/>
    <x v="29"/>
    <n v="7090"/>
    <x v="3"/>
    <s v="OFF-ST-10001414"/>
    <s v="Office Supplies"/>
    <s v="Storage"/>
    <s v="Decoflex Hanging Personal Folder File"/>
    <n v="46.26"/>
    <m/>
    <s v="Office Supplies"/>
    <s v="OS"/>
  </r>
  <r>
    <n v="199"/>
    <x v="87"/>
    <x v="82"/>
    <s v="13/07/2018"/>
    <s v="Standard Class"/>
    <s v="FH-14365"/>
    <x v="87"/>
    <x v="1"/>
    <x v="0"/>
    <s v="Philadelphia"/>
    <x v="9"/>
    <n v="19120"/>
    <x v="3"/>
    <s v="OFF-BI-10000343"/>
    <s v="Office Supplies"/>
    <s v="Binders"/>
    <s v="Pressboard Covers with Storage Hooks, 9 1/2&quot; x 11&quot;, Light Blue"/>
    <n v="2.9460000000000002"/>
    <m/>
    <s v="Office Supplies"/>
    <s v="OS"/>
  </r>
  <r>
    <n v="201"/>
    <x v="88"/>
    <x v="83"/>
    <s v="29/06/2018"/>
    <s v="Standard Class"/>
    <s v="MB-17305"/>
    <x v="88"/>
    <x v="0"/>
    <x v="0"/>
    <s v="Akron"/>
    <x v="23"/>
    <n v="44312"/>
    <x v="3"/>
    <s v="OFF-PA-10002666"/>
    <s v="Office Supplies"/>
    <s v="Paper"/>
    <s v="Southworth 25% Cotton Linen-Finish Paper &amp; Envelopes"/>
    <n v="21.744"/>
    <m/>
    <s v="Office Supplies"/>
    <s v="OS"/>
  </r>
  <r>
    <n v="202"/>
    <x v="89"/>
    <x v="84"/>
    <s v="05/08/2015"/>
    <s v="First Class"/>
    <s v="BS-11755"/>
    <x v="89"/>
    <x v="0"/>
    <x v="0"/>
    <s v="Denver"/>
    <x v="21"/>
    <n v="80219"/>
    <x v="1"/>
    <s v="FUR-TA-10004289"/>
    <s v="Furniture"/>
    <s v="Tables"/>
    <s v="BoxOffice By Design Rectangular and Half-Moon Meeting Room Tables"/>
    <n v="218.75"/>
    <m/>
    <s v="Cardbaord"/>
    <s v="cardbaord"/>
  </r>
  <r>
    <n v="204"/>
    <x v="90"/>
    <x v="85"/>
    <s v="21/12/2018"/>
    <s v="Second Class"/>
    <s v="LC-17140"/>
    <x v="90"/>
    <x v="0"/>
    <x v="0"/>
    <s v="Dallas"/>
    <x v="5"/>
    <n v="75220"/>
    <x v="2"/>
    <s v="OFF-AP-10003217"/>
    <s v="Office Supplies"/>
    <s v="Appliances"/>
    <s v="Eureka Sanitaire  Commercial Upright"/>
    <n v="66.284000000000006"/>
    <m/>
    <s v="Office Supplies"/>
    <s v="OS"/>
  </r>
  <r>
    <n v="205"/>
    <x v="91"/>
    <x v="86"/>
    <s v="07/06/2018"/>
    <s v="Standard Class"/>
    <s v="HK-14890"/>
    <x v="91"/>
    <x v="1"/>
    <x v="0"/>
    <s v="Franklin"/>
    <x v="18"/>
    <n v="37064"/>
    <x v="0"/>
    <s v="FUR-FU-10002960"/>
    <s v="Furniture"/>
    <s v="Furnishings"/>
    <s v="Eldon 200 Class Desk Accessories, Burgundy"/>
    <n v="35.167999999999999"/>
    <m/>
    <s v="Cardbaord"/>
    <s v="cardbaord"/>
  </r>
  <r>
    <n v="206"/>
    <x v="92"/>
    <x v="32"/>
    <s v="14/12/2018"/>
    <s v="Standard Class"/>
    <s v="LE-16810"/>
    <x v="92"/>
    <x v="0"/>
    <x v="0"/>
    <s v="Whittier"/>
    <x v="1"/>
    <n v="90604"/>
    <x v="1"/>
    <s v="TEC-PH-10001918"/>
    <s v="Technology"/>
    <s v="Phones"/>
    <s v="Nortel Business Series Terminal T7208 Digital phone"/>
    <n v="444.76799999999997"/>
    <m/>
    <s v="Technology"/>
    <s v="Technology"/>
  </r>
  <r>
    <n v="207"/>
    <x v="93"/>
    <x v="87"/>
    <s v="07/12/2018"/>
    <s v="Standard Class"/>
    <s v="JH-15985"/>
    <x v="93"/>
    <x v="0"/>
    <x v="0"/>
    <s v="Saginaw"/>
    <x v="12"/>
    <n v="48601"/>
    <x v="2"/>
    <s v="OFF-ST-10000642"/>
    <s v="Office Supplies"/>
    <s v="Storage"/>
    <s v="Tennsco Lockers, Gray"/>
    <n v="83.92"/>
    <m/>
    <s v="Office Supplies"/>
    <s v="OS"/>
  </r>
  <r>
    <n v="212"/>
    <x v="94"/>
    <x v="88"/>
    <s v="13/02/2016"/>
    <s v="Second Class"/>
    <s v="MS-17980"/>
    <x v="94"/>
    <x v="1"/>
    <x v="0"/>
    <s v="Dallas"/>
    <x v="5"/>
    <n v="75220"/>
    <x v="2"/>
    <s v="TEC-AC-10001266"/>
    <s v="Technology"/>
    <s v="Accessories"/>
    <s v="Memorex Micro Travel Drive 8 GB"/>
    <n v="20.8"/>
    <m/>
    <s v="Technology"/>
    <s v="Technology"/>
  </r>
  <r>
    <n v="213"/>
    <x v="95"/>
    <x v="89"/>
    <s v="09/01/2016"/>
    <s v="Standard Class"/>
    <s v="VW-21775"/>
    <x v="95"/>
    <x v="1"/>
    <x v="0"/>
    <s v="Medina"/>
    <x v="23"/>
    <n v="44256"/>
    <x v="3"/>
    <s v="OFF-LA-10004544"/>
    <s v="Office Supplies"/>
    <s v="Labels"/>
    <s v="Avery 505"/>
    <n v="23.68"/>
    <m/>
    <s v="Office Supplies"/>
    <s v="OS"/>
  </r>
  <r>
    <n v="219"/>
    <x v="96"/>
    <x v="90"/>
    <s v="01/11/2017"/>
    <s v="Standard Class"/>
    <s v="JH-15910"/>
    <x v="96"/>
    <x v="0"/>
    <x v="0"/>
    <s v="Los Angeles"/>
    <x v="1"/>
    <n v="90032"/>
    <x v="1"/>
    <s v="TEC-PH-10002563"/>
    <s v="Technology"/>
    <s v="Phones"/>
    <s v="Adtran 1202752G1"/>
    <n v="302.37599999999998"/>
    <m/>
    <s v="Technology"/>
    <s v="Technology"/>
  </r>
  <r>
    <n v="220"/>
    <x v="97"/>
    <x v="91"/>
    <s v="27/12/2016"/>
    <s v="First Class"/>
    <s v="JB-15925"/>
    <x v="97"/>
    <x v="0"/>
    <x v="0"/>
    <s v="Dublin"/>
    <x v="23"/>
    <n v="43017"/>
    <x v="3"/>
    <s v="OFF-FA-10000585"/>
    <s v="Office Supplies"/>
    <s v="Fasteners"/>
    <s v="OIC Bulk Pack Metal Binder Clips"/>
    <n v="5.5839999999999996"/>
    <m/>
    <s v="Office Supplies"/>
    <s v="OS"/>
  </r>
  <r>
    <n v="226"/>
    <x v="98"/>
    <x v="92"/>
    <s v="16/08/2016"/>
    <s v="Standard Class"/>
    <s v="DS-13180"/>
    <x v="98"/>
    <x v="1"/>
    <x v="0"/>
    <s v="Detroit"/>
    <x v="12"/>
    <n v="48227"/>
    <x v="2"/>
    <s v="OFF-AR-10001026"/>
    <s v="Office Supplies"/>
    <s v="Art"/>
    <s v="Sanford Uni-Blazer View Highlighters, Chisel Tip, Yellow"/>
    <n v="2.2000000000000002"/>
    <m/>
    <s v="Office Supplies"/>
    <s v="OS"/>
  </r>
  <r>
    <n v="229"/>
    <x v="99"/>
    <x v="93"/>
    <s v="04/03/2016"/>
    <s v="Standard Class"/>
    <s v="VD-21670"/>
    <x v="99"/>
    <x v="0"/>
    <x v="0"/>
    <s v="Columbia"/>
    <x v="18"/>
    <n v="38401"/>
    <x v="0"/>
    <s v="FUR-CH-10004860"/>
    <s v="Furniture"/>
    <s v="Chairs"/>
    <s v="Global Low Back Tilter Chair"/>
    <n v="161.56800000000001"/>
    <m/>
    <s v="Cardbaord"/>
    <s v="cardbaord"/>
  </r>
  <r>
    <n v="231"/>
    <x v="100"/>
    <x v="94"/>
    <s v="17/09/2015"/>
    <s v="Standard Class"/>
    <s v="EA-14035"/>
    <x v="100"/>
    <x v="1"/>
    <x v="0"/>
    <s v="Charlotte"/>
    <x v="3"/>
    <n v="28205"/>
    <x v="0"/>
    <s v="OFF-BI-10001679"/>
    <s v="Office Supplies"/>
    <s v="Binders"/>
    <s v="GBC Instant Index System for Binding Systems"/>
    <n v="18.648"/>
    <m/>
    <s v="Office Supplies"/>
    <s v="OS"/>
  </r>
  <r>
    <n v="237"/>
    <x v="101"/>
    <x v="95"/>
    <s v="16/11/2018"/>
    <s v="Standard Class"/>
    <s v="DB-13120"/>
    <x v="101"/>
    <x v="1"/>
    <x v="0"/>
    <s v="Santa Clara"/>
    <x v="1"/>
    <n v="95051"/>
    <x v="1"/>
    <s v="OFF-PA-10002479"/>
    <s v="Office Supplies"/>
    <s v="Paper"/>
    <s v="Xerox 4200 Series MultiUse Premium Copy Paper (20Lb. and 84 Bright)"/>
    <n v="10.56"/>
    <m/>
    <s v="Office Supplies"/>
    <s v="OS"/>
  </r>
  <r>
    <n v="238"/>
    <x v="102"/>
    <x v="29"/>
    <s v="09/06/2017"/>
    <s v="Second Class"/>
    <s v="KL-16645"/>
    <x v="102"/>
    <x v="0"/>
    <x v="0"/>
    <s v="Chicago"/>
    <x v="10"/>
    <n v="60610"/>
    <x v="2"/>
    <s v="OFF-PA-10003349"/>
    <s v="Office Supplies"/>
    <s v="Paper"/>
    <s v="Xerox 1957"/>
    <n v="25.92"/>
    <m/>
    <s v="Office Supplies"/>
    <s v="OS"/>
  </r>
  <r>
    <n v="246"/>
    <x v="103"/>
    <x v="96"/>
    <s v="06/06/2015"/>
    <s v="Second Class"/>
    <s v="DW-13480"/>
    <x v="103"/>
    <x v="2"/>
    <x v="0"/>
    <s v="Lakeville"/>
    <x v="11"/>
    <n v="55044"/>
    <x v="2"/>
    <s v="OFF-ST-10002276"/>
    <s v="Office Supplies"/>
    <s v="Storage"/>
    <s v="Safco Steel Mobile File Cart"/>
    <n v="166.72"/>
    <m/>
    <s v="Office Supplies"/>
    <s v="OS"/>
  </r>
  <r>
    <n v="250"/>
    <x v="104"/>
    <x v="97"/>
    <s v="15/12/2017"/>
    <s v="Second Class"/>
    <s v="LH-17155"/>
    <x v="104"/>
    <x v="0"/>
    <x v="0"/>
    <s v="San Francisco"/>
    <x v="1"/>
    <n v="94109"/>
    <x v="1"/>
    <s v="FUR-CH-10002965"/>
    <s v="Furniture"/>
    <s v="Chairs"/>
    <s v="Global Leather Highback Executive Chair with Pneumatic Height Adjustment, Black"/>
    <n v="321.56799999999998"/>
    <m/>
    <s v="Cardbaord"/>
    <s v="cardbaord"/>
  </r>
  <r>
    <n v="251"/>
    <x v="105"/>
    <x v="98"/>
    <s v="17/09/2017"/>
    <s v="Standard Class"/>
    <s v="KC-16540"/>
    <x v="105"/>
    <x v="0"/>
    <x v="0"/>
    <s v="San Diego"/>
    <x v="1"/>
    <n v="92037"/>
    <x v="1"/>
    <s v="OFF-PA-10004569"/>
    <s v="Office Supplies"/>
    <s v="Paper"/>
    <s v="Wirebound Message Books, Two 4 1/4&quot; x 5&quot; Forms per Page"/>
    <n v="7.61"/>
    <m/>
    <s v="Office Supplies"/>
    <s v="OS"/>
  </r>
  <r>
    <n v="253"/>
    <x v="106"/>
    <x v="97"/>
    <s v="13/12/2017"/>
    <s v="First Class"/>
    <s v="DL-13315"/>
    <x v="106"/>
    <x v="0"/>
    <x v="0"/>
    <s v="New York City"/>
    <x v="15"/>
    <n v="10024"/>
    <x v="3"/>
    <s v="OFF-ST-10001228"/>
    <s v="Office Supplies"/>
    <s v="Storage"/>
    <s v="Fellowes Personal Hanging Folder Files, Navy"/>
    <n v="80.58"/>
    <m/>
    <s v="Office Supplies"/>
    <s v="OS"/>
  </r>
  <r>
    <n v="256"/>
    <x v="107"/>
    <x v="99"/>
    <s v="04/12/2016"/>
    <s v="Standard Class"/>
    <s v="DR-12880"/>
    <x v="107"/>
    <x v="1"/>
    <x v="0"/>
    <s v="Chicago"/>
    <x v="10"/>
    <n v="60623"/>
    <x v="2"/>
    <s v="OFF-ST-10004804"/>
    <s v="Office Supplies"/>
    <s v="Storage"/>
    <s v="Belkin 19&quot; Vented Equipment Shelf, Black"/>
    <n v="82.367999999999995"/>
    <m/>
    <s v="Office Supplies"/>
    <s v="OS"/>
  </r>
  <r>
    <n v="259"/>
    <x v="108"/>
    <x v="87"/>
    <s v="03/12/2018"/>
    <s v="Second Class"/>
    <s v="CC-12670"/>
    <x v="108"/>
    <x v="0"/>
    <x v="0"/>
    <s v="New York City"/>
    <x v="15"/>
    <n v="10009"/>
    <x v="3"/>
    <s v="TEC-AC-10000290"/>
    <s v="Technology"/>
    <s v="Accessories"/>
    <s v="Sabrent 4-Port USB 2.0 Hub"/>
    <n v="20.37"/>
    <m/>
    <s v="Technology"/>
    <s v="Technology"/>
  </r>
  <r>
    <n v="262"/>
    <x v="109"/>
    <x v="100"/>
    <s v="12/06/2018"/>
    <s v="Standard Class"/>
    <s v="Dl-13600"/>
    <x v="109"/>
    <x v="1"/>
    <x v="0"/>
    <s v="Pasadena"/>
    <x v="5"/>
    <n v="77506"/>
    <x v="2"/>
    <s v="OFF-AP-10002203"/>
    <s v="Office Supplies"/>
    <s v="Appliances"/>
    <s v="Eureka Disposable Bags for Sanitaire Vibra Groomer I Upright Vac"/>
    <n v="1.6240000000000001"/>
    <m/>
    <s v="Office Supplies"/>
    <s v="OS"/>
  </r>
  <r>
    <n v="264"/>
    <x v="110"/>
    <x v="101"/>
    <s v="21/09/2015"/>
    <s v="Second Class"/>
    <s v="SB-20290"/>
    <x v="110"/>
    <x v="1"/>
    <x v="0"/>
    <s v="Houston"/>
    <x v="5"/>
    <n v="77036"/>
    <x v="2"/>
    <s v="TEC-MA-10003353"/>
    <s v="Technology"/>
    <s v="Machines"/>
    <s v="Xerox WorkCentre 6505DN Laser Multifunction Printer"/>
    <n v="2519.9580000000001"/>
    <m/>
    <s v="Technology"/>
    <s v="Technology"/>
  </r>
  <r>
    <n v="265"/>
    <x v="111"/>
    <x v="102"/>
    <s v="13/06/2017"/>
    <s v="Standard Class"/>
    <s v="RC-19825"/>
    <x v="111"/>
    <x v="0"/>
    <x v="0"/>
    <s v="Chicago"/>
    <x v="10"/>
    <n v="60610"/>
    <x v="2"/>
    <s v="TEC-PH-10001433"/>
    <s v="Technology"/>
    <s v="Phones"/>
    <s v="Cisco Small Business SPA 502G VoIP phone"/>
    <n v="328.22399999999999"/>
    <m/>
    <s v="Technology"/>
    <s v="Technology"/>
  </r>
  <r>
    <n v="266"/>
    <x v="112"/>
    <x v="103"/>
    <s v="15/11/2016"/>
    <s v="Standard Class"/>
    <s v="AH-10210"/>
    <x v="112"/>
    <x v="0"/>
    <x v="0"/>
    <s v="Brentwood"/>
    <x v="1"/>
    <n v="94513"/>
    <x v="1"/>
    <s v="TEC-AC-10004469"/>
    <s v="Technology"/>
    <s v="Accessories"/>
    <s v="Microsoft Sculpt Comfort Mouse"/>
    <n v="79.900000000000006"/>
    <m/>
    <s v="Technology"/>
    <s v="Technology"/>
  </r>
  <r>
    <n v="267"/>
    <x v="113"/>
    <x v="104"/>
    <s v="20/06/2018"/>
    <s v="Standard Class"/>
    <s v="CB-12535"/>
    <x v="113"/>
    <x v="1"/>
    <x v="0"/>
    <s v="Chapel Hill"/>
    <x v="3"/>
    <n v="27514"/>
    <x v="0"/>
    <s v="OFF-AR-10003602"/>
    <s v="Office Supplies"/>
    <s v="Art"/>
    <s v="Quartet Omega Colored Chalk, 12/Pack"/>
    <n v="14.016"/>
    <m/>
    <s v="Office Supplies"/>
    <s v="OS"/>
  </r>
  <r>
    <n v="269"/>
    <x v="114"/>
    <x v="32"/>
    <s v="13/12/2018"/>
    <s v="Standard Class"/>
    <s v="CA-12310"/>
    <x v="114"/>
    <x v="1"/>
    <x v="0"/>
    <s v="Cincinnati"/>
    <x v="23"/>
    <n v="45231"/>
    <x v="3"/>
    <s v="OFF-ST-10004180"/>
    <s v="Office Supplies"/>
    <s v="Storage"/>
    <s v="Safco Commercial Shelving"/>
    <n v="37.207999999999998"/>
    <m/>
    <s v="Office Supplies"/>
    <s v="OS"/>
  </r>
  <r>
    <n v="271"/>
    <x v="115"/>
    <x v="105"/>
    <s v="02/01/2019"/>
    <s v="Second Class"/>
    <s v="KH-16690"/>
    <x v="115"/>
    <x v="1"/>
    <x v="0"/>
    <s v="San Francisco"/>
    <x v="1"/>
    <n v="94110"/>
    <x v="1"/>
    <s v="OFF-ST-10003208"/>
    <s v="Office Supplies"/>
    <s v="Storage"/>
    <s v="Adjustable Depth Letter/Legal Cart"/>
    <n v="725.84"/>
    <m/>
    <s v="Office Supplies"/>
    <s v="OS"/>
  </r>
  <r>
    <n v="272"/>
    <x v="116"/>
    <x v="106"/>
    <s v="31/07/2016"/>
    <s v="First Class"/>
    <s v="HA-14920"/>
    <x v="116"/>
    <x v="0"/>
    <x v="0"/>
    <s v="San Francisco"/>
    <x v="1"/>
    <n v="94109"/>
    <x v="1"/>
    <s v="TEC-AC-10003628"/>
    <s v="Technology"/>
    <s v="Accessories"/>
    <s v="Logitech 910-002974 M325 Wireless Mouse for Web Scrolling"/>
    <n v="209.93"/>
    <m/>
    <s v="Technology"/>
    <s v="Technology"/>
  </r>
  <r>
    <n v="275"/>
    <x v="117"/>
    <x v="107"/>
    <s v="17/09/2018"/>
    <s v="First Class"/>
    <s v="BB-10990"/>
    <x v="117"/>
    <x v="1"/>
    <x v="0"/>
    <s v="Inglewood"/>
    <x v="1"/>
    <n v="90301"/>
    <x v="1"/>
    <s v="OFF-PA-10002615"/>
    <s v="Office Supplies"/>
    <s v="Paper"/>
    <s v="Ampad Gold Fibre Wirebound Steno Books, 6&quot; x 9&quot;, Gregg Ruled"/>
    <n v="8.82"/>
    <m/>
    <s v="Office Supplies"/>
    <s v="OS"/>
  </r>
  <r>
    <n v="277"/>
    <x v="118"/>
    <x v="108"/>
    <s v="17/10/2018"/>
    <s v="Standard Class"/>
    <s v="AG-10495"/>
    <x v="118"/>
    <x v="1"/>
    <x v="0"/>
    <s v="Philadelphia"/>
    <x v="9"/>
    <n v="19140"/>
    <x v="3"/>
    <s v="OFF-PA-10000673"/>
    <s v="Office Supplies"/>
    <s v="Paper"/>
    <s v="Post-it “Important Message” Note Pad, Neon Colors, 50 Sheets/Pad"/>
    <n v="11.648"/>
    <m/>
    <s v="Office Supplies"/>
    <s v="OS"/>
  </r>
  <r>
    <n v="283"/>
    <x v="119"/>
    <x v="109"/>
    <s v="06/11/2016"/>
    <s v="Standard Class"/>
    <s v="JO-15280"/>
    <x v="119"/>
    <x v="0"/>
    <x v="0"/>
    <s v="Los Angeles"/>
    <x v="1"/>
    <n v="90004"/>
    <x v="1"/>
    <s v="FUR-TA-10002903"/>
    <s v="Furniture"/>
    <s v="Tables"/>
    <s v="Bevis Round Bullnose 29&quot; High Table Top"/>
    <n v="1038.8399999999999"/>
    <m/>
    <s v="Cardbaord"/>
    <s v="cardbaord"/>
  </r>
  <r>
    <n v="287"/>
    <x v="120"/>
    <x v="110"/>
    <s v="20/12/2017"/>
    <s v="Second Class"/>
    <s v="AH-10195"/>
    <x v="120"/>
    <x v="1"/>
    <x v="0"/>
    <s v="Tamarac"/>
    <x v="2"/>
    <n v="33319"/>
    <x v="0"/>
    <s v="OFF-BI-10000778"/>
    <s v="Office Supplies"/>
    <s v="Binders"/>
    <s v="GBC VeloBinder Electric Binding Machine"/>
    <n v="254.05799999999999"/>
    <m/>
    <s v="Office Supplies"/>
    <s v="OS"/>
  </r>
  <r>
    <n v="290"/>
    <x v="121"/>
    <x v="66"/>
    <s v="24/11/2017"/>
    <s v="Second Class"/>
    <s v="NZ-18565"/>
    <x v="121"/>
    <x v="2"/>
    <x v="0"/>
    <s v="Columbus"/>
    <x v="23"/>
    <n v="43229"/>
    <x v="3"/>
    <s v="OFF-FA-10002983"/>
    <s v="Office Supplies"/>
    <s v="Fasteners"/>
    <s v="Advantus SlideClip Paper Clips"/>
    <n v="19.096"/>
    <m/>
    <s v="Office Supplies"/>
    <s v="OS"/>
  </r>
  <r>
    <n v="294"/>
    <x v="122"/>
    <x v="54"/>
    <s v="28/12/2015"/>
    <s v="First Class"/>
    <s v="KL-16555"/>
    <x v="122"/>
    <x v="1"/>
    <x v="0"/>
    <s v="Colorado Springs"/>
    <x v="21"/>
    <n v="80906"/>
    <x v="1"/>
    <s v="FUR-FU-10004091"/>
    <s v="Furniture"/>
    <s v="Furnishings"/>
    <s v="Howard Miller 13&quot; Diameter Goldtone Round Wall Clock"/>
    <n v="300.416"/>
    <m/>
    <s v="Cardbaord"/>
    <s v="cardbaord"/>
  </r>
  <r>
    <n v="299"/>
    <x v="123"/>
    <x v="90"/>
    <s v="03/11/2017"/>
    <s v="Standard Class"/>
    <s v="JD-15895"/>
    <x v="123"/>
    <x v="1"/>
    <x v="0"/>
    <s v="Belleville"/>
    <x v="29"/>
    <n v="7109"/>
    <x v="3"/>
    <s v="OFF-PA-10002105"/>
    <s v="Office Supplies"/>
    <s v="Paper"/>
    <s v="Xerox 223"/>
    <n v="32.4"/>
    <m/>
    <s v="Office Supplies"/>
    <s v="OS"/>
  </r>
  <r>
    <n v="305"/>
    <x v="124"/>
    <x v="111"/>
    <s v="09/05/2016"/>
    <s v="Second Class"/>
    <s v="AS-10225"/>
    <x v="124"/>
    <x v="1"/>
    <x v="0"/>
    <s v="New York City"/>
    <x v="15"/>
    <n v="10024"/>
    <x v="3"/>
    <s v="FUR-FU-10002671"/>
    <s v="Furniture"/>
    <s v="Furnishings"/>
    <s v="Electrix 20W Halogen Replacement Bulb for Zoom-In Desk Lamp"/>
    <n v="26.8"/>
    <m/>
    <s v="Cardbaord"/>
    <s v="cardbaord"/>
  </r>
  <r>
    <n v="307"/>
    <x v="125"/>
    <x v="96"/>
    <s v="06/06/2015"/>
    <s v="Standard Class"/>
    <s v="CR-12625"/>
    <x v="125"/>
    <x v="2"/>
    <x v="0"/>
    <s v="Lakewood"/>
    <x v="29"/>
    <n v="8701"/>
    <x v="3"/>
    <s v="OFF-BI-10001072"/>
    <s v="Office Supplies"/>
    <s v="Binders"/>
    <s v="GBC Clear Cover, 8-1/2 x 11, unpunched, 25 covers per pack"/>
    <n v="45.48"/>
    <m/>
    <s v="Office Supplies"/>
    <s v="OS"/>
  </r>
  <r>
    <n v="309"/>
    <x v="126"/>
    <x v="4"/>
    <s v="17/04/2018"/>
    <s v="First Class"/>
    <s v="SH-20395"/>
    <x v="126"/>
    <x v="0"/>
    <x v="0"/>
    <s v="Arlington"/>
    <x v="17"/>
    <n v="22204"/>
    <x v="0"/>
    <s v="OFF-AR-10002804"/>
    <s v="Office Supplies"/>
    <s v="Art"/>
    <s v="Faber Castell Col-Erase Pencils"/>
    <n v="4.8899999999999997"/>
    <m/>
    <s v="Office Supplies"/>
    <s v="OS"/>
  </r>
  <r>
    <n v="310"/>
    <x v="127"/>
    <x v="112"/>
    <s v="14/09/2017"/>
    <s v="Second Class"/>
    <s v="BP-11185"/>
    <x v="127"/>
    <x v="1"/>
    <x v="0"/>
    <s v="Arvada"/>
    <x v="21"/>
    <n v="80004"/>
    <x v="1"/>
    <s v="FUR-FU-10001918"/>
    <s v="Furniture"/>
    <s v="Furnishings"/>
    <s v="C-Line Cubicle Keepers Polyproplyene Holder With Velcro Backings"/>
    <n v="15.135999999999999"/>
    <m/>
    <s v="Cardbaord"/>
    <s v="cardbaord"/>
  </r>
  <r>
    <n v="314"/>
    <x v="128"/>
    <x v="113"/>
    <s v="03/10/2015"/>
    <s v="Standard Class"/>
    <s v="TS-21205"/>
    <x v="128"/>
    <x v="1"/>
    <x v="0"/>
    <s v="Hackensack"/>
    <x v="29"/>
    <n v="7601"/>
    <x v="3"/>
    <s v="FUR-FU-10001588"/>
    <s v="Furniture"/>
    <s v="Furnishings"/>
    <s v="Deflect-o SuperTray Unbreakable Stackable Tray, Letter, Black"/>
    <n v="87.54"/>
    <m/>
    <s v="Cardbaord"/>
    <s v="cardbaord"/>
  </r>
  <r>
    <n v="315"/>
    <x v="129"/>
    <x v="114"/>
    <s v="16/08/2015"/>
    <s v="Standard Class"/>
    <s v="AG-10525"/>
    <x v="129"/>
    <x v="1"/>
    <x v="0"/>
    <s v="Saint Petersburg"/>
    <x v="2"/>
    <n v="33710"/>
    <x v="0"/>
    <s v="TEC-PH-10002398"/>
    <s v="Technology"/>
    <s v="Phones"/>
    <s v="AT&amp;T 1070 Corded Phone"/>
    <n v="178.38399999999999"/>
    <m/>
    <s v="Technology"/>
    <s v="Technology"/>
  </r>
  <r>
    <n v="317"/>
    <x v="130"/>
    <x v="115"/>
    <s v="30/12/2015"/>
    <s v="First Class"/>
    <s v="SP-20860"/>
    <x v="130"/>
    <x v="1"/>
    <x v="0"/>
    <s v="Philadelphia"/>
    <x v="9"/>
    <n v="19143"/>
    <x v="3"/>
    <s v="OFF-AR-10003373"/>
    <s v="Office Supplies"/>
    <s v="Art"/>
    <s v="Boston School Pro Electric Pencil Sharpener, 1670"/>
    <n v="99.135999999999996"/>
    <m/>
    <s v="Office Supplies"/>
    <s v="OS"/>
  </r>
  <r>
    <n v="318"/>
    <x v="131"/>
    <x v="116"/>
    <s v="09/11/2015"/>
    <s v="Standard Class"/>
    <s v="NM-18445"/>
    <x v="131"/>
    <x v="2"/>
    <x v="0"/>
    <s v="New York City"/>
    <x v="15"/>
    <n v="10024"/>
    <x v="3"/>
    <s v="FUR-CH-10002602"/>
    <s v="Furniture"/>
    <s v="Chairs"/>
    <s v="DMI Arturo Collection Mission-style Design Wood Chair"/>
    <n v="135.88200000000001"/>
    <m/>
    <s v="Cardbaord"/>
    <s v="cardbaord"/>
  </r>
  <r>
    <n v="323"/>
    <x v="132"/>
    <x v="101"/>
    <s v="24/09/2015"/>
    <s v="Standard Class"/>
    <s v="FA-14230"/>
    <x v="132"/>
    <x v="1"/>
    <x v="0"/>
    <s v="Long Beach"/>
    <x v="1"/>
    <n v="90805"/>
    <x v="1"/>
    <s v="OFF-FA-10000624"/>
    <s v="Office Supplies"/>
    <s v="Fasteners"/>
    <s v="OIC Binder Clips"/>
    <n v="7.16"/>
    <m/>
    <s v="Office Supplies"/>
    <s v="OS"/>
  </r>
  <r>
    <n v="325"/>
    <x v="133"/>
    <x v="117"/>
    <s v="27/04/2017"/>
    <s v="Standard Class"/>
    <s v="GK-14620"/>
    <x v="133"/>
    <x v="1"/>
    <x v="0"/>
    <s v="Hesperia"/>
    <x v="1"/>
    <n v="92345"/>
    <x v="1"/>
    <s v="TEC-AC-10001908"/>
    <s v="Technology"/>
    <s v="Accessories"/>
    <s v="Logitech Wireless Headset h800"/>
    <n v="99.99"/>
    <m/>
    <s v="Technology"/>
    <s v="Technology"/>
  </r>
  <r>
    <n v="326"/>
    <x v="134"/>
    <x v="118"/>
    <s v="05/11/2018"/>
    <s v="Second Class"/>
    <s v="DJ-13510"/>
    <x v="134"/>
    <x v="1"/>
    <x v="0"/>
    <s v="Murfreesboro"/>
    <x v="18"/>
    <n v="37130"/>
    <x v="0"/>
    <s v="FUR-FU-10001967"/>
    <s v="Furniture"/>
    <s v="Furnishings"/>
    <s v="Telescoping Adjustable Floor Lamp"/>
    <n v="15.992000000000001"/>
    <m/>
    <s v="Cardbaord"/>
    <s v="cardbaord"/>
  </r>
  <r>
    <n v="327"/>
    <x v="135"/>
    <x v="119"/>
    <s v="01/09/2017"/>
    <s v="First Class"/>
    <s v="PO-18850"/>
    <x v="135"/>
    <x v="0"/>
    <x v="0"/>
    <s v="Philadelphia"/>
    <x v="9"/>
    <n v="19143"/>
    <x v="3"/>
    <s v="TEC-PH-10003645"/>
    <s v="Technology"/>
    <s v="Phones"/>
    <s v="Aastra 57i VoIP phone"/>
    <n v="290.89800000000002"/>
    <m/>
    <s v="Technology"/>
    <s v="Technology"/>
  </r>
  <r>
    <n v="332"/>
    <x v="136"/>
    <x v="120"/>
    <s v="29/04/2017"/>
    <s v="Second Class"/>
    <s v="JL-15850"/>
    <x v="136"/>
    <x v="0"/>
    <x v="0"/>
    <s v="Philadelphia"/>
    <x v="9"/>
    <n v="19134"/>
    <x v="3"/>
    <s v="TEC-PH-10004614"/>
    <s v="Technology"/>
    <s v="Phones"/>
    <s v="AT&amp;T 841000 Phone"/>
    <n v="82.8"/>
    <m/>
    <s v="Technology"/>
    <s v="Technology"/>
  </r>
  <r>
    <n v="335"/>
    <x v="137"/>
    <x v="121"/>
    <s v="04/09/2016"/>
    <s v="Second Class"/>
    <s v="DB-13615"/>
    <x v="137"/>
    <x v="0"/>
    <x v="0"/>
    <s v="Los Angeles"/>
    <x v="1"/>
    <n v="90045"/>
    <x v="1"/>
    <s v="OFF-BI-10001922"/>
    <s v="Office Supplies"/>
    <s v="Binders"/>
    <s v="Storex Dura Pro Binders"/>
    <n v="4.7519999999999998"/>
    <m/>
    <s v="Office Supplies"/>
    <s v="OS"/>
  </r>
  <r>
    <n v="338"/>
    <x v="138"/>
    <x v="122"/>
    <s v="17/07/2015"/>
    <s v="Standard Class"/>
    <s v="AC-10420"/>
    <x v="138"/>
    <x v="1"/>
    <x v="0"/>
    <s v="San Francisco"/>
    <x v="1"/>
    <n v="94122"/>
    <x v="1"/>
    <s v="OFF-BI-10003314"/>
    <s v="Office Supplies"/>
    <s v="Binders"/>
    <s v="Tuff Stuff Recycled Round Ring Binders"/>
    <n v="7.7119999999999997"/>
    <m/>
    <s v="Office Supplies"/>
    <s v="OS"/>
  </r>
  <r>
    <n v="349"/>
    <x v="139"/>
    <x v="123"/>
    <s v="12/07/2018"/>
    <s v="Standard Class"/>
    <s v="TD-20995"/>
    <x v="139"/>
    <x v="0"/>
    <x v="0"/>
    <s v="Lowell"/>
    <x v="30"/>
    <n v="1852"/>
    <x v="3"/>
    <s v="OFF-AR-10001374"/>
    <s v="Office Supplies"/>
    <s v="Art"/>
    <s v="BIC Brite Liner Highlighters, Chisel Tip"/>
    <n v="12.96"/>
    <m/>
    <s v="Office Supplies"/>
    <s v="OS"/>
  </r>
  <r>
    <n v="351"/>
    <x v="140"/>
    <x v="124"/>
    <s v="03/09/2017"/>
    <s v="First Class"/>
    <s v="AB-10060"/>
    <x v="140"/>
    <x v="2"/>
    <x v="0"/>
    <s v="New York City"/>
    <x v="15"/>
    <n v="10009"/>
    <x v="3"/>
    <s v="OFF-PA-10001970"/>
    <s v="Office Supplies"/>
    <s v="Paper"/>
    <s v="Xerox 1881"/>
    <n v="24.56"/>
    <m/>
    <s v="Office Supplies"/>
    <s v="OS"/>
  </r>
  <r>
    <n v="355"/>
    <x v="141"/>
    <x v="125"/>
    <s v="13/04/2017"/>
    <s v="Standard Class"/>
    <s v="JL-15505"/>
    <x v="141"/>
    <x v="0"/>
    <x v="0"/>
    <s v="New York City"/>
    <x v="15"/>
    <n v="10035"/>
    <x v="3"/>
    <s v="FUR-BO-10002268"/>
    <s v="Furniture"/>
    <s v="Bookcases"/>
    <s v="Sauder Barrister Bookcases"/>
    <n v="388.70400000000001"/>
    <m/>
    <s v="Cardbaord"/>
    <s v="cardbaord"/>
  </r>
  <r>
    <n v="360"/>
    <x v="142"/>
    <x v="126"/>
    <s v="11/03/2018"/>
    <s v="First Class"/>
    <s v="VB-21745"/>
    <x v="142"/>
    <x v="1"/>
    <x v="0"/>
    <s v="Columbus"/>
    <x v="31"/>
    <n v="31907"/>
    <x v="0"/>
    <s v="OFF-AP-10001124"/>
    <s v="Office Supplies"/>
    <s v="Appliances"/>
    <s v="Belkin 8 Outlet SurgeMaster II Gold Surge Protector with Phone Protection"/>
    <n v="647.84"/>
    <m/>
    <s v="Office Supplies"/>
    <s v="OS"/>
  </r>
  <r>
    <n v="363"/>
    <x v="143"/>
    <x v="127"/>
    <s v="01/10/2018"/>
    <s v="Standard Class"/>
    <s v="KW-16435"/>
    <x v="143"/>
    <x v="0"/>
    <x v="0"/>
    <s v="New York City"/>
    <x v="15"/>
    <n v="10009"/>
    <x v="3"/>
    <s v="FUR-CH-10000785"/>
    <s v="Furniture"/>
    <s v="Chairs"/>
    <s v="Global Ergonomic Managers Chair"/>
    <n v="488.64600000000002"/>
    <m/>
    <s v="Cardbaord"/>
    <s v="cardbaord"/>
  </r>
  <r>
    <n v="367"/>
    <x v="144"/>
    <x v="128"/>
    <s v="21/10/2017"/>
    <s v="Same Day"/>
    <s v="MK-17905"/>
    <x v="144"/>
    <x v="1"/>
    <x v="0"/>
    <s v="Manchester"/>
    <x v="28"/>
    <n v="6040"/>
    <x v="3"/>
    <s v="OFF-BI-10002412"/>
    <s v="Office Supplies"/>
    <s v="Binders"/>
    <s v="Wilson Jones “Snap” Scratch Pad Binder Tool for Ring Binders"/>
    <n v="23.2"/>
    <m/>
    <s v="Office Supplies"/>
    <s v="OS"/>
  </r>
  <r>
    <n v="371"/>
    <x v="145"/>
    <x v="129"/>
    <s v="04/06/2018"/>
    <s v="Standard Class"/>
    <s v="GT-14755"/>
    <x v="145"/>
    <x v="0"/>
    <x v="0"/>
    <s v="Harlingen"/>
    <x v="5"/>
    <n v="78550"/>
    <x v="2"/>
    <s v="OFF-PA-10002036"/>
    <s v="Office Supplies"/>
    <s v="Paper"/>
    <s v="Xerox 1930"/>
    <n v="25.92"/>
    <m/>
    <s v="Office Supplies"/>
    <s v="OS"/>
  </r>
  <r>
    <n v="374"/>
    <x v="146"/>
    <x v="130"/>
    <s v="27/07/2015"/>
    <s v="Standard Class"/>
    <s v="AG-10900"/>
    <x v="146"/>
    <x v="0"/>
    <x v="0"/>
    <s v="Tucson"/>
    <x v="16"/>
    <n v="85705"/>
    <x v="1"/>
    <s v="TEC-AC-10003911"/>
    <s v="Technology"/>
    <s v="Accessories"/>
    <s v="NETGEAR AC1750 Dual Band Gigabit Smart WiFi Router"/>
    <n v="1023.936"/>
    <m/>
    <s v="Technology"/>
    <s v="Technology"/>
  </r>
  <r>
    <n v="377"/>
    <x v="147"/>
    <x v="131"/>
    <s v="01/10/2017"/>
    <s v="First Class"/>
    <s v="MM-18280"/>
    <x v="147"/>
    <x v="1"/>
    <x v="0"/>
    <s v="Quincy"/>
    <x v="10"/>
    <n v="62301"/>
    <x v="2"/>
    <s v="OFF-PA-10003039"/>
    <s v="Office Supplies"/>
    <s v="Paper"/>
    <s v="Xerox 1960"/>
    <n v="99.135999999999996"/>
    <m/>
    <s v="Office Supplies"/>
    <s v="OS"/>
  </r>
  <r>
    <n v="378"/>
    <x v="148"/>
    <x v="132"/>
    <s v="01/09/2018"/>
    <s v="Standard Class"/>
    <s v="AR-10405"/>
    <x v="148"/>
    <x v="1"/>
    <x v="0"/>
    <s v="Franklin"/>
    <x v="30"/>
    <n v="2038"/>
    <x v="3"/>
    <s v="FUR-TA-10004915"/>
    <s v="Furniture"/>
    <s v="Tables"/>
    <s v="Office Impressions End Table, 20-1/2&quot;H x 24&quot;W x 20&quot;D"/>
    <n v="1488.424"/>
    <m/>
    <s v="Cardbaord"/>
    <s v="cardbaord"/>
  </r>
  <r>
    <n v="379"/>
    <x v="149"/>
    <x v="133"/>
    <s v="05/05/2016"/>
    <s v="Standard Class"/>
    <s v="RA-19915"/>
    <x v="149"/>
    <x v="0"/>
    <x v="0"/>
    <s v="Houston"/>
    <x v="5"/>
    <n v="77095"/>
    <x v="2"/>
    <s v="OFF-AP-10000696"/>
    <s v="Office Supplies"/>
    <s v="Appliances"/>
    <s v="Holmes Odor Grabber"/>
    <n v="8.6519999999999992"/>
    <m/>
    <s v="Office Supplies"/>
    <s v="OS"/>
  </r>
  <r>
    <n v="382"/>
    <x v="150"/>
    <x v="90"/>
    <s v="29/10/2017"/>
    <s v="First Class"/>
    <s v="AS-10285"/>
    <x v="150"/>
    <x v="1"/>
    <x v="0"/>
    <s v="San Francisco"/>
    <x v="1"/>
    <n v="94109"/>
    <x v="1"/>
    <s v="OFF-PA-10004734"/>
    <s v="Office Supplies"/>
    <s v="Paper"/>
    <s v="Southworth Structures Collection"/>
    <n v="50.96"/>
    <m/>
    <s v="Office Supplies"/>
    <s v="OS"/>
  </r>
  <r>
    <n v="384"/>
    <x v="151"/>
    <x v="134"/>
    <s v="29/06/2016"/>
    <s v="Second Class"/>
    <s v="LA-16780"/>
    <x v="151"/>
    <x v="1"/>
    <x v="0"/>
    <s v="Taylor"/>
    <x v="12"/>
    <n v="48180"/>
    <x v="2"/>
    <s v="TEC-AC-10004708"/>
    <s v="Technology"/>
    <s v="Accessories"/>
    <s v="Sony 32GB Class 10 Micro SDHC R40 Memory Card"/>
    <n v="41.9"/>
    <m/>
    <s v="Technology"/>
    <s v="Technology"/>
  </r>
  <r>
    <n v="385"/>
    <x v="152"/>
    <x v="135"/>
    <s v="02/12/2016"/>
    <s v="Standard Class"/>
    <s v="DO-13435"/>
    <x v="152"/>
    <x v="0"/>
    <x v="0"/>
    <s v="Pembroke Pines"/>
    <x v="2"/>
    <n v="33024"/>
    <x v="0"/>
    <s v="FUR-TA-10000617"/>
    <s v="Furniture"/>
    <s v="Tables"/>
    <s v="Hon Practical Foundations 30 x 60 Training Table, Light Gray/Charcoal"/>
    <n v="375.45749999999998"/>
    <m/>
    <s v="Cardbaord"/>
    <s v="cardbaord"/>
  </r>
  <r>
    <n v="387"/>
    <x v="153"/>
    <x v="136"/>
    <s v="07/12/2016"/>
    <s v="Standard Class"/>
    <s v="DK-13225"/>
    <x v="153"/>
    <x v="1"/>
    <x v="0"/>
    <s v="Philadelphia"/>
    <x v="9"/>
    <n v="19140"/>
    <x v="3"/>
    <s v="TEC-MA-10001681"/>
    <s v="Technology"/>
    <s v="Machines"/>
    <s v="Lexmark MarkNet N8150 Wireless Print Server"/>
    <n v="482.34"/>
    <m/>
    <s v="Technology"/>
    <s v="Technology"/>
  </r>
  <r>
    <n v="389"/>
    <x v="154"/>
    <x v="137"/>
    <s v="26/11/2015"/>
    <s v="First Class"/>
    <s v="NG-18430"/>
    <x v="154"/>
    <x v="0"/>
    <x v="0"/>
    <s v="Cincinnati"/>
    <x v="23"/>
    <n v="45231"/>
    <x v="3"/>
    <s v="OFF-AR-10004757"/>
    <s v="Office Supplies"/>
    <s v="Art"/>
    <s v="Crayola Colored Pencils"/>
    <n v="2.6240000000000001"/>
    <m/>
    <s v="Office Supplies"/>
    <s v="OS"/>
  </r>
  <r>
    <n v="390"/>
    <x v="155"/>
    <x v="138"/>
    <s v="15/12/2018"/>
    <s v="Standard Class"/>
    <s v="MV-18190"/>
    <x v="155"/>
    <x v="0"/>
    <x v="0"/>
    <s v="New York City"/>
    <x v="15"/>
    <n v="10009"/>
    <x v="3"/>
    <s v="OFF-BI-10000050"/>
    <s v="Office Supplies"/>
    <s v="Binders"/>
    <s v="Angle-D Binders with Locking Rings, Label Holders"/>
    <n v="23.36"/>
    <m/>
    <s v="Office Supplies"/>
    <s v="OS"/>
  </r>
  <r>
    <n v="392"/>
    <x v="156"/>
    <x v="139"/>
    <s v="23/09/2015"/>
    <s v="Second Class"/>
    <s v="JG-15115"/>
    <x v="156"/>
    <x v="0"/>
    <x v="0"/>
    <s v="Des Moines"/>
    <x v="4"/>
    <n v="98198"/>
    <x v="1"/>
    <s v="TEC-PH-10003012"/>
    <s v="Technology"/>
    <s v="Phones"/>
    <s v="Nortel Meridian M3904 Professional Digital phone"/>
    <n v="246.38399999999999"/>
    <m/>
    <s v="Technology"/>
    <s v="Technology"/>
  </r>
  <r>
    <n v="394"/>
    <x v="157"/>
    <x v="140"/>
    <s v="10/06/2015"/>
    <s v="Second Class"/>
    <s v="BP-11095"/>
    <x v="157"/>
    <x v="1"/>
    <x v="0"/>
    <s v="Peoria"/>
    <x v="10"/>
    <n v="61604"/>
    <x v="2"/>
    <s v="OFF-BI-10003982"/>
    <s v="Office Supplies"/>
    <s v="Binders"/>
    <s v="Wilson Jones Century Plastic Molded Ring Binders"/>
    <n v="12.462"/>
    <m/>
    <s v="Office Supplies"/>
    <s v="OS"/>
  </r>
  <r>
    <n v="395"/>
    <x v="158"/>
    <x v="141"/>
    <s v="05/07/2018"/>
    <s v="Standard Class"/>
    <s v="VP-21730"/>
    <x v="158"/>
    <x v="2"/>
    <x v="0"/>
    <s v="Las Vegas"/>
    <x v="32"/>
    <n v="89115"/>
    <x v="1"/>
    <s v="OFF-BI-10004492"/>
    <s v="Office Supplies"/>
    <s v="Binders"/>
    <s v="Tuf-Vin Binders"/>
    <n v="75.792000000000002"/>
    <m/>
    <s v="Office Supplies"/>
    <s v="OS"/>
  </r>
  <r>
    <n v="396"/>
    <x v="159"/>
    <x v="142"/>
    <s v="19/10/2018"/>
    <s v="Second Class"/>
    <s v="SS-20140"/>
    <x v="159"/>
    <x v="1"/>
    <x v="0"/>
    <s v="Warwick"/>
    <x v="33"/>
    <n v="2886"/>
    <x v="3"/>
    <s v="OFF-ST-10000798"/>
    <s v="Office Supplies"/>
    <s v="Storage"/>
    <s v="2300 Heavy-Duty Transfer File Systems by Perma"/>
    <n v="49.96"/>
    <m/>
    <s v="Office Supplies"/>
    <s v="OS"/>
  </r>
  <r>
    <n v="399"/>
    <x v="160"/>
    <x v="143"/>
    <s v="10/09/2017"/>
    <s v="Second Class"/>
    <s v="AG-10675"/>
    <x v="160"/>
    <x v="0"/>
    <x v="0"/>
    <s v="Houston"/>
    <x v="5"/>
    <n v="77036"/>
    <x v="2"/>
    <s v="OFF-ST-10001580"/>
    <s v="Office Supplies"/>
    <s v="Storage"/>
    <s v="Super Decoflex Portable Personal File"/>
    <n v="35.951999999999998"/>
    <m/>
    <s v="Office Supplies"/>
    <s v="OS"/>
  </r>
  <r>
    <n v="403"/>
    <x v="161"/>
    <x v="144"/>
    <s v="26/12/2015"/>
    <s v="First Class"/>
    <s v="LF-17185"/>
    <x v="161"/>
    <x v="0"/>
    <x v="0"/>
    <s v="Miami"/>
    <x v="2"/>
    <n v="33180"/>
    <x v="0"/>
    <s v="OFF-PA-10001947"/>
    <s v="Office Supplies"/>
    <s v="Paper"/>
    <s v="Xerox 1974"/>
    <n v="9.5679999999999996"/>
    <m/>
    <s v="Office Supplies"/>
    <s v="OS"/>
  </r>
  <r>
    <n v="405"/>
    <x v="162"/>
    <x v="145"/>
    <s v="29/12/2018"/>
    <s v="Standard Class"/>
    <s v="RF-19840"/>
    <x v="162"/>
    <x v="0"/>
    <x v="0"/>
    <s v="New York City"/>
    <x v="15"/>
    <n v="10024"/>
    <x v="3"/>
    <s v="OFF-AP-10004249"/>
    <s v="Office Supplies"/>
    <s v="Appliances"/>
    <s v="Staple holder"/>
    <n v="35.909999999999997"/>
    <m/>
    <s v="Office Supplies"/>
    <s v="OS"/>
  </r>
  <r>
    <n v="407"/>
    <x v="163"/>
    <x v="146"/>
    <s v="12/12/2018"/>
    <s v="Standard Class"/>
    <s v="KH-16510"/>
    <x v="163"/>
    <x v="0"/>
    <x v="0"/>
    <s v="San Francisco"/>
    <x v="1"/>
    <n v="94110"/>
    <x v="1"/>
    <s v="TEC-CO-10004115"/>
    <s v="Technology"/>
    <s v="Copiers"/>
    <s v="Sharp AL-1530CS Digital Copier"/>
    <n v="1199.9760000000001"/>
    <m/>
    <s v="Technology"/>
    <s v="Technology"/>
  </r>
  <r>
    <n v="415"/>
    <x v="164"/>
    <x v="118"/>
    <s v="07/11/2018"/>
    <s v="Standard Class"/>
    <s v="KC-16675"/>
    <x v="164"/>
    <x v="1"/>
    <x v="0"/>
    <s v="Seattle"/>
    <x v="4"/>
    <n v="98105"/>
    <x v="1"/>
    <s v="OFF-PA-10000157"/>
    <s v="Office Supplies"/>
    <s v="Paper"/>
    <s v="Xerox 191"/>
    <n v="139.86000000000001"/>
    <m/>
    <s v="Office Supplies"/>
    <s v="OS"/>
  </r>
  <r>
    <n v="417"/>
    <x v="165"/>
    <x v="83"/>
    <s v="28/06/2018"/>
    <s v="Standard Class"/>
    <s v="CJ-12010"/>
    <x v="165"/>
    <x v="0"/>
    <x v="0"/>
    <s v="Huntington Beach"/>
    <x v="1"/>
    <n v="92646"/>
    <x v="1"/>
    <s v="OFF-AR-10004344"/>
    <s v="Office Supplies"/>
    <s v="Art"/>
    <s v="Bulldog Vacuum Base Pencil Sharpener"/>
    <n v="95.92"/>
    <m/>
    <s v="Office Supplies"/>
    <s v="OS"/>
  </r>
  <r>
    <n v="418"/>
    <x v="166"/>
    <x v="147"/>
    <s v="18/04/2017"/>
    <s v="Standard Class"/>
    <s v="PB-19150"/>
    <x v="166"/>
    <x v="0"/>
    <x v="0"/>
    <s v="Los Angeles"/>
    <x v="1"/>
    <n v="90004"/>
    <x v="1"/>
    <s v="FUR-CH-10004886"/>
    <s v="Furniture"/>
    <s v="Chairs"/>
    <s v="Bevis Steel Folding Chairs"/>
    <n v="383.8"/>
    <m/>
    <s v="Cardbaord"/>
    <s v="cardbaord"/>
  </r>
  <r>
    <n v="423"/>
    <x v="167"/>
    <x v="14"/>
    <s v="23/10/2018"/>
    <s v="Standard Class"/>
    <s v="MP-17965"/>
    <x v="167"/>
    <x v="1"/>
    <x v="0"/>
    <s v="Lawrence"/>
    <x v="30"/>
    <n v="1841"/>
    <x v="3"/>
    <s v="FUR-FU-10004712"/>
    <s v="Furniture"/>
    <s v="Furnishings"/>
    <s v="Westinghouse Mesh Shade Clip-On Gooseneck Lamp, Black"/>
    <n v="56.56"/>
    <m/>
    <s v="Cardbaord"/>
    <s v="cardbaord"/>
  </r>
  <r>
    <n v="425"/>
    <x v="168"/>
    <x v="148"/>
    <s v="23/08/2018"/>
    <s v="Second Class"/>
    <s v="NF-18385"/>
    <x v="168"/>
    <x v="0"/>
    <x v="0"/>
    <s v="Jackson"/>
    <x v="34"/>
    <n v="39212"/>
    <x v="0"/>
    <s v="FUR-CH-10000015"/>
    <s v="Furniture"/>
    <s v="Chairs"/>
    <s v="Hon Multipurpose Stacking Arm Chairs"/>
    <n v="866.4"/>
    <m/>
    <s v="Cardbaord"/>
    <s v="cardbaord"/>
  </r>
  <r>
    <n v="428"/>
    <x v="169"/>
    <x v="149"/>
    <s v="13/09/2015"/>
    <s v="First Class"/>
    <s v="SD-20485"/>
    <x v="169"/>
    <x v="2"/>
    <x v="0"/>
    <s v="New Rochelle"/>
    <x v="15"/>
    <n v="10801"/>
    <x v="3"/>
    <s v="TEC-MA-10000029"/>
    <s v="Technology"/>
    <s v="Machines"/>
    <s v="Epson WorkForce WF-2530 All-in-One Printer, Copier Scanner"/>
    <n v="69.989999999999995"/>
    <m/>
    <s v="Technology"/>
    <s v="Technology"/>
  </r>
  <r>
    <n v="429"/>
    <x v="170"/>
    <x v="150"/>
    <s v="08/10/2018"/>
    <s v="Standard Class"/>
    <s v="KH-16630"/>
    <x v="170"/>
    <x v="1"/>
    <x v="0"/>
    <s v="San Antonio"/>
    <x v="5"/>
    <n v="78207"/>
    <x v="2"/>
    <s v="OFF-AR-10000369"/>
    <s v="Office Supplies"/>
    <s v="Art"/>
    <s v="Design Ebony Sketching Pencil"/>
    <n v="6.6719999999999997"/>
    <m/>
    <s v="Office Supplies"/>
    <s v="OS"/>
  </r>
  <r>
    <n v="430"/>
    <x v="171"/>
    <x v="151"/>
    <s v="21/04/2017"/>
    <s v="Standard Class"/>
    <s v="RB-19795"/>
    <x v="171"/>
    <x v="2"/>
    <x v="0"/>
    <s v="Gastonia"/>
    <x v="3"/>
    <n v="28052"/>
    <x v="0"/>
    <s v="OFF-BI-10004584"/>
    <s v="Office Supplies"/>
    <s v="Binders"/>
    <s v="GBC ProClick 150 Presentation Binding System"/>
    <n v="189.58799999999999"/>
    <m/>
    <s v="Office Supplies"/>
    <s v="OS"/>
  </r>
  <r>
    <n v="434"/>
    <x v="172"/>
    <x v="102"/>
    <s v="07/06/2017"/>
    <s v="First Class"/>
    <s v="DB-13060"/>
    <x v="172"/>
    <x v="0"/>
    <x v="0"/>
    <s v="Lowell"/>
    <x v="30"/>
    <n v="1852"/>
    <x v="3"/>
    <s v="OFF-ST-10003306"/>
    <s v="Office Supplies"/>
    <s v="Storage"/>
    <s v="Letter Size Cart"/>
    <n v="714.3"/>
    <m/>
    <s v="Office Supplies"/>
    <s v="OS"/>
  </r>
  <r>
    <n v="435"/>
    <x v="173"/>
    <x v="152"/>
    <s v="25/12/2015"/>
    <s v="Standard Class"/>
    <s v="MK-18160"/>
    <x v="173"/>
    <x v="0"/>
    <x v="0"/>
    <s v="Jacksonville"/>
    <x v="2"/>
    <n v="32216"/>
    <x v="0"/>
    <s v="OFF-BI-10000773"/>
    <s v="Office Supplies"/>
    <s v="Binders"/>
    <s v="Insertable Tab Post Binder Dividers"/>
    <n v="4.8120000000000003"/>
    <m/>
    <s v="Office Supplies"/>
    <s v="OS"/>
  </r>
  <r>
    <n v="437"/>
    <x v="174"/>
    <x v="1"/>
    <s v="14/06/2017"/>
    <s v="Second Class"/>
    <s v="PO-19180"/>
    <x v="174"/>
    <x v="2"/>
    <x v="0"/>
    <s v="Chicago"/>
    <x v="10"/>
    <n v="60623"/>
    <x v="2"/>
    <s v="TEC-MA-10002937"/>
    <s v="Technology"/>
    <s v="Machines"/>
    <s v="Canon Color ImageCLASS MF8580Cdw Wireless Laser All-In-One Printer, Copier, Scanner"/>
    <n v="1007.979"/>
    <m/>
    <s v="Technology"/>
    <s v="Technology"/>
  </r>
  <r>
    <n v="439"/>
    <x v="175"/>
    <x v="153"/>
    <s v="19/09/2018"/>
    <s v="Standard Class"/>
    <s v="BB-11545"/>
    <x v="175"/>
    <x v="1"/>
    <x v="0"/>
    <s v="Houston"/>
    <x v="5"/>
    <n v="77070"/>
    <x v="2"/>
    <s v="OFF-PA-10002230"/>
    <s v="Office Supplies"/>
    <s v="Paper"/>
    <s v="Xerox 1897"/>
    <n v="31.872"/>
    <m/>
    <s v="Office Supplies"/>
    <s v="OS"/>
  </r>
  <r>
    <n v="447"/>
    <x v="176"/>
    <x v="154"/>
    <s v="25/03/2018"/>
    <s v="Second Class"/>
    <s v="TB-21595"/>
    <x v="176"/>
    <x v="0"/>
    <x v="0"/>
    <s v="Columbus"/>
    <x v="14"/>
    <n v="47201"/>
    <x v="2"/>
    <s v="FUR-FU-10000206"/>
    <s v="Furniture"/>
    <s v="Furnishings"/>
    <s v="GE General Purpose, Extra Long Life, Showcase &amp; Floodlight Incandescent Bulbs"/>
    <n v="2.91"/>
    <m/>
    <s v="Cardbaord"/>
    <s v="cardbaord"/>
  </r>
  <r>
    <n v="448"/>
    <x v="177"/>
    <x v="155"/>
    <s v="03/04/2017"/>
    <s v="Second Class"/>
    <s v="RB-19360"/>
    <x v="177"/>
    <x v="0"/>
    <x v="0"/>
    <s v="Auburn"/>
    <x v="15"/>
    <n v="13021"/>
    <x v="3"/>
    <s v="OFF-AR-10000588"/>
    <s v="Office Supplies"/>
    <s v="Art"/>
    <s v="Newell 345"/>
    <n v="59.52"/>
    <m/>
    <s v="Office Supplies"/>
    <s v="OS"/>
  </r>
  <r>
    <n v="455"/>
    <x v="178"/>
    <x v="156"/>
    <s v="24/10/2018"/>
    <s v="Standard Class"/>
    <s v="EB-13705"/>
    <x v="178"/>
    <x v="1"/>
    <x v="0"/>
    <s v="Akron"/>
    <x v="23"/>
    <n v="44312"/>
    <x v="3"/>
    <s v="OFF-ST-10000142"/>
    <s v="Office Supplies"/>
    <s v="Storage"/>
    <s v="Deluxe Rollaway Locking File with Drawer"/>
    <n v="665.40800000000002"/>
    <m/>
    <s v="Office Supplies"/>
    <s v="OS"/>
  </r>
  <r>
    <n v="457"/>
    <x v="179"/>
    <x v="157"/>
    <s v="18/02/2015"/>
    <s v="Standard Class"/>
    <s v="SC-20095"/>
    <x v="179"/>
    <x v="0"/>
    <x v="0"/>
    <s v="Concord"/>
    <x v="1"/>
    <n v="94521"/>
    <x v="1"/>
    <s v="FUR-CH-10000225"/>
    <s v="Furniture"/>
    <s v="Chairs"/>
    <s v="Global Geo Office Task Chair, Gray"/>
    <n v="129.56800000000001"/>
    <m/>
    <s v="Cardbaord"/>
    <s v="cardbaord"/>
  </r>
  <r>
    <n v="464"/>
    <x v="180"/>
    <x v="158"/>
    <s v="29/04/2017"/>
    <s v="Standard Class"/>
    <s v="TN-21040"/>
    <x v="180"/>
    <x v="2"/>
    <x v="0"/>
    <s v="Phoenix"/>
    <x v="16"/>
    <n v="85023"/>
    <x v="1"/>
    <s v="FUR-TA-10001889"/>
    <s v="Furniture"/>
    <s v="Tables"/>
    <s v="Bush Advantage Collection Racetrack Conference Table"/>
    <n v="1272.6300000000001"/>
    <m/>
    <s v="Cardbaord"/>
    <s v="cardbaord"/>
  </r>
  <r>
    <n v="471"/>
    <x v="181"/>
    <x v="159"/>
    <s v="24/12/2016"/>
    <s v="Standard Class"/>
    <s v="MH-17785"/>
    <x v="181"/>
    <x v="1"/>
    <x v="0"/>
    <s v="Lindenhurst"/>
    <x v="15"/>
    <n v="11757"/>
    <x v="3"/>
    <s v="OFF-PA-10004071"/>
    <s v="Office Supplies"/>
    <s v="Paper"/>
    <s v="Eaton Premium Continuous-Feed Paper, 25% Cotton, Letter Size, White, 1000 Shts/Box"/>
    <n v="55.48"/>
    <m/>
    <s v="Office Supplies"/>
    <s v="OS"/>
  </r>
  <r>
    <n v="472"/>
    <x v="182"/>
    <x v="160"/>
    <s v="11/11/2015"/>
    <s v="Second Class"/>
    <s v="JP-15520"/>
    <x v="182"/>
    <x v="0"/>
    <x v="0"/>
    <s v="San Francisco"/>
    <x v="1"/>
    <n v="94110"/>
    <x v="1"/>
    <s v="OFF-ST-10002743"/>
    <s v="Office Supplies"/>
    <s v="Storage"/>
    <s v="SAFCO Boltless Steel Shelving"/>
    <n v="340.92"/>
    <m/>
    <s v="Office Supplies"/>
    <s v="OS"/>
  </r>
  <r>
    <n v="480"/>
    <x v="183"/>
    <x v="161"/>
    <s v="02/07/2017"/>
    <s v="Standard Class"/>
    <s v="JG-15805"/>
    <x v="183"/>
    <x v="1"/>
    <x v="0"/>
    <s v="New York City"/>
    <x v="15"/>
    <n v="10024"/>
    <x v="3"/>
    <s v="OFF-AR-10003045"/>
    <s v="Office Supplies"/>
    <s v="Art"/>
    <s v="Prang Colored Pencils"/>
    <n v="14.7"/>
    <m/>
    <s v="Office Supplies"/>
    <s v="OS"/>
  </r>
  <r>
    <n v="482"/>
    <x v="184"/>
    <x v="162"/>
    <s v="10/10/2015"/>
    <s v="Standard Class"/>
    <s v="XP-21865"/>
    <x v="184"/>
    <x v="0"/>
    <x v="0"/>
    <s v="San Diego"/>
    <x v="1"/>
    <n v="92024"/>
    <x v="1"/>
    <s v="TEC-AC-10001445"/>
    <s v="Technology"/>
    <s v="Accessories"/>
    <s v="Imation USB 2.0 Swivel Flash Drive USB flash drive - 4 GB - Pink"/>
    <n v="9.09"/>
    <m/>
    <s v="Technology"/>
    <s v="Technology"/>
  </r>
  <r>
    <n v="484"/>
    <x v="185"/>
    <x v="163"/>
    <s v="27/07/2015"/>
    <s v="Standard Class"/>
    <s v="EM-14065"/>
    <x v="185"/>
    <x v="0"/>
    <x v="0"/>
    <s v="New York City"/>
    <x v="15"/>
    <n v="10024"/>
    <x v="3"/>
    <s v="TEC-AC-10002567"/>
    <s v="Technology"/>
    <s v="Accessories"/>
    <s v="Logitech G602 Wireless Gaming Mouse"/>
    <n v="159.97999999999999"/>
    <m/>
    <s v="Technology"/>
    <s v="Technology"/>
  </r>
  <r>
    <n v="485"/>
    <x v="186"/>
    <x v="164"/>
    <s v="13/06/2018"/>
    <s v="First Class"/>
    <s v="MT-18070"/>
    <x v="186"/>
    <x v="2"/>
    <x v="0"/>
    <s v="Los Angeles"/>
    <x v="1"/>
    <n v="90045"/>
    <x v="1"/>
    <s v="OFF-LA-10003923"/>
    <s v="Office Supplies"/>
    <s v="Labels"/>
    <s v="Alphabetical Labels for Top Tab Filing"/>
    <n v="29.6"/>
    <m/>
    <s v="Office Supplies"/>
    <s v="OS"/>
  </r>
  <r>
    <n v="488"/>
    <x v="187"/>
    <x v="165"/>
    <s v="31/10/2015"/>
    <s v="First Class"/>
    <s v="SA-20830"/>
    <x v="187"/>
    <x v="0"/>
    <x v="0"/>
    <s v="Chicago"/>
    <x v="10"/>
    <n v="60610"/>
    <x v="2"/>
    <s v="TEC-PH-10001363"/>
    <s v="Technology"/>
    <s v="Phones"/>
    <s v="Apple iPhone 5S"/>
    <n v="2735.9520000000002"/>
    <m/>
    <s v="Technology"/>
    <s v="Technology"/>
  </r>
  <r>
    <n v="489"/>
    <x v="188"/>
    <x v="3"/>
    <s v="13/06/2015"/>
    <s v="Second Class"/>
    <s v="CW-11905"/>
    <x v="188"/>
    <x v="2"/>
    <x v="0"/>
    <s v="Huntsville"/>
    <x v="5"/>
    <n v="77340"/>
    <x v="2"/>
    <s v="TEC-PH-10000376"/>
    <s v="Technology"/>
    <s v="Phones"/>
    <s v="Square Credit Card Reader"/>
    <n v="7.992"/>
    <m/>
    <s v="Technology"/>
    <s v="Technology"/>
  </r>
  <r>
    <n v="492"/>
    <x v="189"/>
    <x v="73"/>
    <s v="19/09/2015"/>
    <s v="Standard Class"/>
    <s v="AJ-10960"/>
    <x v="189"/>
    <x v="0"/>
    <x v="0"/>
    <s v="Rochester"/>
    <x v="15"/>
    <n v="14609"/>
    <x v="3"/>
    <s v="OFF-ST-10001809"/>
    <s v="Office Supplies"/>
    <s v="Storage"/>
    <s v="Fellowes Officeware Wire Shelving"/>
    <n v="449.15"/>
    <m/>
    <s v="Office Supplies"/>
    <s v="OS"/>
  </r>
  <r>
    <n v="494"/>
    <x v="190"/>
    <x v="166"/>
    <s v="14/05/2017"/>
    <s v="Standard Class"/>
    <s v="SS-20590"/>
    <x v="190"/>
    <x v="0"/>
    <x v="0"/>
    <s v="Seattle"/>
    <x v="4"/>
    <n v="98115"/>
    <x v="1"/>
    <s v="TEC-AC-10000991"/>
    <s v="Technology"/>
    <s v="Accessories"/>
    <s v="Sony Micro Vault Click 8 GB USB 2.0 Flash Drive"/>
    <n v="93.98"/>
    <m/>
    <s v="Technology"/>
    <s v="Technology"/>
  </r>
  <r>
    <n v="495"/>
    <x v="191"/>
    <x v="167"/>
    <s v="21/03/2017"/>
    <s v="Second Class"/>
    <s v="RO-19780"/>
    <x v="191"/>
    <x v="0"/>
    <x v="0"/>
    <s v="Memphis"/>
    <x v="18"/>
    <n v="38109"/>
    <x v="0"/>
    <s v="FUR-TA-10001857"/>
    <s v="Furniture"/>
    <s v="Tables"/>
    <s v="Balt Solid Wood Rectangular Table"/>
    <n v="189.88200000000001"/>
    <m/>
    <s v="Cardbaord"/>
    <s v="cardbaord"/>
  </r>
  <r>
    <n v="496"/>
    <x v="192"/>
    <x v="16"/>
    <s v="31/12/2016"/>
    <s v="Standard Class"/>
    <s v="MD-17350"/>
    <x v="192"/>
    <x v="0"/>
    <x v="0"/>
    <s v="Fayetteville"/>
    <x v="35"/>
    <n v="72701"/>
    <x v="0"/>
    <s v="OFF-EN-10001434"/>
    <s v="Office Supplies"/>
    <s v="Envelopes"/>
    <s v="Strathmore #10 Envelopes, Ultimate White"/>
    <n v="105.42"/>
    <m/>
    <s v="Office Supplies"/>
    <s v="OS"/>
  </r>
  <r>
    <n v="501"/>
    <x v="193"/>
    <x v="168"/>
    <s v="04/06/2017"/>
    <s v="Standard Class"/>
    <s v="MY-17380"/>
    <x v="193"/>
    <x v="1"/>
    <x v="0"/>
    <s v="Parker"/>
    <x v="21"/>
    <n v="80134"/>
    <x v="1"/>
    <s v="OFF-BI-10001670"/>
    <s v="Office Supplies"/>
    <s v="Binders"/>
    <s v="Vinyl Sectional Post Binders"/>
    <n v="22.62"/>
    <m/>
    <s v="Office Supplies"/>
    <s v="OS"/>
  </r>
  <r>
    <n v="507"/>
    <x v="194"/>
    <x v="169"/>
    <s v="22/03/2016"/>
    <s v="Standard Class"/>
    <s v="CM-12385"/>
    <x v="194"/>
    <x v="0"/>
    <x v="0"/>
    <s v="Atlanta"/>
    <x v="31"/>
    <n v="30318"/>
    <x v="0"/>
    <s v="OFF-AR-10001662"/>
    <s v="Office Supplies"/>
    <s v="Art"/>
    <s v="Rogers Handheld Barrel Pencil Sharpener"/>
    <n v="2.74"/>
    <m/>
    <s v="Office Supplies"/>
    <s v="OS"/>
  </r>
  <r>
    <n v="511"/>
    <x v="195"/>
    <x v="170"/>
    <s v="27/11/2018"/>
    <s v="First Class"/>
    <s v="LS-17245"/>
    <x v="195"/>
    <x v="0"/>
    <x v="0"/>
    <s v="Gladstone"/>
    <x v="24"/>
    <n v="64118"/>
    <x v="2"/>
    <s v="FUR-FU-10001290"/>
    <s v="Furniture"/>
    <s v="Furnishings"/>
    <s v="Executive Impressions Supervisor Wall Clock"/>
    <n v="126.3"/>
    <m/>
    <s v="Cardbaord"/>
    <s v="cardbaord"/>
  </r>
  <r>
    <n v="514"/>
    <x v="196"/>
    <x v="171"/>
    <s v="25/12/2018"/>
    <s v="Standard Class"/>
    <s v="BN-11515"/>
    <x v="196"/>
    <x v="0"/>
    <x v="0"/>
    <s v="Los Angeles"/>
    <x v="1"/>
    <n v="90049"/>
    <x v="1"/>
    <s v="OFF-AR-10003811"/>
    <s v="Office Supplies"/>
    <s v="Art"/>
    <s v="Newell 327"/>
    <n v="6.63"/>
    <m/>
    <s v="Office Supplies"/>
    <s v="OS"/>
  </r>
  <r>
    <n v="521"/>
    <x v="197"/>
    <x v="172"/>
    <s v="26/03/2016"/>
    <s v="Standard Class"/>
    <s v="DB-13210"/>
    <x v="197"/>
    <x v="0"/>
    <x v="0"/>
    <s v="Houston"/>
    <x v="5"/>
    <n v="77041"/>
    <x v="2"/>
    <s v="OFF-ST-10000736"/>
    <s v="Office Supplies"/>
    <s v="Storage"/>
    <s v="Carina Double Wide Media Storage Towers in Natural &amp; Black"/>
    <n v="129.56800000000001"/>
    <m/>
    <s v="Office Supplies"/>
    <s v="OS"/>
  </r>
  <r>
    <n v="526"/>
    <x v="198"/>
    <x v="173"/>
    <s v="02/01/2017"/>
    <s v="Standard Class"/>
    <s v="BD-11605"/>
    <x v="198"/>
    <x v="0"/>
    <x v="0"/>
    <s v="Lawrence"/>
    <x v="30"/>
    <n v="1841"/>
    <x v="3"/>
    <s v="OFF-FA-10002815"/>
    <s v="Office Supplies"/>
    <s v="Fasteners"/>
    <s v="Staples"/>
    <n v="22.2"/>
    <m/>
    <s v="Office Supplies"/>
    <s v="OS"/>
  </r>
  <r>
    <n v="527"/>
    <x v="199"/>
    <x v="174"/>
    <s v="26/10/2018"/>
    <s v="Standard Class"/>
    <s v="PH-18790"/>
    <x v="199"/>
    <x v="2"/>
    <x v="0"/>
    <s v="Lakeland"/>
    <x v="2"/>
    <n v="33801"/>
    <x v="0"/>
    <s v="FUR-CH-10003379"/>
    <s v="Furniture"/>
    <s v="Chairs"/>
    <s v="Global Commerce Series High-Back Swivel/Tilt Chairs"/>
    <n v="683.952"/>
    <m/>
    <s v="Cardbaord"/>
    <s v="cardbaord"/>
  </r>
  <r>
    <n v="529"/>
    <x v="200"/>
    <x v="34"/>
    <s v="07/09/2016"/>
    <s v="Standard Class"/>
    <s v="MG-18145"/>
    <x v="200"/>
    <x v="0"/>
    <x v="0"/>
    <s v="Philadelphia"/>
    <x v="9"/>
    <n v="19134"/>
    <x v="3"/>
    <s v="OFF-ST-10004963"/>
    <s v="Office Supplies"/>
    <s v="Storage"/>
    <s v="Eldon Gobal File Keepers"/>
    <n v="36.335999999999999"/>
    <m/>
    <s v="Office Supplies"/>
    <s v="OS"/>
  </r>
  <r>
    <n v="532"/>
    <x v="201"/>
    <x v="175"/>
    <s v="09/11/2016"/>
    <s v="Second Class"/>
    <s v="KB-16240"/>
    <x v="201"/>
    <x v="1"/>
    <x v="0"/>
    <s v="Los Angeles"/>
    <x v="1"/>
    <n v="90036"/>
    <x v="1"/>
    <s v="FUR-CH-10000595"/>
    <s v="Furniture"/>
    <s v="Chairs"/>
    <s v="Safco Contoured Stacking Chairs"/>
    <n v="190.72"/>
    <m/>
    <s v="Cardbaord"/>
    <s v="cardbaord"/>
  </r>
  <r>
    <n v="533"/>
    <x v="202"/>
    <x v="176"/>
    <s v="11/09/2018"/>
    <s v="Standard Class"/>
    <s v="JC-15340"/>
    <x v="202"/>
    <x v="0"/>
    <x v="0"/>
    <s v="Los Angeles"/>
    <x v="1"/>
    <n v="90032"/>
    <x v="1"/>
    <s v="FUR-FU-10000448"/>
    <s v="Furniture"/>
    <s v="Furnishings"/>
    <s v="Tenex Chairmats For Use With Carpeted Floors"/>
    <n v="47.94"/>
    <m/>
    <s v="Cardbaord"/>
    <s v="cardbaord"/>
  </r>
  <r>
    <n v="534"/>
    <x v="203"/>
    <x v="177"/>
    <s v="01/06/2017"/>
    <s v="Second Class"/>
    <s v="RL-19615"/>
    <x v="203"/>
    <x v="0"/>
    <x v="0"/>
    <s v="Montgomery"/>
    <x v="19"/>
    <n v="36116"/>
    <x v="0"/>
    <s v="TEC-PH-10000984"/>
    <s v="Technology"/>
    <s v="Phones"/>
    <s v="Panasonic KX-TG9471B"/>
    <n v="979.95"/>
    <m/>
    <s v="Technology"/>
    <s v="Technology"/>
  </r>
  <r>
    <n v="536"/>
    <x v="204"/>
    <x v="178"/>
    <s v="16/07/2017"/>
    <s v="Standard Class"/>
    <s v="AA-10375"/>
    <x v="204"/>
    <x v="0"/>
    <x v="0"/>
    <s v="Mesa"/>
    <x v="16"/>
    <n v="85204"/>
    <x v="1"/>
    <s v="OFF-ST-10001325"/>
    <s v="Office Supplies"/>
    <s v="Storage"/>
    <s v="Sterilite Officeware Hinged File Box"/>
    <n v="16.768000000000001"/>
    <m/>
    <s v="Office Supplies"/>
    <s v="OS"/>
  </r>
  <r>
    <n v="537"/>
    <x v="205"/>
    <x v="179"/>
    <s v="08/09/2018"/>
    <s v="Second Class"/>
    <s v="EP-13915"/>
    <x v="205"/>
    <x v="0"/>
    <x v="0"/>
    <s v="Chicago"/>
    <x v="10"/>
    <n v="60653"/>
    <x v="2"/>
    <s v="OFF-BI-10002429"/>
    <s v="Office Supplies"/>
    <s v="Binders"/>
    <s v="Premier Elliptical Ring Binder, Black"/>
    <n v="42.616"/>
    <m/>
    <s v="Office Supplies"/>
    <s v="OS"/>
  </r>
  <r>
    <n v="539"/>
    <x v="206"/>
    <x v="180"/>
    <s v="11/12/2016"/>
    <s v="Standard Class"/>
    <s v="DK-12985"/>
    <x v="206"/>
    <x v="0"/>
    <x v="0"/>
    <s v="Henderson"/>
    <x v="0"/>
    <n v="42420"/>
    <x v="0"/>
    <s v="OFF-AP-10001271"/>
    <s v="Office Supplies"/>
    <s v="Appliances"/>
    <s v="Eureka The Boss Cordless Rechargeable Stick Vac"/>
    <n v="152.94"/>
    <m/>
    <s v="Office Supplies"/>
    <s v="OS"/>
  </r>
  <r>
    <n v="541"/>
    <x v="207"/>
    <x v="181"/>
    <s v="03/02/2015"/>
    <s v="First Class"/>
    <s v="BD-11500"/>
    <x v="207"/>
    <x v="0"/>
    <x v="0"/>
    <s v="Green Bay"/>
    <x v="6"/>
    <n v="54302"/>
    <x v="2"/>
    <s v="TEC-AC-10001432"/>
    <s v="Technology"/>
    <s v="Accessories"/>
    <s v="Enermax Aurora Lite Keyboard"/>
    <n v="468.9"/>
    <m/>
    <s v="Technology"/>
    <s v="Technology"/>
  </r>
  <r>
    <n v="547"/>
    <x v="208"/>
    <x v="182"/>
    <s v="22/11/2018"/>
    <s v="First Class"/>
    <s v="AS-10135"/>
    <x v="208"/>
    <x v="2"/>
    <x v="0"/>
    <s v="New York City"/>
    <x v="15"/>
    <n v="10035"/>
    <x v="3"/>
    <s v="OFF-BI-10000404"/>
    <s v="Office Supplies"/>
    <s v="Binders"/>
    <s v="Avery Printable Repositionable Plastic Tabs"/>
    <n v="41.28"/>
    <m/>
    <s v="Office Supplies"/>
    <s v="OS"/>
  </r>
  <r>
    <n v="552"/>
    <x v="209"/>
    <x v="151"/>
    <s v="17/04/2017"/>
    <s v="Second Class"/>
    <s v="BD-11320"/>
    <x v="209"/>
    <x v="0"/>
    <x v="0"/>
    <s v="San Francisco"/>
    <x v="1"/>
    <n v="94110"/>
    <x v="1"/>
    <s v="FUR-CH-10002024"/>
    <s v="Furniture"/>
    <s v="Chairs"/>
    <s v="HON 5400 Series Task Chairs for Big and Tall"/>
    <n v="1121.568"/>
    <m/>
    <s v="Cardbaord"/>
    <s v="cardbaord"/>
  </r>
  <r>
    <n v="554"/>
    <x v="210"/>
    <x v="183"/>
    <s v="28/11/2018"/>
    <s v="Standard Class"/>
    <s v="GT-14710"/>
    <x v="210"/>
    <x v="0"/>
    <x v="0"/>
    <s v="Houston"/>
    <x v="5"/>
    <n v="77070"/>
    <x v="2"/>
    <s v="OFF-FA-10004248"/>
    <s v="Office Supplies"/>
    <s v="Fasteners"/>
    <s v="Advantus T-Pin Paper Clips"/>
    <n v="10.824"/>
    <m/>
    <s v="Office Supplies"/>
    <s v="OS"/>
  </r>
  <r>
    <n v="556"/>
    <x v="211"/>
    <x v="184"/>
    <s v="07/03/2015"/>
    <s v="Second Class"/>
    <s v="AJ-10945"/>
    <x v="211"/>
    <x v="0"/>
    <x v="0"/>
    <s v="Wilmington"/>
    <x v="3"/>
    <n v="28403"/>
    <x v="0"/>
    <s v="OFF-AR-10003560"/>
    <s v="Office Supplies"/>
    <s v="Art"/>
    <s v="Zebra Zazzle Fluorescent Highlighters"/>
    <n v="19.456"/>
    <m/>
    <s v="Office Supplies"/>
    <s v="OS"/>
  </r>
  <r>
    <n v="557"/>
    <x v="212"/>
    <x v="185"/>
    <s v="15/06/2017"/>
    <s v="Standard Class"/>
    <s v="OT-18730"/>
    <x v="212"/>
    <x v="0"/>
    <x v="0"/>
    <s v="Los Angeles"/>
    <x v="1"/>
    <n v="90045"/>
    <x v="1"/>
    <s v="OFF-LA-10001297"/>
    <s v="Office Supplies"/>
    <s v="Labels"/>
    <s v="Avery 473"/>
    <n v="20.7"/>
    <m/>
    <s v="Office Supplies"/>
    <s v="OS"/>
  </r>
  <r>
    <n v="561"/>
    <x v="213"/>
    <x v="186"/>
    <s v="22/11/2018"/>
    <s v="Second Class"/>
    <s v="LP-17080"/>
    <x v="213"/>
    <x v="0"/>
    <x v="0"/>
    <s v="San Francisco"/>
    <x v="1"/>
    <n v="94110"/>
    <x v="1"/>
    <s v="OFF-BI-10000069"/>
    <s v="Office Supplies"/>
    <s v="Binders"/>
    <s v="GBC Prepunched Paper, 19-Hole, for Binding Systems, 24-lb"/>
    <n v="84.055999999999997"/>
    <m/>
    <s v="Office Supplies"/>
    <s v="OS"/>
  </r>
  <r>
    <n v="562"/>
    <x v="214"/>
    <x v="73"/>
    <s v="18/09/2015"/>
    <s v="Second Class"/>
    <s v="CA-12775"/>
    <x v="214"/>
    <x v="0"/>
    <x v="0"/>
    <s v="Tampa"/>
    <x v="2"/>
    <n v="33614"/>
    <x v="0"/>
    <s v="OFF-AP-10003914"/>
    <s v="Office Supplies"/>
    <s v="Appliances"/>
    <s v="Sanitaire Vibra Groomer IR Commercial Upright Vacuum, Replacement Belts"/>
    <n v="13"/>
    <m/>
    <s v="Office Supplies"/>
    <s v="OS"/>
  </r>
  <r>
    <n v="564"/>
    <x v="215"/>
    <x v="180"/>
    <s v="09/12/2016"/>
    <s v="First Class"/>
    <s v="JF-15490"/>
    <x v="215"/>
    <x v="0"/>
    <x v="0"/>
    <s v="Seattle"/>
    <x v="4"/>
    <n v="98105"/>
    <x v="1"/>
    <s v="OFF-FA-10003467"/>
    <s v="Office Supplies"/>
    <s v="Fasteners"/>
    <s v="Alliance Big Bands Rubber Bands, 12/Pack"/>
    <n v="3.96"/>
    <m/>
    <s v="Office Supplies"/>
    <s v="OS"/>
  </r>
  <r>
    <n v="566"/>
    <x v="216"/>
    <x v="187"/>
    <s v="10/12/2018"/>
    <s v="First Class"/>
    <s v="FP-14320"/>
    <x v="216"/>
    <x v="0"/>
    <x v="0"/>
    <s v="Los Angeles"/>
    <x v="1"/>
    <n v="90008"/>
    <x v="1"/>
    <s v="TEC-PH-10002496"/>
    <s v="Technology"/>
    <s v="Phones"/>
    <s v="Cisco SPA301"/>
    <n v="374.37599999999998"/>
    <m/>
    <s v="Technology"/>
    <s v="Technology"/>
  </r>
  <r>
    <n v="567"/>
    <x v="217"/>
    <x v="150"/>
    <s v="08/10/2018"/>
    <s v="Standard Class"/>
    <s v="EB-13840"/>
    <x v="217"/>
    <x v="1"/>
    <x v="0"/>
    <s v="Seattle"/>
    <x v="4"/>
    <n v="98105"/>
    <x v="1"/>
    <s v="OFF-PA-10004530"/>
    <s v="Office Supplies"/>
    <s v="Paper"/>
    <s v="Personal Creations Ink Jet Cards and Labels"/>
    <n v="91.84"/>
    <m/>
    <s v="Office Supplies"/>
    <s v="OS"/>
  </r>
  <r>
    <n v="574"/>
    <x v="218"/>
    <x v="105"/>
    <s v="04/01/2019"/>
    <s v="Standard Class"/>
    <s v="JF-15415"/>
    <x v="218"/>
    <x v="0"/>
    <x v="0"/>
    <s v="New York City"/>
    <x v="15"/>
    <n v="10024"/>
    <x v="3"/>
    <s v="TEC-PH-10000347"/>
    <s v="Technology"/>
    <s v="Phones"/>
    <s v="Cush Cases Heavy Duty Rugged Cover Case for Samsung Galaxy S5 - Purple"/>
    <n v="14.85"/>
    <m/>
    <s v="Technology"/>
    <s v="Technology"/>
  </r>
  <r>
    <n v="575"/>
    <x v="219"/>
    <x v="50"/>
    <s v="07/11/2017"/>
    <s v="Standard Class"/>
    <s v="SF-20200"/>
    <x v="219"/>
    <x v="0"/>
    <x v="0"/>
    <s v="Marysville"/>
    <x v="4"/>
    <n v="98270"/>
    <x v="1"/>
    <s v="OFF-AR-10003394"/>
    <s v="Office Supplies"/>
    <s v="Art"/>
    <s v="Newell 332"/>
    <n v="8.82"/>
    <m/>
    <s v="Office Supplies"/>
    <s v="OS"/>
  </r>
  <r>
    <n v="577"/>
    <x v="220"/>
    <x v="188"/>
    <s v="22/09/2016"/>
    <s v="Second Class"/>
    <s v="TG-21640"/>
    <x v="220"/>
    <x v="0"/>
    <x v="0"/>
    <s v="Long Beach"/>
    <x v="1"/>
    <n v="90805"/>
    <x v="1"/>
    <s v="OFF-PA-10001450"/>
    <s v="Office Supplies"/>
    <s v="Paper"/>
    <s v="Rediform S.O.S. Phone Message Books"/>
    <n v="19.920000000000002"/>
    <m/>
    <s v="Office Supplies"/>
    <s v="OS"/>
  </r>
  <r>
    <n v="580"/>
    <x v="221"/>
    <x v="189"/>
    <s v="26/07/2018"/>
    <s v="Standard Class"/>
    <s v="CS-11950"/>
    <x v="221"/>
    <x v="0"/>
    <x v="0"/>
    <s v="Chicago"/>
    <x v="10"/>
    <n v="60610"/>
    <x v="2"/>
    <s v="FUR-FU-10001475"/>
    <s v="Furniture"/>
    <s v="Furnishings"/>
    <s v="Contract Clock, 14&quot;, Brown"/>
    <n v="8.7919999999999998"/>
    <m/>
    <s v="Cardbaord"/>
    <s v="cardbaord"/>
  </r>
  <r>
    <n v="581"/>
    <x v="222"/>
    <x v="190"/>
    <s v="14/09/2016"/>
    <s v="Standard Class"/>
    <s v="CC-12145"/>
    <x v="222"/>
    <x v="0"/>
    <x v="0"/>
    <s v="Los Angeles"/>
    <x v="1"/>
    <n v="90004"/>
    <x v="1"/>
    <s v="OFF-SU-10004498"/>
    <s v="Office Supplies"/>
    <s v="Supplies"/>
    <s v="Martin-Yale Premier Letter Opener"/>
    <n v="51.52"/>
    <m/>
    <s v="Office Supplies"/>
    <s v="OS"/>
  </r>
  <r>
    <n v="583"/>
    <x v="223"/>
    <x v="87"/>
    <s v="05/12/2018"/>
    <s v="Standard Class"/>
    <s v="DV-13465"/>
    <x v="223"/>
    <x v="0"/>
    <x v="0"/>
    <s v="Denver"/>
    <x v="21"/>
    <n v="80219"/>
    <x v="1"/>
    <s v="TEC-PH-10000586"/>
    <s v="Technology"/>
    <s v="Phones"/>
    <s v="AT&amp;T SB67148 SynJ"/>
    <n v="105.584"/>
    <m/>
    <s v="Technology"/>
    <s v="Technology"/>
  </r>
  <r>
    <n v="588"/>
    <x v="224"/>
    <x v="191"/>
    <s v="09/07/2016"/>
    <s v="Standard Class"/>
    <s v="BD-11725"/>
    <x v="224"/>
    <x v="0"/>
    <x v="0"/>
    <s v="Richmond"/>
    <x v="0"/>
    <n v="40475"/>
    <x v="0"/>
    <s v="OFF-LA-10003930"/>
    <s v="Office Supplies"/>
    <s v="Labels"/>
    <s v="Dot Matrix Printer Tape Reel Labels, White, 5000/Box"/>
    <n v="294.93"/>
    <m/>
    <s v="Office Supplies"/>
    <s v="OS"/>
  </r>
  <r>
    <n v="589"/>
    <x v="225"/>
    <x v="192"/>
    <s v="24/03/2017"/>
    <s v="Standard Class"/>
    <s v="ZC-21910"/>
    <x v="225"/>
    <x v="0"/>
    <x v="0"/>
    <s v="Salem"/>
    <x v="20"/>
    <n v="97301"/>
    <x v="1"/>
    <s v="TEC-PH-10003800"/>
    <s v="Technology"/>
    <s v="Phones"/>
    <s v="i.Sound Portable Power - 8000 mAh"/>
    <n v="84.784000000000006"/>
    <m/>
    <s v="Technology"/>
    <s v="Technology"/>
  </r>
  <r>
    <n v="593"/>
    <x v="226"/>
    <x v="193"/>
    <s v="13/01/2015"/>
    <s v="Standard Class"/>
    <s v="MS-17830"/>
    <x v="226"/>
    <x v="0"/>
    <x v="0"/>
    <s v="Laredo"/>
    <x v="5"/>
    <n v="78041"/>
    <x v="2"/>
    <s v="OFF-AR-10004078"/>
    <s v="Office Supplies"/>
    <s v="Art"/>
    <s v="Newell 312"/>
    <n v="9.3439999999999994"/>
    <m/>
    <s v="Office Supplies"/>
    <s v="OS"/>
  </r>
  <r>
    <n v="595"/>
    <x v="227"/>
    <x v="194"/>
    <s v="15/08/2015"/>
    <s v="Standard Class"/>
    <s v="LR-16915"/>
    <x v="227"/>
    <x v="0"/>
    <x v="0"/>
    <s v="San Diego"/>
    <x v="1"/>
    <n v="92024"/>
    <x v="1"/>
    <s v="OFF-AP-10004708"/>
    <s v="Office Supplies"/>
    <s v="Appliances"/>
    <s v="Fellowes Superior 10 Outlet Split Surge Protector"/>
    <n v="76.12"/>
    <m/>
    <s v="Office Supplies"/>
    <s v="OS"/>
  </r>
  <r>
    <n v="599"/>
    <x v="228"/>
    <x v="195"/>
    <s v="16/07/2017"/>
    <s v="First Class"/>
    <s v="TP-21130"/>
    <x v="228"/>
    <x v="0"/>
    <x v="0"/>
    <s v="Philadelphia"/>
    <x v="9"/>
    <n v="19134"/>
    <x v="3"/>
    <s v="OFF-SU-10004115"/>
    <s v="Office Supplies"/>
    <s v="Supplies"/>
    <s v="Acme Stainless Steel Office Snips"/>
    <n v="11.632"/>
    <m/>
    <s v="Office Supplies"/>
    <s v="OS"/>
  </r>
  <r>
    <n v="600"/>
    <x v="229"/>
    <x v="79"/>
    <s v="21/07/2017"/>
    <s v="Standard Class"/>
    <s v="CK-12205"/>
    <x v="229"/>
    <x v="0"/>
    <x v="0"/>
    <s v="Philadelphia"/>
    <x v="9"/>
    <n v="19120"/>
    <x v="3"/>
    <s v="TEC-PH-10001425"/>
    <s v="Technology"/>
    <s v="Phones"/>
    <s v="Mophie Juice Pack Helium for iPhone"/>
    <n v="143.982"/>
    <m/>
    <s v="Technology"/>
    <s v="Technology"/>
  </r>
  <r>
    <n v="603"/>
    <x v="230"/>
    <x v="196"/>
    <s v="19/03/2015"/>
    <s v="Standard Class"/>
    <s v="AS-10240"/>
    <x v="230"/>
    <x v="0"/>
    <x v="0"/>
    <s v="Tampa"/>
    <x v="2"/>
    <n v="33614"/>
    <x v="0"/>
    <s v="OFF-ST-10001490"/>
    <s v="Office Supplies"/>
    <s v="Storage"/>
    <s v="Hot File 7-Pocket, Floor Stand"/>
    <n v="142.77600000000001"/>
    <m/>
    <s v="Office Supplies"/>
    <s v="OS"/>
  </r>
  <r>
    <n v="608"/>
    <x v="231"/>
    <x v="197"/>
    <s v="27/05/2015"/>
    <s v="Standard Class"/>
    <s v="AR-10510"/>
    <x v="231"/>
    <x v="0"/>
    <x v="0"/>
    <s v="Philadelphia"/>
    <x v="9"/>
    <n v="19134"/>
    <x v="3"/>
    <s v="OFF-BI-10000848"/>
    <s v="Office Supplies"/>
    <s v="Binders"/>
    <s v="Angle-D Ring Binders"/>
    <n v="3.282"/>
    <m/>
    <s v="Office Supplies"/>
    <s v="OS"/>
  </r>
  <r>
    <n v="612"/>
    <x v="232"/>
    <x v="198"/>
    <s v="01/05/2017"/>
    <s v="First Class"/>
    <s v="NB-18655"/>
    <x v="232"/>
    <x v="1"/>
    <x v="0"/>
    <s v="Dallas"/>
    <x v="5"/>
    <n v="75217"/>
    <x v="2"/>
    <s v="OFF-LA-10004345"/>
    <s v="Office Supplies"/>
    <s v="Labels"/>
    <s v="Avery 493"/>
    <n v="15.712"/>
    <m/>
    <s v="Office Supplies"/>
    <s v="OS"/>
  </r>
  <r>
    <n v="613"/>
    <x v="233"/>
    <x v="98"/>
    <s v="13/09/2017"/>
    <s v="Second Class"/>
    <s v="GD-14590"/>
    <x v="233"/>
    <x v="1"/>
    <x v="0"/>
    <s v="Philadelphia"/>
    <x v="9"/>
    <n v="19143"/>
    <x v="3"/>
    <s v="OFF-PA-10001204"/>
    <s v="Office Supplies"/>
    <s v="Paper"/>
    <s v="Xerox 1972"/>
    <n v="8.4480000000000004"/>
    <m/>
    <s v="Office Supplies"/>
    <s v="OS"/>
  </r>
  <r>
    <n v="616"/>
    <x v="234"/>
    <x v="199"/>
    <s v="17/11/2018"/>
    <s v="Second Class"/>
    <s v="CK-12595"/>
    <x v="234"/>
    <x v="0"/>
    <x v="0"/>
    <s v="Grove City"/>
    <x v="23"/>
    <n v="43123"/>
    <x v="3"/>
    <s v="OFF-BI-10002949"/>
    <s v="Office Supplies"/>
    <s v="Binders"/>
    <s v="Prestige Round Ring Binders"/>
    <n v="3.6480000000000001"/>
    <m/>
    <s v="Office Supplies"/>
    <s v="OS"/>
  </r>
  <r>
    <n v="617"/>
    <x v="235"/>
    <x v="200"/>
    <s v="23/08/2018"/>
    <s v="Second Class"/>
    <s v="NG-18355"/>
    <x v="235"/>
    <x v="1"/>
    <x v="0"/>
    <s v="New York City"/>
    <x v="15"/>
    <n v="10011"/>
    <x v="3"/>
    <s v="FUR-FU-10003849"/>
    <s v="Furniture"/>
    <s v="Furnishings"/>
    <s v="DAX Metal Frame, Desktop, Stepped-Edge"/>
    <n v="40.479999999999997"/>
    <m/>
    <s v="Cardbaord"/>
    <s v="cardbaord"/>
  </r>
  <r>
    <n v="622"/>
    <x v="236"/>
    <x v="54"/>
    <s v="31/12/2015"/>
    <s v="Standard Class"/>
    <s v="CA-12265"/>
    <x v="236"/>
    <x v="0"/>
    <x v="0"/>
    <s v="Chicago"/>
    <x v="10"/>
    <n v="60610"/>
    <x v="2"/>
    <s v="OFF-BI-10002103"/>
    <s v="Office Supplies"/>
    <s v="Binders"/>
    <s v="Cardinal Slant-D Ring Binder, Heavy Gauge Vinyl"/>
    <n v="8.69"/>
    <m/>
    <s v="Office Supplies"/>
    <s v="OS"/>
  </r>
  <r>
    <n v="623"/>
    <x v="237"/>
    <x v="201"/>
    <s v="03/12/2016"/>
    <s v="Standard Class"/>
    <s v="SF-20965"/>
    <x v="237"/>
    <x v="1"/>
    <x v="0"/>
    <s v="Dearborn"/>
    <x v="12"/>
    <n v="48126"/>
    <x v="2"/>
    <s v="FUR-CH-10004853"/>
    <s v="Furniture"/>
    <s v="Chairs"/>
    <s v="Global Manager's Adjustable Task Chair, Storm"/>
    <n v="301.95999999999998"/>
    <m/>
    <s v="Cardbaord"/>
    <s v="cardbaord"/>
  </r>
  <r>
    <n v="627"/>
    <x v="238"/>
    <x v="153"/>
    <s v="19/09/2018"/>
    <s v="Standard Class"/>
    <s v="MO-17800"/>
    <x v="238"/>
    <x v="2"/>
    <x v="0"/>
    <s v="New York City"/>
    <x v="15"/>
    <n v="10009"/>
    <x v="3"/>
    <s v="FUR-FU-10000221"/>
    <s v="Furniture"/>
    <s v="Furnishings"/>
    <s v="Master Caster Door Stop, Brown"/>
    <n v="35.56"/>
    <m/>
    <s v="Cardbaord"/>
    <s v="cardbaord"/>
  </r>
  <r>
    <n v="628"/>
    <x v="239"/>
    <x v="202"/>
    <s v="23/05/2018"/>
    <s v="Standard Class"/>
    <s v="AT-10735"/>
    <x v="239"/>
    <x v="0"/>
    <x v="0"/>
    <s v="Seattle"/>
    <x v="4"/>
    <n v="98115"/>
    <x v="1"/>
    <s v="OFF-AP-10001563"/>
    <s v="Office Supplies"/>
    <s v="Appliances"/>
    <s v="Belkin Premiere Surge Master II 8-outlet surge protector"/>
    <n v="97.16"/>
    <m/>
    <s v="Office Supplies"/>
    <s v="OS"/>
  </r>
  <r>
    <n v="631"/>
    <x v="240"/>
    <x v="24"/>
    <s v="13/12/2017"/>
    <s v="Second Class"/>
    <s v="FM-14380"/>
    <x v="240"/>
    <x v="0"/>
    <x v="0"/>
    <s v="Aurora"/>
    <x v="21"/>
    <n v="80013"/>
    <x v="1"/>
    <s v="OFF-ST-10001963"/>
    <s v="Office Supplies"/>
    <s v="Storage"/>
    <s v="Tennsco Regal Shelving Units"/>
    <n v="243.38399999999999"/>
    <m/>
    <s v="Office Supplies"/>
    <s v="OS"/>
  </r>
  <r>
    <n v="636"/>
    <x v="241"/>
    <x v="203"/>
    <s v="09/10/2016"/>
    <s v="Second Class"/>
    <s v="DJ-13420"/>
    <x v="241"/>
    <x v="1"/>
    <x v="0"/>
    <s v="Warner Robins"/>
    <x v="31"/>
    <n v="31088"/>
    <x v="0"/>
    <s v="FUR-CH-10001482"/>
    <s v="Furniture"/>
    <s v="Chairs"/>
    <s v="Office Star - Mesh Screen back chair with Vinyl seat"/>
    <n v="392.94"/>
    <m/>
    <s v="Cardbaord"/>
    <s v="cardbaord"/>
  </r>
  <r>
    <n v="637"/>
    <x v="242"/>
    <x v="204"/>
    <s v="21/08/2017"/>
    <s v="Standard Class"/>
    <s v="ME-17725"/>
    <x v="242"/>
    <x v="0"/>
    <x v="0"/>
    <s v="Aurora"/>
    <x v="21"/>
    <n v="80013"/>
    <x v="1"/>
    <s v="OFF-BI-10001989"/>
    <s v="Office Supplies"/>
    <s v="Binders"/>
    <s v="Premium Transparent Presentation Covers by GBC"/>
    <n v="18.882000000000001"/>
    <m/>
    <s v="Office Supplies"/>
    <s v="OS"/>
  </r>
  <r>
    <n v="641"/>
    <x v="243"/>
    <x v="110"/>
    <s v="22/12/2017"/>
    <s v="Standard Class"/>
    <s v="JD-16150"/>
    <x v="243"/>
    <x v="1"/>
    <x v="0"/>
    <s v="Minneapolis"/>
    <x v="11"/>
    <n v="55407"/>
    <x v="2"/>
    <s v="FUR-FU-10000732"/>
    <s v="Furniture"/>
    <s v="Furnishings"/>
    <s v="Eldon 200 Class Desk Accessories"/>
    <n v="18.84"/>
    <m/>
    <s v="Cardbaord"/>
    <s v="cardbaord"/>
  </r>
  <r>
    <n v="642"/>
    <x v="244"/>
    <x v="205"/>
    <s v="03/08/2018"/>
    <s v="Second Class"/>
    <s v="JL-15835"/>
    <x v="244"/>
    <x v="0"/>
    <x v="0"/>
    <s v="Mission Viejo"/>
    <x v="1"/>
    <n v="92691"/>
    <x v="1"/>
    <s v="OFF-ST-10000585"/>
    <s v="Office Supplies"/>
    <s v="Storage"/>
    <s v="Economy Rollaway Files"/>
    <n v="330.4"/>
    <m/>
    <s v="Office Supplies"/>
    <s v="OS"/>
  </r>
  <r>
    <n v="646"/>
    <x v="245"/>
    <x v="206"/>
    <s v="05/01/2019"/>
    <s v="Standard Class"/>
    <s v="CC-12430"/>
    <x v="245"/>
    <x v="2"/>
    <x v="0"/>
    <s v="Columbus"/>
    <x v="14"/>
    <n v="47201"/>
    <x v="2"/>
    <s v="OFF-AP-10002457"/>
    <s v="Office Supplies"/>
    <s v="Appliances"/>
    <s v="Eureka The Boss Plus 12-Amp Hard Box Upright Vacuum, Red"/>
    <n v="209.3"/>
    <m/>
    <s v="Office Supplies"/>
    <s v="OS"/>
  </r>
  <r>
    <n v="651"/>
    <x v="246"/>
    <x v="24"/>
    <s v="16/12/2017"/>
    <s v="Second Class"/>
    <s v="AR-10825"/>
    <x v="246"/>
    <x v="1"/>
    <x v="0"/>
    <s v="Vancouver"/>
    <x v="4"/>
    <n v="98661"/>
    <x v="1"/>
    <s v="TEC-AC-10001142"/>
    <s v="Technology"/>
    <s v="Accessories"/>
    <s v="First Data FD10 PIN Pad"/>
    <n v="316"/>
    <m/>
    <s v="Technology"/>
    <s v="Technology"/>
  </r>
  <r>
    <n v="655"/>
    <x v="247"/>
    <x v="207"/>
    <s v="28/08/2017"/>
    <s v="Standard Class"/>
    <s v="CR-12730"/>
    <x v="247"/>
    <x v="0"/>
    <x v="0"/>
    <s v="Columbus"/>
    <x v="23"/>
    <n v="43229"/>
    <x v="3"/>
    <s v="OFF-AP-10002439"/>
    <s v="Office Supplies"/>
    <s v="Appliances"/>
    <s v="Tripp Lite Isotel 8 Ultra 8 Outlet Metal Surge"/>
    <n v="113.55200000000001"/>
    <m/>
    <s v="Office Supplies"/>
    <s v="OS"/>
  </r>
  <r>
    <n v="666"/>
    <x v="248"/>
    <x v="100"/>
    <s v="10/06/2018"/>
    <s v="Second Class"/>
    <s v="TH-21235"/>
    <x v="248"/>
    <x v="1"/>
    <x v="0"/>
    <s v="Dallas"/>
    <x v="5"/>
    <n v="75081"/>
    <x v="2"/>
    <s v="OFF-SU-10004231"/>
    <s v="Office Supplies"/>
    <s v="Supplies"/>
    <s v="Acme Tagit Stainless Steel Antibacterial Scissors"/>
    <n v="23.76"/>
    <m/>
    <s v="Office Supplies"/>
    <s v="OS"/>
  </r>
  <r>
    <n v="669"/>
    <x v="249"/>
    <x v="144"/>
    <s v="26/12/2015"/>
    <s v="First Class"/>
    <s v="RP-19390"/>
    <x v="249"/>
    <x v="0"/>
    <x v="0"/>
    <s v="Cleveland"/>
    <x v="23"/>
    <n v="44105"/>
    <x v="3"/>
    <s v="FUR-FU-10003096"/>
    <s v="Furniture"/>
    <s v="Furnishings"/>
    <s v="Master Giant Foot Doorstop, Safety Yellow"/>
    <n v="30.36"/>
    <m/>
    <s v="Cardbaord"/>
    <s v="cardbaord"/>
  </r>
  <r>
    <n v="674"/>
    <x v="250"/>
    <x v="208"/>
    <s v="08/12/2018"/>
    <s v="First Class"/>
    <s v="RB-19570"/>
    <x v="250"/>
    <x v="0"/>
    <x v="0"/>
    <s v="Columbus"/>
    <x v="14"/>
    <n v="47201"/>
    <x v="2"/>
    <s v="OFF-AP-10004532"/>
    <s v="Office Supplies"/>
    <s v="Appliances"/>
    <s v="Kensington 6 Outlet Guardian Standard Surge Protector"/>
    <n v="61.44"/>
    <m/>
    <s v="Office Supplies"/>
    <s v="OS"/>
  </r>
  <r>
    <n v="677"/>
    <x v="251"/>
    <x v="209"/>
    <s v="23/03/2018"/>
    <s v="Standard Class"/>
    <s v="CD-11980"/>
    <x v="251"/>
    <x v="0"/>
    <x v="0"/>
    <s v="Tyler"/>
    <x v="5"/>
    <n v="75701"/>
    <x v="2"/>
    <s v="OFF-AP-10000804"/>
    <s v="Office Supplies"/>
    <s v="Appliances"/>
    <s v="Hoover Portapower Portable Vacuum"/>
    <n v="2.6880000000000002"/>
    <m/>
    <s v="Office Supplies"/>
    <s v="OS"/>
  </r>
  <r>
    <n v="681"/>
    <x v="252"/>
    <x v="210"/>
    <s v="24/11/2017"/>
    <s v="Standard Class"/>
    <s v="DJ-13630"/>
    <x v="252"/>
    <x v="0"/>
    <x v="0"/>
    <s v="New York City"/>
    <x v="15"/>
    <n v="10024"/>
    <x v="3"/>
    <s v="OFF-BI-10003305"/>
    <s v="Office Supplies"/>
    <s v="Binders"/>
    <s v="Avery Hanging File Binders"/>
    <n v="14.352"/>
    <m/>
    <s v="Office Supplies"/>
    <s v="OS"/>
  </r>
  <r>
    <n v="684"/>
    <x v="253"/>
    <x v="211"/>
    <s v="04/11/2018"/>
    <s v="Same Day"/>
    <s v="GT-14635"/>
    <x v="253"/>
    <x v="1"/>
    <x v="0"/>
    <s v="Burlington"/>
    <x v="3"/>
    <n v="27217"/>
    <x v="0"/>
    <s v="TEC-MA-10004125"/>
    <s v="Technology"/>
    <s v="Machines"/>
    <s v="Cubify CubeX 3D Printer Triple Head Print"/>
    <n v="7999.98"/>
    <m/>
    <s v="Technology"/>
    <s v="Technology"/>
  </r>
  <r>
    <n v="687"/>
    <x v="254"/>
    <x v="212"/>
    <s v="08/07/2015"/>
    <s v="First Class"/>
    <s v="MC-17845"/>
    <x v="254"/>
    <x v="0"/>
    <x v="0"/>
    <s v="Jackson"/>
    <x v="34"/>
    <n v="39212"/>
    <x v="0"/>
    <s v="OFF-LA-10001934"/>
    <s v="Office Supplies"/>
    <s v="Labels"/>
    <s v="Avery 516"/>
    <n v="14.62"/>
    <m/>
    <s v="Office Supplies"/>
    <s v="OS"/>
  </r>
  <r>
    <n v="689"/>
    <x v="255"/>
    <x v="49"/>
    <s v="29/12/2018"/>
    <s v="Standard Class"/>
    <s v="RA-19285"/>
    <x v="255"/>
    <x v="0"/>
    <x v="0"/>
    <s v="New York City"/>
    <x v="15"/>
    <n v="10035"/>
    <x v="3"/>
    <s v="FUR-BO-10004015"/>
    <s v="Furniture"/>
    <s v="Bookcases"/>
    <s v="Bush Andora Bookcase, Maple/Graphite Gray Finish"/>
    <n v="191.98400000000001"/>
    <m/>
    <s v="Cardbaord"/>
    <s v="cardbaord"/>
  </r>
  <r>
    <n v="690"/>
    <x v="256"/>
    <x v="213"/>
    <s v="23/06/2015"/>
    <s v="Second Class"/>
    <s v="NP-18325"/>
    <x v="256"/>
    <x v="0"/>
    <x v="0"/>
    <s v="Waynesboro"/>
    <x v="17"/>
    <n v="22980"/>
    <x v="0"/>
    <s v="FUR-FU-10004071"/>
    <s v="Furniture"/>
    <s v="Furnishings"/>
    <s v="Luxo Professional Magnifying Clamp-On Fluorescent Lamps"/>
    <n v="104.01"/>
    <m/>
    <s v="Cardbaord"/>
    <s v="cardbaord"/>
  </r>
  <r>
    <n v="693"/>
    <x v="257"/>
    <x v="214"/>
    <s v="02/04/2016"/>
    <s v="Standard Class"/>
    <s v="AB-10165"/>
    <x v="257"/>
    <x v="0"/>
    <x v="0"/>
    <s v="Los Angeles"/>
    <x v="1"/>
    <n v="90036"/>
    <x v="1"/>
    <s v="TEC-AC-10002253"/>
    <s v="Technology"/>
    <s v="Accessories"/>
    <s v="Imation Bio 8GB USB Flash Drive Imation Corp"/>
    <n v="166.24"/>
    <m/>
    <s v="Technology"/>
    <s v="Technology"/>
  </r>
  <r>
    <n v="696"/>
    <x v="258"/>
    <x v="215"/>
    <s v="17/05/2016"/>
    <s v="First Class"/>
    <s v="JO-15550"/>
    <x v="258"/>
    <x v="2"/>
    <x v="0"/>
    <s v="Chester"/>
    <x v="9"/>
    <n v="19013"/>
    <x v="3"/>
    <s v="OFF-LA-10002312"/>
    <s v="Office Supplies"/>
    <s v="Labels"/>
    <s v="Avery 490"/>
    <n v="47.36"/>
    <m/>
    <s v="Office Supplies"/>
    <s v="OS"/>
  </r>
  <r>
    <n v="704"/>
    <x v="259"/>
    <x v="216"/>
    <s v="14/04/2016"/>
    <s v="Standard Class"/>
    <s v="JK-15370"/>
    <x v="259"/>
    <x v="0"/>
    <x v="0"/>
    <s v="Long Beach"/>
    <x v="1"/>
    <n v="90805"/>
    <x v="1"/>
    <s v="FUR-TA-10002774"/>
    <s v="Furniture"/>
    <s v="Tables"/>
    <s v="Laminate Occasional Tables"/>
    <n v="369.91199999999998"/>
    <m/>
    <s v="Cardbaord"/>
    <s v="cardbaord"/>
  </r>
  <r>
    <n v="705"/>
    <x v="260"/>
    <x v="149"/>
    <s v="17/09/2015"/>
    <s v="Standard Class"/>
    <s v="BN-11470"/>
    <x v="260"/>
    <x v="1"/>
    <x v="0"/>
    <s v="Cary"/>
    <x v="3"/>
    <n v="27511"/>
    <x v="0"/>
    <s v="OFF-PA-10001800"/>
    <s v="Office Supplies"/>
    <s v="Paper"/>
    <s v="Xerox 220"/>
    <n v="10.368"/>
    <m/>
    <s v="Office Supplies"/>
    <s v="OS"/>
  </r>
  <r>
    <n v="709"/>
    <x v="261"/>
    <x v="217"/>
    <s v="04/12/2015"/>
    <s v="First Class"/>
    <s v="DP-13165"/>
    <x v="261"/>
    <x v="0"/>
    <x v="0"/>
    <s v="New York City"/>
    <x v="15"/>
    <n v="10035"/>
    <x v="3"/>
    <s v="FUR-BO-10003272"/>
    <s v="Furniture"/>
    <s v="Bookcases"/>
    <s v="O'Sullivan Living Dimensions 5-Shelf Bookcases"/>
    <n v="883.92"/>
    <m/>
    <s v="Cardbaord"/>
    <s v="cardbaord"/>
  </r>
  <r>
    <n v="712"/>
    <x v="262"/>
    <x v="179"/>
    <s v="07/09/2018"/>
    <s v="Standard Class"/>
    <s v="AP-10915"/>
    <x v="262"/>
    <x v="0"/>
    <x v="0"/>
    <s v="Palm Coast"/>
    <x v="2"/>
    <n v="32137"/>
    <x v="0"/>
    <s v="OFF-EN-10001219"/>
    <s v="Office Supplies"/>
    <s v="Envelopes"/>
    <s v="#10- 4 1/8&quot; x 9 1/2&quot; Security-Tint Envelopes"/>
    <n v="24.448"/>
    <m/>
    <s v="Office Supplies"/>
    <s v="OS"/>
  </r>
  <r>
    <n v="713"/>
    <x v="263"/>
    <x v="202"/>
    <s v="24/05/2018"/>
    <s v="Standard Class"/>
    <s v="RS-19765"/>
    <x v="263"/>
    <x v="1"/>
    <x v="0"/>
    <s v="Mount Vernon"/>
    <x v="15"/>
    <n v="10550"/>
    <x v="3"/>
    <s v="OFF-AP-10001154"/>
    <s v="Office Supplies"/>
    <s v="Appliances"/>
    <s v="Bionaire Personal Warm Mist Humidifier/Vaporizer"/>
    <n v="281.33999999999997"/>
    <m/>
    <s v="Office Supplies"/>
    <s v="OS"/>
  </r>
  <r>
    <n v="721"/>
    <x v="264"/>
    <x v="218"/>
    <s v="18/02/2017"/>
    <s v="Standard Class"/>
    <s v="RD-19810"/>
    <x v="264"/>
    <x v="2"/>
    <x v="0"/>
    <s v="Los Angeles"/>
    <x v="1"/>
    <n v="90045"/>
    <x v="1"/>
    <s v="OFF-PA-10004092"/>
    <s v="Office Supplies"/>
    <s v="Paper"/>
    <s v="Tops Green Bar Computer Printout Paper"/>
    <n v="146.82"/>
    <m/>
    <s v="Office Supplies"/>
    <s v="OS"/>
  </r>
  <r>
    <n v="724"/>
    <x v="265"/>
    <x v="219"/>
    <s v="13/10/2015"/>
    <s v="Standard Class"/>
    <s v="MR-17545"/>
    <x v="265"/>
    <x v="2"/>
    <x v="0"/>
    <s v="Philadelphia"/>
    <x v="9"/>
    <n v="19140"/>
    <x v="3"/>
    <s v="FUR-FU-10000222"/>
    <s v="Furniture"/>
    <s v="Furnishings"/>
    <s v="Seth Thomas 16&quot; Steel Case Clock"/>
    <n v="129.91999999999999"/>
    <m/>
    <s v="Cardbaord"/>
    <s v="cardbaord"/>
  </r>
  <r>
    <n v="725"/>
    <x v="266"/>
    <x v="220"/>
    <s v="12/07/2017"/>
    <s v="Standard Class"/>
    <s v="SC-20695"/>
    <x v="266"/>
    <x v="1"/>
    <x v="0"/>
    <s v="Hialeah"/>
    <x v="2"/>
    <n v="33012"/>
    <x v="0"/>
    <s v="OFF-SU-10004664"/>
    <s v="Office Supplies"/>
    <s v="Supplies"/>
    <s v="Acme Softgrip Scissors"/>
    <n v="45.584000000000003"/>
    <m/>
    <s v="Office Supplies"/>
    <s v="OS"/>
  </r>
  <r>
    <n v="726"/>
    <x v="267"/>
    <x v="107"/>
    <s v="20/09/2018"/>
    <s v="Standard Class"/>
    <s v="JF-15355"/>
    <x v="267"/>
    <x v="0"/>
    <x v="0"/>
    <s v="Austin"/>
    <x v="5"/>
    <n v="78745"/>
    <x v="2"/>
    <s v="OFF-EN-10001141"/>
    <s v="Office Supplies"/>
    <s v="Envelopes"/>
    <s v="Manila Recycled Extra-Heavyweight Clasp Envelopes, 6&quot; x 9&quot;"/>
    <n v="17.568000000000001"/>
    <m/>
    <s v="Office Supplies"/>
    <s v="OS"/>
  </r>
  <r>
    <n v="728"/>
    <x v="268"/>
    <x v="221"/>
    <s v="06/12/2017"/>
    <s v="First Class"/>
    <s v="EG-13900"/>
    <x v="268"/>
    <x v="0"/>
    <x v="0"/>
    <s v="Oceanside"/>
    <x v="15"/>
    <n v="11572"/>
    <x v="3"/>
    <s v="OFF-PA-10001954"/>
    <s v="Office Supplies"/>
    <s v="Paper"/>
    <s v="Xerox 1964"/>
    <n v="182.72"/>
    <m/>
    <s v="Office Supplies"/>
    <s v="OS"/>
  </r>
  <r>
    <n v="734"/>
    <x v="269"/>
    <x v="222"/>
    <s v="25/01/2018"/>
    <s v="Standard Class"/>
    <s v="DS-13030"/>
    <x v="269"/>
    <x v="2"/>
    <x v="0"/>
    <s v="Seattle"/>
    <x v="4"/>
    <n v="98115"/>
    <x v="1"/>
    <s v="TEC-AC-10003610"/>
    <s v="Technology"/>
    <s v="Accessories"/>
    <s v="Logitech Illuminated - Keyboard"/>
    <n v="179.97"/>
    <m/>
    <s v="Technology"/>
    <s v="Technology"/>
  </r>
  <r>
    <n v="740"/>
    <x v="270"/>
    <x v="223"/>
    <s v="08/01/2015"/>
    <s v="Standard Class"/>
    <s v="PO-19195"/>
    <x v="270"/>
    <x v="2"/>
    <x v="0"/>
    <s v="Naperville"/>
    <x v="10"/>
    <n v="60540"/>
    <x v="2"/>
    <s v="OFF-LA-10003223"/>
    <s v="Office Supplies"/>
    <s v="Labels"/>
    <s v="Avery 508"/>
    <n v="11.784000000000001"/>
    <m/>
    <s v="Office Supplies"/>
    <s v="OS"/>
  </r>
  <r>
    <n v="745"/>
    <x v="271"/>
    <x v="224"/>
    <s v="01/09/2017"/>
    <s v="Standard Class"/>
    <s v="SS-20875"/>
    <x v="271"/>
    <x v="0"/>
    <x v="0"/>
    <s v="Dallas"/>
    <x v="5"/>
    <n v="75220"/>
    <x v="2"/>
    <s v="OFF-PA-10004971"/>
    <s v="Office Supplies"/>
    <s v="Paper"/>
    <s v="Xerox 196"/>
    <n v="4.6239999999999997"/>
    <m/>
    <s v="Office Supplies"/>
    <s v="OS"/>
  </r>
  <r>
    <n v="749"/>
    <x v="272"/>
    <x v="192"/>
    <s v="22/03/2017"/>
    <s v="Second Class"/>
    <s v="PB-19105"/>
    <x v="272"/>
    <x v="0"/>
    <x v="0"/>
    <s v="Evanston"/>
    <x v="10"/>
    <n v="60201"/>
    <x v="2"/>
    <s v="TEC-PH-10000004"/>
    <s v="Technology"/>
    <s v="Phones"/>
    <s v="Belkin iPhone and iPad Lightning Cable"/>
    <n v="11.992000000000001"/>
    <m/>
    <s v="Technology"/>
    <s v="Technology"/>
  </r>
  <r>
    <n v="750"/>
    <x v="273"/>
    <x v="225"/>
    <s v="06/10/2018"/>
    <s v="Standard Class"/>
    <s v="RF-19735"/>
    <x v="273"/>
    <x v="0"/>
    <x v="0"/>
    <s v="Trenton"/>
    <x v="12"/>
    <n v="48183"/>
    <x v="2"/>
    <s v="OFF-BI-10003638"/>
    <s v="Office Supplies"/>
    <s v="Binders"/>
    <s v="GBC Durable Plastic Covers"/>
    <n v="58.05"/>
    <m/>
    <s v="Office Supplies"/>
    <s v="OS"/>
  </r>
  <r>
    <n v="754"/>
    <x v="274"/>
    <x v="226"/>
    <s v="09/04/2017"/>
    <s v="First Class"/>
    <s v="YC-21895"/>
    <x v="274"/>
    <x v="1"/>
    <x v="0"/>
    <s v="San Francisco"/>
    <x v="1"/>
    <n v="94110"/>
    <x v="1"/>
    <s v="TEC-CO-10002095"/>
    <s v="Technology"/>
    <s v="Copiers"/>
    <s v="Hewlett Packard 610 Color Digital Copier / Printer"/>
    <n v="1199.9760000000001"/>
    <m/>
    <s v="Technology"/>
    <s v="Technology"/>
  </r>
  <r>
    <n v="765"/>
    <x v="275"/>
    <x v="227"/>
    <s v="15/01/2015"/>
    <s v="Second Class"/>
    <s v="CS-12250"/>
    <x v="275"/>
    <x v="1"/>
    <x v="0"/>
    <s v="Bossier City"/>
    <x v="27"/>
    <n v="71111"/>
    <x v="0"/>
    <s v="OFF-EN-10001532"/>
    <s v="Office Supplies"/>
    <s v="Envelopes"/>
    <s v="Brown Kraft Recycled Envelopes"/>
    <n v="50.94"/>
    <m/>
    <s v="Office Supplies"/>
    <s v="OS"/>
  </r>
  <r>
    <n v="769"/>
    <x v="276"/>
    <x v="228"/>
    <s v="20/05/2015"/>
    <s v="Standard Class"/>
    <s v="AJ-10795"/>
    <x v="276"/>
    <x v="1"/>
    <x v="0"/>
    <s v="Saint Petersburg"/>
    <x v="2"/>
    <n v="33710"/>
    <x v="0"/>
    <s v="FUR-FU-10004306"/>
    <s v="Furniture"/>
    <s v="Furnishings"/>
    <s v="Electrix Halogen Magnifier Lamp"/>
    <n v="310.88"/>
    <m/>
    <s v="Cardbaord"/>
    <s v="cardbaord"/>
  </r>
  <r>
    <n v="771"/>
    <x v="277"/>
    <x v="229"/>
    <s v="05/02/2018"/>
    <s v="Standard Class"/>
    <s v="BV-11245"/>
    <x v="277"/>
    <x v="1"/>
    <x v="0"/>
    <s v="Des Moines"/>
    <x v="22"/>
    <n v="50315"/>
    <x v="2"/>
    <s v="OFF-BI-10001036"/>
    <s v="Office Supplies"/>
    <s v="Binders"/>
    <s v="Cardinal EasyOpen D-Ring Binders"/>
    <n v="18.28"/>
    <m/>
    <s v="Office Supplies"/>
    <s v="OS"/>
  </r>
  <r>
    <n v="777"/>
    <x v="278"/>
    <x v="230"/>
    <s v="06/07/2015"/>
    <s v="Standard Class"/>
    <s v="DL-12865"/>
    <x v="278"/>
    <x v="0"/>
    <x v="0"/>
    <s v="Cincinnati"/>
    <x v="23"/>
    <n v="45231"/>
    <x v="3"/>
    <s v="OFF-AR-10003405"/>
    <s v="Office Supplies"/>
    <s v="Art"/>
    <s v="Dixon My First Ticonderoga Pencil, #2"/>
    <n v="32.76"/>
    <m/>
    <s v="Office Supplies"/>
    <s v="OS"/>
  </r>
  <r>
    <n v="784"/>
    <x v="279"/>
    <x v="231"/>
    <s v="06/10/2016"/>
    <s v="Second Class"/>
    <s v="BM-11785"/>
    <x v="279"/>
    <x v="0"/>
    <x v="0"/>
    <s v="Columbus"/>
    <x v="23"/>
    <n v="43229"/>
    <x v="3"/>
    <s v="FUR-BO-10004409"/>
    <s v="Furniture"/>
    <s v="Bookcases"/>
    <s v="Safco Value Mate Series Steel Bookcases, Baked Enamel Finish on Steel, Gray"/>
    <n v="35.49"/>
    <m/>
    <s v="Cardbaord"/>
    <s v="cardbaord"/>
  </r>
  <r>
    <n v="788"/>
    <x v="280"/>
    <x v="232"/>
    <s v="16/12/2016"/>
    <s v="Standard Class"/>
    <s v="LT-17110"/>
    <x v="280"/>
    <x v="0"/>
    <x v="0"/>
    <s v="Lancaster"/>
    <x v="1"/>
    <n v="93534"/>
    <x v="1"/>
    <s v="FUR-CH-10004675"/>
    <s v="Furniture"/>
    <s v="Chairs"/>
    <s v="Lifetime Advantage Folding Chairs, 4/Carton"/>
    <n v="348.928"/>
    <m/>
    <s v="Cardbaord"/>
    <s v="cardbaord"/>
  </r>
  <r>
    <n v="793"/>
    <x v="281"/>
    <x v="233"/>
    <s v="20/05/2017"/>
    <s v="Same Day"/>
    <s v="JK-15730"/>
    <x v="281"/>
    <x v="0"/>
    <x v="0"/>
    <s v="Asheville"/>
    <x v="3"/>
    <n v="28806"/>
    <x v="0"/>
    <s v="TEC-PH-10001530"/>
    <s v="Technology"/>
    <s v="Phones"/>
    <s v="Cisco Unified IP Phone 7945G VoIP phone"/>
    <n v="1363.96"/>
    <m/>
    <s v="Technology"/>
    <s v="Technology"/>
  </r>
  <r>
    <n v="794"/>
    <x v="282"/>
    <x v="55"/>
    <s v="26/09/2015"/>
    <s v="Standard Class"/>
    <s v="ES-14020"/>
    <x v="282"/>
    <x v="0"/>
    <x v="0"/>
    <s v="San Francisco"/>
    <x v="1"/>
    <n v="94110"/>
    <x v="1"/>
    <s v="OFF-LA-10001569"/>
    <s v="Office Supplies"/>
    <s v="Labels"/>
    <s v="Avery 499"/>
    <n v="9.9600000000000009"/>
    <m/>
    <s v="Office Supplies"/>
    <s v="OS"/>
  </r>
  <r>
    <n v="801"/>
    <x v="283"/>
    <x v="234"/>
    <s v="23/02/2018"/>
    <s v="First Class"/>
    <s v="HW-14935"/>
    <x v="283"/>
    <x v="1"/>
    <x v="0"/>
    <s v="San Diego"/>
    <x v="1"/>
    <n v="92105"/>
    <x v="1"/>
    <s v="FUR-FU-10004090"/>
    <s v="Furniture"/>
    <s v="Furnishings"/>
    <s v="Executive Impressions 14&quot; Contract Wall Clock"/>
    <n v="22.23"/>
    <m/>
    <s v="Cardbaord"/>
    <s v="cardbaord"/>
  </r>
  <r>
    <n v="804"/>
    <x v="284"/>
    <x v="235"/>
    <s v="17/03/2017"/>
    <s v="Standard Class"/>
    <s v="MC-18130"/>
    <x v="284"/>
    <x v="1"/>
    <x v="0"/>
    <s v="Monroe"/>
    <x v="27"/>
    <n v="71203"/>
    <x v="0"/>
    <s v="OFF-PA-10003953"/>
    <s v="Office Supplies"/>
    <s v="Paper"/>
    <s v="Xerox 218"/>
    <n v="12.96"/>
    <m/>
    <s v="Office Supplies"/>
    <s v="OS"/>
  </r>
  <r>
    <n v="805"/>
    <x v="285"/>
    <x v="236"/>
    <s v="24/04/2018"/>
    <s v="First Class"/>
    <s v="GM-14440"/>
    <x v="285"/>
    <x v="0"/>
    <x v="0"/>
    <s v="San Francisco"/>
    <x v="1"/>
    <n v="94122"/>
    <x v="1"/>
    <s v="FUR-FU-10000794"/>
    <s v="Furniture"/>
    <s v="Furnishings"/>
    <s v="Eldon Stackable Tray, Side-Load, Legal, Smoke"/>
    <n v="18.28"/>
    <m/>
    <s v="Cardbaord"/>
    <s v="cardbaord"/>
  </r>
  <r>
    <n v="815"/>
    <x v="286"/>
    <x v="237"/>
    <s v="14/05/2018"/>
    <s v="Same Day"/>
    <s v="PJ-19015"/>
    <x v="286"/>
    <x v="0"/>
    <x v="0"/>
    <s v="Santa Ana"/>
    <x v="1"/>
    <n v="92704"/>
    <x v="1"/>
    <s v="TEC-AC-10001838"/>
    <s v="Technology"/>
    <s v="Accessories"/>
    <s v="Razer Tiamat Over Ear 7.1 Surround Sound PC Gaming Headset"/>
    <n v="1399.93"/>
    <m/>
    <s v="Technology"/>
    <s v="Technology"/>
  </r>
  <r>
    <n v="823"/>
    <x v="287"/>
    <x v="238"/>
    <s v="27/06/2018"/>
    <s v="Standard Class"/>
    <s v="TR-21325"/>
    <x v="287"/>
    <x v="0"/>
    <x v="0"/>
    <s v="Belleville"/>
    <x v="29"/>
    <n v="7109"/>
    <x v="3"/>
    <s v="TEC-AC-10002402"/>
    <s v="Technology"/>
    <s v="Accessories"/>
    <s v="Razer Kraken PRO Over Ear PC and Music Headset"/>
    <n v="239.97"/>
    <m/>
    <s v="Technology"/>
    <s v="Technology"/>
  </r>
  <r>
    <n v="825"/>
    <x v="288"/>
    <x v="239"/>
    <s v="15/05/2015"/>
    <s v="Standard Class"/>
    <s v="PG-18820"/>
    <x v="288"/>
    <x v="0"/>
    <x v="0"/>
    <s v="San Francisco"/>
    <x v="1"/>
    <n v="94110"/>
    <x v="1"/>
    <s v="TEC-AC-10003441"/>
    <s v="Technology"/>
    <s v="Accessories"/>
    <s v="Kingston Digital DataTraveler 32GB USB 2.0"/>
    <n v="67.8"/>
    <m/>
    <s v="Technology"/>
    <s v="Technology"/>
  </r>
  <r>
    <n v="837"/>
    <x v="289"/>
    <x v="71"/>
    <s v="13/09/2015"/>
    <s v="Second Class"/>
    <s v="LH-17020"/>
    <x v="289"/>
    <x v="0"/>
    <x v="0"/>
    <s v="Tyler"/>
    <x v="5"/>
    <n v="75701"/>
    <x v="2"/>
    <s v="OFF-BI-10001071"/>
    <s v="Office Supplies"/>
    <s v="Binders"/>
    <s v="GBC ProClick Punch Binding System"/>
    <n v="51.183999999999997"/>
    <m/>
    <s v="Office Supplies"/>
    <s v="OS"/>
  </r>
  <r>
    <n v="838"/>
    <x v="290"/>
    <x v="211"/>
    <s v="11/11/2018"/>
    <s v="Standard Class"/>
    <s v="JL-15175"/>
    <x v="290"/>
    <x v="2"/>
    <x v="0"/>
    <s v="Columbia"/>
    <x v="18"/>
    <n v="38401"/>
    <x v="0"/>
    <s v="OFF-PA-10001560"/>
    <s v="Office Supplies"/>
    <s v="Paper"/>
    <s v="Adams Telephone Message Books, 5 1/4” x 11”"/>
    <n v="9.6639999999999997"/>
    <m/>
    <s v="Office Supplies"/>
    <s v="OS"/>
  </r>
  <r>
    <n v="841"/>
    <x v="291"/>
    <x v="240"/>
    <s v="25/11/2016"/>
    <s v="Standard Class"/>
    <s v="BM-11650"/>
    <x v="291"/>
    <x v="1"/>
    <x v="0"/>
    <s v="New York City"/>
    <x v="15"/>
    <n v="10035"/>
    <x v="3"/>
    <s v="OFF-AR-10002578"/>
    <s v="Office Supplies"/>
    <s v="Art"/>
    <s v="Newell 335"/>
    <n v="11.52"/>
    <m/>
    <s v="Office Supplies"/>
    <s v="OS"/>
  </r>
  <r>
    <n v="843"/>
    <x v="292"/>
    <x v="70"/>
    <s v="09/11/2017"/>
    <s v="First Class"/>
    <s v="EM-14095"/>
    <x v="292"/>
    <x v="1"/>
    <x v="0"/>
    <s v="Los Angeles"/>
    <x v="1"/>
    <n v="90036"/>
    <x v="1"/>
    <s v="OFF-BI-10001294"/>
    <s v="Office Supplies"/>
    <s v="Binders"/>
    <s v="Fellowes Binding Cases"/>
    <n v="37.44"/>
    <m/>
    <s v="Office Supplies"/>
    <s v="OS"/>
  </r>
  <r>
    <n v="849"/>
    <x v="293"/>
    <x v="241"/>
    <s v="06/01/2018"/>
    <s v="Standard Class"/>
    <s v="GA-14725"/>
    <x v="293"/>
    <x v="0"/>
    <x v="0"/>
    <s v="Lorain"/>
    <x v="23"/>
    <n v="44052"/>
    <x v="3"/>
    <s v="FUR-FU-10003878"/>
    <s v="Furniture"/>
    <s v="Furnishings"/>
    <s v="Linden 10&quot; Round Wall Clock, Black"/>
    <n v="48.896000000000001"/>
    <m/>
    <s v="Cardbaord"/>
    <s v="cardbaord"/>
  </r>
  <r>
    <n v="850"/>
    <x v="294"/>
    <x v="242"/>
    <s v="12/02/2015"/>
    <s v="Standard Class"/>
    <s v="CK-12760"/>
    <x v="294"/>
    <x v="1"/>
    <x v="0"/>
    <s v="Linden"/>
    <x v="29"/>
    <n v="7036"/>
    <x v="3"/>
    <s v="TEC-AC-10000710"/>
    <s v="Technology"/>
    <s v="Accessories"/>
    <s v="Maxell DVD-RAM Discs"/>
    <n v="115.36"/>
    <m/>
    <s v="Technology"/>
    <s v="Technology"/>
  </r>
  <r>
    <n v="851"/>
    <x v="295"/>
    <x v="22"/>
    <s v="25/06/2017"/>
    <s v="Second Class"/>
    <s v="DP-13105"/>
    <x v="295"/>
    <x v="1"/>
    <x v="0"/>
    <s v="Salinas"/>
    <x v="1"/>
    <n v="93905"/>
    <x v="1"/>
    <s v="OFF-AR-10002335"/>
    <s v="Office Supplies"/>
    <s v="Art"/>
    <s v="DIXON Oriole Pencils"/>
    <n v="5.16"/>
    <m/>
    <s v="Office Supplies"/>
    <s v="OS"/>
  </r>
  <r>
    <n v="856"/>
    <x v="296"/>
    <x v="84"/>
    <s v="08/08/2015"/>
    <s v="Standard Class"/>
    <s v="BK-11260"/>
    <x v="296"/>
    <x v="0"/>
    <x v="0"/>
    <s v="New York City"/>
    <x v="15"/>
    <n v="10035"/>
    <x v="3"/>
    <s v="OFF-PA-10001019"/>
    <s v="Office Supplies"/>
    <s v="Paper"/>
    <s v="Xerox 1884"/>
    <n v="39.96"/>
    <m/>
    <s v="Office Supplies"/>
    <s v="OS"/>
  </r>
  <r>
    <n v="862"/>
    <x v="297"/>
    <x v="3"/>
    <s v="16/06/2015"/>
    <s v="Standard Class"/>
    <s v="CM-12445"/>
    <x v="297"/>
    <x v="0"/>
    <x v="0"/>
    <s v="San Francisco"/>
    <x v="1"/>
    <n v="94122"/>
    <x v="1"/>
    <s v="OFF-AR-10003752"/>
    <s v="Office Supplies"/>
    <s v="Art"/>
    <s v="Deluxe Chalkboard Eraser Cleaner"/>
    <n v="23.1"/>
    <m/>
    <s v="Office Supplies"/>
    <s v="OS"/>
  </r>
  <r>
    <n v="866"/>
    <x v="298"/>
    <x v="243"/>
    <s v="15/01/2015"/>
    <s v="Standard Class"/>
    <s v="AJ-10780"/>
    <x v="298"/>
    <x v="1"/>
    <x v="0"/>
    <s v="Springfield"/>
    <x v="17"/>
    <n v="22153"/>
    <x v="0"/>
    <s v="OFF-LA-10004272"/>
    <s v="Office Supplies"/>
    <s v="Labels"/>
    <s v="Avery 482"/>
    <n v="2.89"/>
    <m/>
    <s v="Office Supplies"/>
    <s v="OS"/>
  </r>
  <r>
    <n v="868"/>
    <x v="299"/>
    <x v="244"/>
    <s v="02/10/2017"/>
    <s v="First Class"/>
    <s v="LS-16945"/>
    <x v="299"/>
    <x v="1"/>
    <x v="0"/>
    <s v="Philadelphia"/>
    <x v="9"/>
    <n v="19140"/>
    <x v="3"/>
    <s v="OFF-LA-10004853"/>
    <s v="Office Supplies"/>
    <s v="Labels"/>
    <s v="Avery 483"/>
    <n v="15.936"/>
    <m/>
    <s v="Office Supplies"/>
    <s v="OS"/>
  </r>
  <r>
    <n v="869"/>
    <x v="300"/>
    <x v="245"/>
    <s v="10/04/2015"/>
    <s v="Standard Class"/>
    <s v="GP-14740"/>
    <x v="300"/>
    <x v="1"/>
    <x v="0"/>
    <s v="Lancaster"/>
    <x v="9"/>
    <n v="17602"/>
    <x v="3"/>
    <s v="OFF-BI-10003719"/>
    <s v="Office Supplies"/>
    <s v="Binders"/>
    <s v="Large Capacity Hanging Post Binders"/>
    <n v="44.91"/>
    <m/>
    <s v="Office Supplies"/>
    <s v="OS"/>
  </r>
  <r>
    <n v="870"/>
    <x v="301"/>
    <x v="246"/>
    <s v="05/09/2017"/>
    <s v="First Class"/>
    <s v="PK-18910"/>
    <x v="301"/>
    <x v="2"/>
    <x v="0"/>
    <s v="Philadelphia"/>
    <x v="9"/>
    <n v="19143"/>
    <x v="3"/>
    <s v="OFF-BI-10000545"/>
    <s v="Office Supplies"/>
    <s v="Binders"/>
    <s v="GBC Ibimaster 500 Manual ProClick Binding System"/>
    <n v="1141.47"/>
    <m/>
    <s v="Office Supplies"/>
    <s v="OS"/>
  </r>
  <r>
    <n v="879"/>
    <x v="302"/>
    <x v="247"/>
    <s v="21/09/2015"/>
    <s v="Standard Class"/>
    <s v="AG-10765"/>
    <x v="302"/>
    <x v="2"/>
    <x v="0"/>
    <s v="Philadelphia"/>
    <x v="9"/>
    <n v="19120"/>
    <x v="3"/>
    <s v="OFF-BI-10003712"/>
    <s v="Office Supplies"/>
    <s v="Binders"/>
    <s v="Acco Pressboard Covers with Storage Hooks, 14 7/8&quot; x 11&quot;, Light Blue"/>
    <n v="5.8920000000000003"/>
    <m/>
    <s v="Office Supplies"/>
    <s v="OS"/>
  </r>
  <r>
    <n v="885"/>
    <x v="303"/>
    <x v="248"/>
    <s v="04/05/2015"/>
    <s v="Standard Class"/>
    <s v="LL-16840"/>
    <x v="303"/>
    <x v="0"/>
    <x v="0"/>
    <s v="Rochester"/>
    <x v="15"/>
    <n v="14609"/>
    <x v="3"/>
    <s v="FUR-FU-10001424"/>
    <s v="Furniture"/>
    <s v="Furnishings"/>
    <s v="Dax Clear Box Frame"/>
    <n v="17.46"/>
    <m/>
    <s v="Cardbaord"/>
    <s v="cardbaord"/>
  </r>
  <r>
    <n v="886"/>
    <x v="304"/>
    <x v="249"/>
    <s v="28/04/2016"/>
    <s v="Second Class"/>
    <s v="JS-15595"/>
    <x v="304"/>
    <x v="1"/>
    <x v="0"/>
    <s v="Los Angeles"/>
    <x v="1"/>
    <n v="90045"/>
    <x v="1"/>
    <s v="OFF-BI-10002071"/>
    <s v="Office Supplies"/>
    <s v="Binders"/>
    <s v="Fellowes Black Plastic Comb Bindings"/>
    <n v="13.944000000000001"/>
    <m/>
    <s v="Office Supplies"/>
    <s v="OS"/>
  </r>
  <r>
    <n v="890"/>
    <x v="305"/>
    <x v="238"/>
    <s v="26/06/2018"/>
    <s v="Standard Class"/>
    <s v="JE-15475"/>
    <x v="305"/>
    <x v="0"/>
    <x v="0"/>
    <s v="New Rochelle"/>
    <x v="15"/>
    <n v="10801"/>
    <x v="3"/>
    <s v="TEC-AC-10000927"/>
    <s v="Technology"/>
    <s v="Accessories"/>
    <s v="Anker Ultrathin Bluetooth Wireless Keyboard Aluminum Cover with Stand"/>
    <n v="149.94999999999999"/>
    <m/>
    <s v="Technology"/>
    <s v="Technology"/>
  </r>
  <r>
    <n v="892"/>
    <x v="306"/>
    <x v="250"/>
    <s v="27/06/2018"/>
    <s v="First Class"/>
    <s v="TH-21550"/>
    <x v="306"/>
    <x v="2"/>
    <x v="0"/>
    <s v="Detroit"/>
    <x v="12"/>
    <n v="48227"/>
    <x v="2"/>
    <s v="OFF-PA-10001622"/>
    <s v="Office Supplies"/>
    <s v="Paper"/>
    <s v="Ampad Poly Cover Wirebound Steno Book, 6&quot; x 9&quot; Assorted Colors, Gregg Ruled"/>
    <n v="4.54"/>
    <m/>
    <s v="Office Supplies"/>
    <s v="OS"/>
  </r>
  <r>
    <n v="896"/>
    <x v="307"/>
    <x v="251"/>
    <s v="12/11/2017"/>
    <s v="First Class"/>
    <s v="PC-18745"/>
    <x v="307"/>
    <x v="1"/>
    <x v="0"/>
    <s v="San Francisco"/>
    <x v="1"/>
    <n v="94122"/>
    <x v="1"/>
    <s v="OFF-BI-10003364"/>
    <s v="Office Supplies"/>
    <s v="Binders"/>
    <s v="Binding Machine Supplies"/>
    <n v="70.007999999999996"/>
    <m/>
    <s v="Office Supplies"/>
    <s v="OS"/>
  </r>
  <r>
    <n v="897"/>
    <x v="308"/>
    <x v="252"/>
    <s v="06/10/2017"/>
    <s v="Second Class"/>
    <s v="HL-15040"/>
    <x v="308"/>
    <x v="0"/>
    <x v="0"/>
    <s v="Houston"/>
    <x v="5"/>
    <n v="77095"/>
    <x v="2"/>
    <s v="OFF-EN-10001099"/>
    <s v="Office Supplies"/>
    <s v="Envelopes"/>
    <s v="Staple envelope"/>
    <n v="15.648"/>
    <m/>
    <s v="Office Supplies"/>
    <s v="OS"/>
  </r>
  <r>
    <n v="899"/>
    <x v="309"/>
    <x v="253"/>
    <s v="31/10/2018"/>
    <s v="Second Class"/>
    <s v="GB-14530"/>
    <x v="309"/>
    <x v="1"/>
    <x v="0"/>
    <s v="Auburn"/>
    <x v="15"/>
    <n v="13021"/>
    <x v="3"/>
    <s v="OFF-PA-10002250"/>
    <s v="Office Supplies"/>
    <s v="Paper"/>
    <s v="Things To Do Today Pad"/>
    <n v="46.96"/>
    <m/>
    <s v="Office Supplies"/>
    <s v="OS"/>
  </r>
  <r>
    <n v="900"/>
    <x v="310"/>
    <x v="254"/>
    <s v="12/04/2017"/>
    <s v="First Class"/>
    <s v="JR-16210"/>
    <x v="310"/>
    <x v="1"/>
    <x v="0"/>
    <s v="Springfield"/>
    <x v="23"/>
    <n v="45503"/>
    <x v="3"/>
    <s v="OFF-BI-10004716"/>
    <s v="Office Supplies"/>
    <s v="Binders"/>
    <s v="Wilson Jones Hanging Recycled Pressboard Data Binders"/>
    <n v="8.9039999999999999"/>
    <m/>
    <s v="Office Supplies"/>
    <s v="OS"/>
  </r>
  <r>
    <n v="910"/>
    <x v="311"/>
    <x v="255"/>
    <s v="07/09/2018"/>
    <s v="Standard Class"/>
    <s v="BE-11335"/>
    <x v="311"/>
    <x v="2"/>
    <x v="0"/>
    <s v="Jackson"/>
    <x v="12"/>
    <n v="49201"/>
    <x v="2"/>
    <s v="TEC-PH-10001494"/>
    <s v="Technology"/>
    <s v="Phones"/>
    <s v="Polycom CX600 IP Phone VoIP phone"/>
    <n v="1199.8"/>
    <m/>
    <s v="Technology"/>
    <s v="Technology"/>
  </r>
  <r>
    <n v="920"/>
    <x v="312"/>
    <x v="256"/>
    <s v="11/03/2017"/>
    <s v="Standard Class"/>
    <s v="RW-19630"/>
    <x v="312"/>
    <x v="1"/>
    <x v="0"/>
    <s v="Dallas"/>
    <x v="5"/>
    <n v="75220"/>
    <x v="2"/>
    <s v="OFF-ST-10001558"/>
    <s v="Office Supplies"/>
    <s v="Storage"/>
    <s v="Acco Perma 4000 Stacking Storage Drawers"/>
    <n v="12.992000000000001"/>
    <m/>
    <s v="Office Supplies"/>
    <s v="OS"/>
  </r>
  <r>
    <n v="922"/>
    <x v="313"/>
    <x v="257"/>
    <s v="15/04/2016"/>
    <s v="Standard Class"/>
    <s v="SE-20110"/>
    <x v="313"/>
    <x v="0"/>
    <x v="0"/>
    <s v="New York City"/>
    <x v="15"/>
    <n v="10009"/>
    <x v="3"/>
    <s v="TEC-AC-10002473"/>
    <s v="Technology"/>
    <s v="Accessories"/>
    <s v="Maxell 4.7GB DVD-R"/>
    <n v="85.14"/>
    <m/>
    <s v="Technology"/>
    <s v="Technology"/>
  </r>
  <r>
    <n v="926"/>
    <x v="314"/>
    <x v="94"/>
    <s v="16/09/2015"/>
    <s v="First Class"/>
    <s v="JM-15535"/>
    <x v="314"/>
    <x v="0"/>
    <x v="0"/>
    <s v="Philadelphia"/>
    <x v="9"/>
    <n v="19143"/>
    <x v="3"/>
    <s v="OFF-PA-10003543"/>
    <s v="Office Supplies"/>
    <s v="Paper"/>
    <s v="Xerox 1985"/>
    <n v="15.552"/>
    <m/>
    <s v="Office Supplies"/>
    <s v="OS"/>
  </r>
  <r>
    <n v="933"/>
    <x v="315"/>
    <x v="255"/>
    <s v="06/09/2018"/>
    <s v="Standard Class"/>
    <s v="RK-19300"/>
    <x v="315"/>
    <x v="0"/>
    <x v="0"/>
    <s v="Philadelphia"/>
    <x v="9"/>
    <n v="19140"/>
    <x v="3"/>
    <s v="OFF-PA-10002195"/>
    <s v="Office Supplies"/>
    <s v="Paper"/>
    <s v="RSVP Cards &amp; Envelopes, Blank White, 8-1/2&quot; X 11&quot;, 24 Cards/25 Envelopes/Set"/>
    <n v="12.192"/>
    <m/>
    <s v="Office Supplies"/>
    <s v="OS"/>
  </r>
  <r>
    <n v="934"/>
    <x v="316"/>
    <x v="22"/>
    <s v="24/06/2017"/>
    <s v="Standard Class"/>
    <s v="CG-12040"/>
    <x v="316"/>
    <x v="2"/>
    <x v="0"/>
    <s v="Philadelphia"/>
    <x v="9"/>
    <n v="19120"/>
    <x v="3"/>
    <s v="OFF-PA-10001745"/>
    <s v="Office Supplies"/>
    <s v="Paper"/>
    <s v="Wirebound Message Books, 2 7/8&quot; x 5&quot;, 3 Forms per Page"/>
    <n v="45.055999999999997"/>
    <m/>
    <s v="Office Supplies"/>
    <s v="OS"/>
  </r>
  <r>
    <n v="939"/>
    <x v="317"/>
    <x v="258"/>
    <s v="17/12/2016"/>
    <s v="Standard Class"/>
    <s v="RP-19270"/>
    <x v="317"/>
    <x v="1"/>
    <x v="0"/>
    <s v="Riverside"/>
    <x v="1"/>
    <n v="92503"/>
    <x v="1"/>
    <s v="OFF-PA-10000289"/>
    <s v="Office Supplies"/>
    <s v="Paper"/>
    <s v="Xerox 213"/>
    <n v="12.96"/>
    <m/>
    <s v="Office Supplies"/>
    <s v="OS"/>
  </r>
  <r>
    <n v="941"/>
    <x v="318"/>
    <x v="259"/>
    <s v="20/06/2017"/>
    <s v="First Class"/>
    <s v="KC-16255"/>
    <x v="318"/>
    <x v="1"/>
    <x v="0"/>
    <s v="San Francisco"/>
    <x v="1"/>
    <n v="94110"/>
    <x v="1"/>
    <s v="OFF-PA-10000350"/>
    <s v="Office Supplies"/>
    <s v="Paper"/>
    <s v="Message Book, Standard Line &quot;While You Were Out&quot;, 5 1/2&quot; X 4&quot;, 200 Sets/Book"/>
    <n v="17.12"/>
    <m/>
    <s v="Office Supplies"/>
    <s v="OS"/>
  </r>
  <r>
    <n v="953"/>
    <x v="319"/>
    <x v="260"/>
    <s v="07/04/2018"/>
    <s v="Standard Class"/>
    <s v="KH-16360"/>
    <x v="319"/>
    <x v="0"/>
    <x v="0"/>
    <s v="Philadelphia"/>
    <x v="9"/>
    <n v="19143"/>
    <x v="3"/>
    <s v="FUR-FU-10001940"/>
    <s v="Furniture"/>
    <s v="Furnishings"/>
    <s v="Staple-based wall hangings"/>
    <n v="25.472000000000001"/>
    <m/>
    <s v="Cardbaord"/>
    <s v="cardbaord"/>
  </r>
  <r>
    <n v="958"/>
    <x v="320"/>
    <x v="261"/>
    <s v="18/05/2018"/>
    <s v="Second Class"/>
    <s v="JA-15970"/>
    <x v="320"/>
    <x v="0"/>
    <x v="0"/>
    <s v="Phoenix"/>
    <x v="16"/>
    <n v="85023"/>
    <x v="1"/>
    <s v="OFF-BI-10004465"/>
    <s v="Office Supplies"/>
    <s v="Binders"/>
    <s v="Avery Durable Slant Ring Binders"/>
    <n v="4.7519999999999998"/>
    <m/>
    <s v="Office Supplies"/>
    <s v="OS"/>
  </r>
  <r>
    <n v="960"/>
    <x v="321"/>
    <x v="262"/>
    <s v="22/09/2016"/>
    <s v="Same Day"/>
    <s v="DL-12925"/>
    <x v="321"/>
    <x v="0"/>
    <x v="0"/>
    <s v="Oceanside"/>
    <x v="1"/>
    <n v="92054"/>
    <x v="1"/>
    <s v="FUR-FU-10004188"/>
    <s v="Furniture"/>
    <s v="Furnishings"/>
    <s v="Luxo Professional Combination Clamp-On Lamps"/>
    <n v="204.6"/>
    <m/>
    <s v="Cardbaord"/>
    <s v="cardbaord"/>
  </r>
  <r>
    <n v="962"/>
    <x v="322"/>
    <x v="135"/>
    <s v="01/12/2016"/>
    <s v="Standard Class"/>
    <s v="TB-21190"/>
    <x v="322"/>
    <x v="2"/>
    <x v="0"/>
    <s v="Fayetteville"/>
    <x v="35"/>
    <n v="72701"/>
    <x v="0"/>
    <s v="OFF-BI-10000145"/>
    <s v="Office Supplies"/>
    <s v="Binders"/>
    <s v="Zipper Ring Binder Pockets"/>
    <n v="6.24"/>
    <m/>
    <s v="Office Supplies"/>
    <s v="OS"/>
  </r>
  <r>
    <n v="964"/>
    <x v="323"/>
    <x v="263"/>
    <s v="24/09/2015"/>
    <s v="Second Class"/>
    <s v="MS-17365"/>
    <x v="323"/>
    <x v="0"/>
    <x v="0"/>
    <s v="Boca Raton"/>
    <x v="2"/>
    <n v="33433"/>
    <x v="0"/>
    <s v="OFF-LA-10001613"/>
    <s v="Office Supplies"/>
    <s v="Labels"/>
    <s v="Avery File Folder Labels"/>
    <n v="4.6079999999999997"/>
    <m/>
    <s v="Office Supplies"/>
    <s v="OS"/>
  </r>
  <r>
    <n v="965"/>
    <x v="324"/>
    <x v="264"/>
    <s v="11/04/2018"/>
    <s v="First Class"/>
    <s v="BS-11800"/>
    <x v="324"/>
    <x v="2"/>
    <x v="0"/>
    <s v="New York City"/>
    <x v="15"/>
    <n v="10011"/>
    <x v="3"/>
    <s v="OFF-LA-10004055"/>
    <s v="Office Supplies"/>
    <s v="Labels"/>
    <s v="Color-Coded Legal Exhibit Labels"/>
    <n v="9.82"/>
    <m/>
    <s v="Office Supplies"/>
    <s v="OS"/>
  </r>
  <r>
    <n v="982"/>
    <x v="325"/>
    <x v="7"/>
    <s v="14/11/2015"/>
    <s v="Second Class"/>
    <s v="TZ-21580"/>
    <x v="325"/>
    <x v="0"/>
    <x v="0"/>
    <s v="Louisville"/>
    <x v="21"/>
    <n v="80027"/>
    <x v="1"/>
    <s v="OFF-AR-10000034"/>
    <s v="Office Supplies"/>
    <s v="Art"/>
    <s v="BIC Brite Liner Grip Highlighters, Assorted, 5/Pack"/>
    <n v="3.3919999999999999"/>
    <m/>
    <s v="Office Supplies"/>
    <s v="OS"/>
  </r>
  <r>
    <n v="986"/>
    <x v="326"/>
    <x v="265"/>
    <s v="05/10/2018"/>
    <s v="Standard Class"/>
    <s v="AS-10630"/>
    <x v="326"/>
    <x v="2"/>
    <x v="0"/>
    <s v="Pasadena"/>
    <x v="5"/>
    <n v="77506"/>
    <x v="2"/>
    <s v="OFF-EN-10000461"/>
    <s v="Office Supplies"/>
    <s v="Envelopes"/>
    <s v="#10- 4 1/8&quot; x 9 1/2&quot; Recycled Envelopes"/>
    <n v="27.968"/>
    <m/>
    <s v="Office Supplies"/>
    <s v="OS"/>
  </r>
  <r>
    <n v="988"/>
    <x v="327"/>
    <x v="266"/>
    <s v="10/03/2016"/>
    <s v="Same Day"/>
    <s v="TS-21340"/>
    <x v="327"/>
    <x v="0"/>
    <x v="0"/>
    <s v="Houston"/>
    <x v="5"/>
    <n v="77041"/>
    <x v="2"/>
    <s v="OFF-BI-10004022"/>
    <s v="Office Supplies"/>
    <s v="Binders"/>
    <s v="Acco Suede Grain Vinyl Round Ring Binder"/>
    <n v="1.1120000000000001"/>
    <m/>
    <s v="Office Supplies"/>
    <s v="OS"/>
  </r>
  <r>
    <n v="995"/>
    <x v="328"/>
    <x v="267"/>
    <s v="25/05/2015"/>
    <s v="Standard Class"/>
    <s v="MW-18235"/>
    <x v="328"/>
    <x v="1"/>
    <x v="0"/>
    <s v="Virginia Beach"/>
    <x v="17"/>
    <n v="23464"/>
    <x v="0"/>
    <s v="OFF-BI-10003925"/>
    <s v="Office Supplies"/>
    <s v="Binders"/>
    <s v="Fellowes PB300 Plastic Comb Binding Machine"/>
    <n v="2715.93"/>
    <m/>
    <s v="Office Supplies"/>
    <s v="OS"/>
  </r>
  <r>
    <n v="997"/>
    <x v="329"/>
    <x v="268"/>
    <s v="03/11/2016"/>
    <s v="Standard Class"/>
    <s v="RD-19585"/>
    <x v="329"/>
    <x v="0"/>
    <x v="0"/>
    <s v="Henderson"/>
    <x v="0"/>
    <n v="42420"/>
    <x v="0"/>
    <s v="OFF-EN-10003862"/>
    <s v="Office Supplies"/>
    <s v="Envelopes"/>
    <s v="Laser &amp; Ink Jet Business Envelopes"/>
    <n v="10.67"/>
    <m/>
    <s v="Office Supplies"/>
    <s v="OS"/>
  </r>
  <r>
    <n v="1002"/>
    <x v="330"/>
    <x v="269"/>
    <s v="31/07/2016"/>
    <s v="Same Day"/>
    <s v="RH-19495"/>
    <x v="330"/>
    <x v="0"/>
    <x v="0"/>
    <s v="New York City"/>
    <x v="15"/>
    <n v="10024"/>
    <x v="3"/>
    <s v="TEC-AC-10003033"/>
    <s v="Technology"/>
    <s v="Accessories"/>
    <s v="Plantronics CS510 - Over-the-Head monaural Wireless Headset System"/>
    <n v="2309.65"/>
    <m/>
    <s v="Technology"/>
    <s v="Technology"/>
  </r>
  <r>
    <n v="1005"/>
    <x v="331"/>
    <x v="270"/>
    <s v="31/08/2016"/>
    <s v="Standard Class"/>
    <s v="RA-19945"/>
    <x v="331"/>
    <x v="0"/>
    <x v="0"/>
    <s v="Murrieta"/>
    <x v="1"/>
    <n v="92563"/>
    <x v="1"/>
    <s v="OFF-ST-10000046"/>
    <s v="Office Supplies"/>
    <s v="Storage"/>
    <s v="Fellowes Super Stor/Drawer Files"/>
    <n v="484.65"/>
    <m/>
    <s v="Office Supplies"/>
    <s v="OS"/>
  </r>
  <r>
    <n v="1008"/>
    <x v="332"/>
    <x v="271"/>
    <s v="09/11/2016"/>
    <s v="First Class"/>
    <s v="MT-17815"/>
    <x v="332"/>
    <x v="0"/>
    <x v="0"/>
    <s v="Scottsdale"/>
    <x v="16"/>
    <n v="85254"/>
    <x v="1"/>
    <s v="OFF-BI-10002049"/>
    <s v="Office Supplies"/>
    <s v="Binders"/>
    <s v="UniKeep View Case Binders"/>
    <n v="4.4009999999999998"/>
    <m/>
    <s v="Office Supplies"/>
    <s v="OS"/>
  </r>
  <r>
    <n v="1011"/>
    <x v="333"/>
    <x v="137"/>
    <s v="26/11/2015"/>
    <s v="First Class"/>
    <s v="VG-21790"/>
    <x v="333"/>
    <x v="0"/>
    <x v="0"/>
    <s v="San Diego"/>
    <x v="1"/>
    <n v="92037"/>
    <x v="1"/>
    <s v="FUR-FU-10001602"/>
    <s v="Furniture"/>
    <s v="Furnishings"/>
    <s v="Eldon Delta Triangular Chair Mat, 52&quot; x 58&quot;, Clear"/>
    <n v="151.72"/>
    <m/>
    <s v="Cardbaord"/>
    <s v="cardbaord"/>
  </r>
  <r>
    <n v="1015"/>
    <x v="334"/>
    <x v="272"/>
    <s v="24/12/2016"/>
    <s v="Second Class"/>
    <s v="JS-15880"/>
    <x v="334"/>
    <x v="0"/>
    <x v="0"/>
    <s v="Seattle"/>
    <x v="4"/>
    <n v="98103"/>
    <x v="1"/>
    <s v="TEC-AC-10003198"/>
    <s v="Technology"/>
    <s v="Accessories"/>
    <s v="Enermax Acrylux Wireless Keyboard"/>
    <n v="99.6"/>
    <m/>
    <s v="Technology"/>
    <s v="Technology"/>
  </r>
  <r>
    <n v="1017"/>
    <x v="335"/>
    <x v="273"/>
    <s v="10/07/2016"/>
    <s v="Standard Class"/>
    <s v="KM-16225"/>
    <x v="335"/>
    <x v="1"/>
    <x v="0"/>
    <s v="New York City"/>
    <x v="15"/>
    <n v="10011"/>
    <x v="3"/>
    <s v="FUR-FU-10002191"/>
    <s v="Furniture"/>
    <s v="Furnishings"/>
    <s v="G.E. Halogen Desk Lamp Bulbs"/>
    <n v="13.96"/>
    <m/>
    <s v="Cardbaord"/>
    <s v="cardbaord"/>
  </r>
  <r>
    <n v="1025"/>
    <x v="336"/>
    <x v="85"/>
    <s v="20/12/2018"/>
    <s v="First Class"/>
    <s v="HR-14770"/>
    <x v="336"/>
    <x v="2"/>
    <x v="0"/>
    <s v="Los Angeles"/>
    <x v="1"/>
    <n v="90045"/>
    <x v="1"/>
    <s v="OFF-BI-10000320"/>
    <s v="Office Supplies"/>
    <s v="Binders"/>
    <s v="GBC Plastic Binding Combs"/>
    <n v="11.808"/>
    <m/>
    <s v="Office Supplies"/>
    <s v="OS"/>
  </r>
  <r>
    <n v="1026"/>
    <x v="337"/>
    <x v="274"/>
    <s v="13/01/2017"/>
    <s v="Second Class"/>
    <s v="DE-13255"/>
    <x v="337"/>
    <x v="2"/>
    <x v="0"/>
    <s v="Springfield"/>
    <x v="23"/>
    <n v="45503"/>
    <x v="3"/>
    <s v="OFF-PA-10001166"/>
    <s v="Office Supplies"/>
    <s v="Paper"/>
    <s v="Xerox 2"/>
    <n v="15.552"/>
    <m/>
    <s v="Office Supplies"/>
    <s v="OS"/>
  </r>
  <r>
    <n v="1034"/>
    <x v="338"/>
    <x v="66"/>
    <s v="22/11/2017"/>
    <s v="First Class"/>
    <s v="AG-10390"/>
    <x v="338"/>
    <x v="0"/>
    <x v="0"/>
    <s v="Cincinnati"/>
    <x v="23"/>
    <n v="45231"/>
    <x v="3"/>
    <s v="OFF-PA-10000955"/>
    <s v="Office Supplies"/>
    <s v="Paper"/>
    <s v="Southworth 25% Cotton Granite Paper &amp; Envelopes"/>
    <n v="15.696"/>
    <m/>
    <s v="Office Supplies"/>
    <s v="OS"/>
  </r>
  <r>
    <n v="1037"/>
    <x v="339"/>
    <x v="158"/>
    <s v="26/04/2017"/>
    <s v="Standard Class"/>
    <s v="EL-13735"/>
    <x v="339"/>
    <x v="2"/>
    <x v="0"/>
    <s v="Jefferson City"/>
    <x v="24"/>
    <n v="65109"/>
    <x v="2"/>
    <s v="FUR-FU-10003975"/>
    <s v="Furniture"/>
    <s v="Furnishings"/>
    <s v="Eldon Advantage Chair Mats for Low to Medium Pile Carpets"/>
    <n v="86.62"/>
    <m/>
    <s v="Cardbaord"/>
    <s v="cardbaord"/>
  </r>
  <r>
    <n v="1038"/>
    <x v="340"/>
    <x v="275"/>
    <s v="14/06/2016"/>
    <s v="First Class"/>
    <s v="JJ-15445"/>
    <x v="340"/>
    <x v="0"/>
    <x v="0"/>
    <s v="Los Angeles"/>
    <x v="1"/>
    <n v="90004"/>
    <x v="1"/>
    <s v="OFF-BI-10003707"/>
    <s v="Office Supplies"/>
    <s v="Binders"/>
    <s v="Aluminum Screw Posts"/>
    <n v="36.624000000000002"/>
    <m/>
    <s v="Office Supplies"/>
    <s v="OS"/>
  </r>
  <r>
    <n v="1039"/>
    <x v="341"/>
    <x v="186"/>
    <s v="21/11/2018"/>
    <s v="First Class"/>
    <s v="JH-15430"/>
    <x v="341"/>
    <x v="0"/>
    <x v="0"/>
    <s v="Burlington"/>
    <x v="3"/>
    <n v="27217"/>
    <x v="0"/>
    <s v="OFF-AR-10000203"/>
    <s v="Office Supplies"/>
    <s v="Art"/>
    <s v="Newell 336"/>
    <n v="23.968"/>
    <m/>
    <s v="Office Supplies"/>
    <s v="OS"/>
  </r>
  <r>
    <n v="1042"/>
    <x v="342"/>
    <x v="43"/>
    <s v="09/09/2017"/>
    <s v="Second Class"/>
    <s v="MO-17500"/>
    <x v="342"/>
    <x v="0"/>
    <x v="0"/>
    <s v="New York City"/>
    <x v="15"/>
    <n v="10035"/>
    <x v="3"/>
    <s v="TEC-AC-10004761"/>
    <s v="Technology"/>
    <s v="Accessories"/>
    <s v="Maxell 4.7GB DVD+RW 3/Pack"/>
    <n v="31.86"/>
    <m/>
    <s v="Technology"/>
    <s v="Technology"/>
  </r>
  <r>
    <n v="1044"/>
    <x v="343"/>
    <x v="276"/>
    <s v="12/07/2018"/>
    <s v="First Class"/>
    <s v="NS-18640"/>
    <x v="343"/>
    <x v="1"/>
    <x v="0"/>
    <s v="Chicago"/>
    <x v="10"/>
    <n v="60610"/>
    <x v="2"/>
    <s v="OFF-AR-10001130"/>
    <s v="Office Supplies"/>
    <s v="Art"/>
    <s v="Quartet Alpha White Chalk, 12/Pack"/>
    <n v="8.84"/>
    <m/>
    <s v="Office Supplies"/>
    <s v="OS"/>
  </r>
  <r>
    <n v="1051"/>
    <x v="344"/>
    <x v="191"/>
    <s v="05/07/2016"/>
    <s v="First Class"/>
    <s v="DG-13300"/>
    <x v="344"/>
    <x v="1"/>
    <x v="0"/>
    <s v="Philadelphia"/>
    <x v="9"/>
    <n v="19134"/>
    <x v="3"/>
    <s v="FUR-FU-10000293"/>
    <s v="Furniture"/>
    <s v="Furnishings"/>
    <s v="Eldon Antistatic Chair Mats for Low to Medium Pile Carpets"/>
    <n v="168.464"/>
    <m/>
    <s v="Cardbaord"/>
    <s v="cardbaord"/>
  </r>
  <r>
    <n v="1054"/>
    <x v="345"/>
    <x v="277"/>
    <s v="08/04/2016"/>
    <s v="Standard Class"/>
    <s v="NF-18595"/>
    <x v="345"/>
    <x v="2"/>
    <x v="0"/>
    <s v="New York City"/>
    <x v="15"/>
    <n v="10009"/>
    <x v="3"/>
    <s v="OFF-AR-10000716"/>
    <s v="Office Supplies"/>
    <s v="Art"/>
    <s v="DIXON Ticonderoga Erasable Checking Pencils"/>
    <n v="11.16"/>
    <m/>
    <s v="Office Supplies"/>
    <s v="OS"/>
  </r>
  <r>
    <n v="1060"/>
    <x v="346"/>
    <x v="278"/>
    <s v="01/12/2017"/>
    <s v="Standard Class"/>
    <s v="MG-17650"/>
    <x v="346"/>
    <x v="2"/>
    <x v="0"/>
    <s v="Philadelphia"/>
    <x v="9"/>
    <n v="19143"/>
    <x v="3"/>
    <s v="OFF-FA-10001754"/>
    <s v="Office Supplies"/>
    <s v="Fasteners"/>
    <s v="Stockwell Gold Paper Clips"/>
    <n v="4.4160000000000004"/>
    <m/>
    <s v="Office Supplies"/>
    <s v="OS"/>
  </r>
  <r>
    <n v="1063"/>
    <x v="347"/>
    <x v="279"/>
    <s v="21/04/2016"/>
    <s v="Standard Class"/>
    <s v="TS-21160"/>
    <x v="347"/>
    <x v="1"/>
    <x v="0"/>
    <s v="Toledo"/>
    <x v="23"/>
    <n v="43615"/>
    <x v="3"/>
    <s v="OFF-FA-10004838"/>
    <s v="Office Supplies"/>
    <s v="Fasteners"/>
    <s v="Super Bands, 12/Pack"/>
    <n v="10.416"/>
    <m/>
    <s v="Office Supplies"/>
    <s v="OS"/>
  </r>
  <r>
    <n v="1073"/>
    <x v="348"/>
    <x v="199"/>
    <s v="19/11/2018"/>
    <s v="Standard Class"/>
    <s v="FO-14305"/>
    <x v="348"/>
    <x v="0"/>
    <x v="0"/>
    <s v="New York City"/>
    <x v="15"/>
    <n v="10035"/>
    <x v="3"/>
    <s v="OFF-BI-10003669"/>
    <s v="Office Supplies"/>
    <s v="Binders"/>
    <s v="3M Organizer Strips"/>
    <n v="8.64"/>
    <m/>
    <s v="Office Supplies"/>
    <s v="OS"/>
  </r>
  <r>
    <n v="1074"/>
    <x v="349"/>
    <x v="280"/>
    <s v="19/11/2017"/>
    <s v="Standard Class"/>
    <s v="MS-17710"/>
    <x v="349"/>
    <x v="0"/>
    <x v="0"/>
    <s v="Mesa"/>
    <x v="16"/>
    <n v="85204"/>
    <x v="1"/>
    <s v="OFF-BI-10003727"/>
    <s v="Office Supplies"/>
    <s v="Binders"/>
    <s v="Avery Durable Slant Ring Binders With Label Holder"/>
    <n v="6.27"/>
    <m/>
    <s v="Office Supplies"/>
    <s v="OS"/>
  </r>
  <r>
    <n v="1077"/>
    <x v="350"/>
    <x v="244"/>
    <s v="30/09/2017"/>
    <s v="First Class"/>
    <s v="CC-12100"/>
    <x v="350"/>
    <x v="2"/>
    <x v="0"/>
    <s v="Columbus"/>
    <x v="14"/>
    <n v="47201"/>
    <x v="2"/>
    <s v="OFF-AR-10000255"/>
    <s v="Office Supplies"/>
    <s v="Art"/>
    <s v="Newell 328"/>
    <n v="40.880000000000003"/>
    <m/>
    <s v="Office Supplies"/>
    <s v="OS"/>
  </r>
  <r>
    <n v="1078"/>
    <x v="351"/>
    <x v="281"/>
    <s v="25/09/2018"/>
    <s v="Second Class"/>
    <s v="DW-13540"/>
    <x v="351"/>
    <x v="0"/>
    <x v="0"/>
    <s v="Seattle"/>
    <x v="4"/>
    <n v="98105"/>
    <x v="1"/>
    <s v="OFF-AP-10002191"/>
    <s v="Office Supplies"/>
    <s v="Appliances"/>
    <s v="Belkin 8 Outlet SurgeMaster II Gold Surge Protector"/>
    <n v="119.96"/>
    <m/>
    <s v="Office Supplies"/>
    <s v="OS"/>
  </r>
  <r>
    <n v="1081"/>
    <x v="352"/>
    <x v="201"/>
    <s v="04/12/2016"/>
    <s v="Standard Class"/>
    <s v="BT-11395"/>
    <x v="352"/>
    <x v="1"/>
    <x v="0"/>
    <s v="Detroit"/>
    <x v="12"/>
    <n v="48227"/>
    <x v="2"/>
    <s v="OFF-PA-10000349"/>
    <s v="Office Supplies"/>
    <s v="Paper"/>
    <s v="Easy-staple paper"/>
    <n v="19.920000000000002"/>
    <m/>
    <s v="Office Supplies"/>
    <s v="OS"/>
  </r>
  <r>
    <n v="1089"/>
    <x v="353"/>
    <x v="204"/>
    <s v="20/08/2017"/>
    <s v="Second Class"/>
    <s v="CY-12745"/>
    <x v="353"/>
    <x v="1"/>
    <x v="0"/>
    <s v="Oakland"/>
    <x v="1"/>
    <n v="94601"/>
    <x v="1"/>
    <s v="OFF-LA-10000452"/>
    <s v="Office Supplies"/>
    <s v="Labels"/>
    <s v="Avery 488"/>
    <n v="3.15"/>
    <m/>
    <s v="Office Supplies"/>
    <s v="OS"/>
  </r>
  <r>
    <n v="1091"/>
    <x v="354"/>
    <x v="282"/>
    <s v="10/06/2018"/>
    <s v="Standard Class"/>
    <s v="LW-16990"/>
    <x v="354"/>
    <x v="1"/>
    <x v="0"/>
    <s v="Monroe"/>
    <x v="3"/>
    <n v="28110"/>
    <x v="0"/>
    <s v="TEC-PH-10001819"/>
    <s v="Technology"/>
    <s v="Phones"/>
    <s v="Innergie mMini Combo Duo USB Travel Charging Kit"/>
    <n v="71.983999999999995"/>
    <m/>
    <s v="Technology"/>
    <s v="Technology"/>
  </r>
  <r>
    <n v="1094"/>
    <x v="355"/>
    <x v="16"/>
    <s v="31/12/2016"/>
    <s v="Standard Class"/>
    <s v="BT-11485"/>
    <x v="355"/>
    <x v="2"/>
    <x v="0"/>
    <s v="Clinton"/>
    <x v="36"/>
    <n v="20735"/>
    <x v="3"/>
    <s v="OFF-PA-10000605"/>
    <s v="Office Supplies"/>
    <s v="Paper"/>
    <s v="Xerox 1950"/>
    <n v="28.9"/>
    <m/>
    <s v="Office Supplies"/>
    <s v="OS"/>
  </r>
  <r>
    <n v="1096"/>
    <x v="356"/>
    <x v="222"/>
    <s v="26/01/2018"/>
    <s v="Standard Class"/>
    <s v="PS-19045"/>
    <x v="356"/>
    <x v="2"/>
    <x v="0"/>
    <s v="Charlotte"/>
    <x v="3"/>
    <n v="28205"/>
    <x v="0"/>
    <s v="OFF-ST-10004340"/>
    <s v="Office Supplies"/>
    <s v="Storage"/>
    <s v="Fellowes Mobile File Cart, Black"/>
    <n v="348.20800000000003"/>
    <m/>
    <s v="Office Supplies"/>
    <s v="OS"/>
  </r>
  <r>
    <n v="1099"/>
    <x v="357"/>
    <x v="283"/>
    <s v="17/06/2017"/>
    <s v="First Class"/>
    <s v="PV-18985"/>
    <x v="357"/>
    <x v="2"/>
    <x v="0"/>
    <s v="San Francisco"/>
    <x v="1"/>
    <n v="94122"/>
    <x v="1"/>
    <s v="OFF-AR-10001545"/>
    <s v="Office Supplies"/>
    <s v="Art"/>
    <s v="Newell 326"/>
    <n v="7.04"/>
    <m/>
    <s v="Office Supplies"/>
    <s v="OS"/>
  </r>
  <r>
    <n v="1105"/>
    <x v="358"/>
    <x v="128"/>
    <s v="27/10/2017"/>
    <s v="Standard Class"/>
    <s v="NM-18520"/>
    <x v="358"/>
    <x v="0"/>
    <x v="0"/>
    <s v="Riverside"/>
    <x v="1"/>
    <n v="92503"/>
    <x v="1"/>
    <s v="OFF-PA-10001892"/>
    <s v="Office Supplies"/>
    <s v="Paper"/>
    <s v="Rediform Wirebound &quot;Phone Memo&quot; Message Book, 11 x 5-3/4"/>
    <n v="22.92"/>
    <m/>
    <s v="Office Supplies"/>
    <s v="OS"/>
  </r>
  <r>
    <n v="1120"/>
    <x v="359"/>
    <x v="284"/>
    <s v="08/09/2016"/>
    <s v="Standard Class"/>
    <s v="CS-12355"/>
    <x v="359"/>
    <x v="0"/>
    <x v="0"/>
    <s v="Roswell"/>
    <x v="31"/>
    <n v="30076"/>
    <x v="0"/>
    <s v="OFF-PA-10000141"/>
    <s v="Office Supplies"/>
    <s v="Paper"/>
    <s v="Ampad Evidence Wirebond Steno Books, 6&quot; x 9&quot;"/>
    <n v="4.3600000000000003"/>
    <m/>
    <s v="Office Supplies"/>
    <s v="OS"/>
  </r>
  <r>
    <n v="1135"/>
    <x v="360"/>
    <x v="285"/>
    <s v="09/06/2017"/>
    <s v="Standard Class"/>
    <s v="JS-15940"/>
    <x v="360"/>
    <x v="2"/>
    <x v="0"/>
    <s v="Philadelphia"/>
    <x v="9"/>
    <n v="19134"/>
    <x v="3"/>
    <s v="OFF-LA-10000973"/>
    <s v="Office Supplies"/>
    <s v="Labels"/>
    <s v="Avery 502"/>
    <n v="7.56"/>
    <m/>
    <s v="Office Supplies"/>
    <s v="OS"/>
  </r>
  <r>
    <n v="1137"/>
    <x v="361"/>
    <x v="280"/>
    <s v="15/11/2017"/>
    <s v="Second Class"/>
    <s v="FH-14275"/>
    <x v="361"/>
    <x v="1"/>
    <x v="0"/>
    <s v="La Porte"/>
    <x v="14"/>
    <n v="46350"/>
    <x v="2"/>
    <s v="OFF-EN-10002831"/>
    <s v="Office Supplies"/>
    <s v="Envelopes"/>
    <s v="Tyvek  Top-Opening Peel &amp; Seel  Envelopes, Gray"/>
    <n v="287.52"/>
    <m/>
    <s v="Office Supplies"/>
    <s v="OS"/>
  </r>
  <r>
    <n v="1147"/>
    <x v="362"/>
    <x v="277"/>
    <s v="04/04/2016"/>
    <s v="Same Day"/>
    <s v="NC-18340"/>
    <x v="362"/>
    <x v="0"/>
    <x v="0"/>
    <s v="Lansing"/>
    <x v="12"/>
    <n v="48911"/>
    <x v="2"/>
    <s v="OFF-AP-10003849"/>
    <s v="Office Supplies"/>
    <s v="Appliances"/>
    <s v="Hoover Shoulder Vac Commercial Portable Vacuum"/>
    <n v="644.07600000000002"/>
    <m/>
    <s v="Office Supplies"/>
    <s v="OS"/>
  </r>
  <r>
    <n v="1163"/>
    <x v="363"/>
    <x v="184"/>
    <s v="08/03/2015"/>
    <s v="Standard Class"/>
    <s v="AP-10720"/>
    <x v="363"/>
    <x v="2"/>
    <x v="0"/>
    <s v="New York City"/>
    <x v="15"/>
    <n v="10035"/>
    <x v="3"/>
    <s v="TEC-PH-10004700"/>
    <s v="Technology"/>
    <s v="Phones"/>
    <s v="PowerGen Dual USB Car Charger"/>
    <n v="9.99"/>
    <m/>
    <s v="Technology"/>
    <s v="Technology"/>
  </r>
  <r>
    <n v="1172"/>
    <x v="364"/>
    <x v="286"/>
    <s v="14/03/2015"/>
    <s v="Standard Class"/>
    <s v="SW-20275"/>
    <x v="364"/>
    <x v="0"/>
    <x v="0"/>
    <s v="Royal Oak"/>
    <x v="12"/>
    <n v="48073"/>
    <x v="2"/>
    <s v="OFF-PA-10002259"/>
    <s v="Office Supplies"/>
    <s v="Paper"/>
    <s v="Geographics Note Cards, Blank, White, 8 1/2&quot; x 11&quot;"/>
    <n v="22.38"/>
    <m/>
    <s v="Office Supplies"/>
    <s v="OS"/>
  </r>
  <r>
    <n v="1177"/>
    <x v="365"/>
    <x v="287"/>
    <s v="30/12/2015"/>
    <s v="Second Class"/>
    <s v="AT-10435"/>
    <x v="365"/>
    <x v="2"/>
    <x v="0"/>
    <s v="Los Angeles"/>
    <x v="1"/>
    <n v="90004"/>
    <x v="1"/>
    <s v="OFF-LA-10004425"/>
    <s v="Office Supplies"/>
    <s v="Labels"/>
    <s v="Staple-on labels"/>
    <n v="11.56"/>
    <m/>
    <s v="Office Supplies"/>
    <s v="OS"/>
  </r>
  <r>
    <n v="1185"/>
    <x v="366"/>
    <x v="137"/>
    <s v="30/11/2015"/>
    <s v="Standard Class"/>
    <s v="HR-14830"/>
    <x v="366"/>
    <x v="1"/>
    <x v="0"/>
    <s v="Seattle"/>
    <x v="4"/>
    <n v="98103"/>
    <x v="1"/>
    <s v="OFF-BI-10004656"/>
    <s v="Office Supplies"/>
    <s v="Binders"/>
    <s v="Peel &amp; Stick Add-On Corner Pockets"/>
    <n v="12.096"/>
    <m/>
    <s v="Office Supplies"/>
    <s v="OS"/>
  </r>
  <r>
    <n v="1190"/>
    <x v="367"/>
    <x v="288"/>
    <s v="28/02/2018"/>
    <s v="Second Class"/>
    <s v="BT-11530"/>
    <x v="367"/>
    <x v="2"/>
    <x v="0"/>
    <s v="Los Angeles"/>
    <x v="1"/>
    <n v="90036"/>
    <x v="1"/>
    <s v="TEC-PH-10004447"/>
    <s v="Technology"/>
    <s v="Phones"/>
    <s v="Toshiba IPT2010-SD IP Telephone"/>
    <n v="889.53599999999994"/>
    <m/>
    <s v="Technology"/>
    <s v="Technology"/>
  </r>
  <r>
    <n v="1210"/>
    <x v="368"/>
    <x v="195"/>
    <s v="18/07/2017"/>
    <s v="Second Class"/>
    <s v="SW-20755"/>
    <x v="368"/>
    <x v="1"/>
    <x v="0"/>
    <s v="New York City"/>
    <x v="15"/>
    <n v="10009"/>
    <x v="3"/>
    <s v="OFF-AR-10004999"/>
    <s v="Office Supplies"/>
    <s v="Art"/>
    <s v="Newell 315"/>
    <n v="41.86"/>
    <m/>
    <s v="Office Supplies"/>
    <s v="OS"/>
  </r>
  <r>
    <n v="1214"/>
    <x v="369"/>
    <x v="289"/>
    <s v="13/09/2018"/>
    <s v="Standard Class"/>
    <s v="SP-20620"/>
    <x v="369"/>
    <x v="1"/>
    <x v="0"/>
    <s v="Philadelphia"/>
    <x v="9"/>
    <n v="19134"/>
    <x v="3"/>
    <s v="OFF-BI-10002432"/>
    <s v="Office Supplies"/>
    <s v="Binders"/>
    <s v="Wilson Jones Standard D-Ring Binders"/>
    <n v="3.036"/>
    <m/>
    <s v="Office Supplies"/>
    <s v="OS"/>
  </r>
  <r>
    <n v="1222"/>
    <x v="370"/>
    <x v="122"/>
    <s v="16/07/2015"/>
    <s v="Standard Class"/>
    <s v="BF-11170"/>
    <x v="370"/>
    <x v="2"/>
    <x v="0"/>
    <s v="Los Angeles"/>
    <x v="1"/>
    <n v="90036"/>
    <x v="1"/>
    <s v="TEC-PH-10000439"/>
    <s v="Technology"/>
    <s v="Phones"/>
    <s v="GE DSL Phone Line Filter"/>
    <n v="255.93600000000001"/>
    <m/>
    <s v="Technology"/>
    <s v="Technology"/>
  </r>
  <r>
    <n v="1233"/>
    <x v="371"/>
    <x v="290"/>
    <s v="02/11/2016"/>
    <s v="Second Class"/>
    <s v="KT-16480"/>
    <x v="371"/>
    <x v="0"/>
    <x v="0"/>
    <s v="Buffalo"/>
    <x v="15"/>
    <n v="14215"/>
    <x v="3"/>
    <s v="OFF-EN-10003055"/>
    <s v="Office Supplies"/>
    <s v="Envelopes"/>
    <s v="Blue String-Tie &amp; Button Interoffice Envelopes, 10 x 13"/>
    <n v="79.959999999999994"/>
    <m/>
    <s v="Office Supplies"/>
    <s v="OS"/>
  </r>
  <r>
    <n v="1234"/>
    <x v="372"/>
    <x v="168"/>
    <s v="01/06/2017"/>
    <s v="First Class"/>
    <s v="BG-11695"/>
    <x v="372"/>
    <x v="1"/>
    <x v="0"/>
    <s v="Cincinnati"/>
    <x v="23"/>
    <n v="45231"/>
    <x v="3"/>
    <s v="TEC-CO-10001046"/>
    <s v="Technology"/>
    <s v="Copiers"/>
    <s v="Canon Imageclass D680 Copier / Fax"/>
    <n v="839.98800000000006"/>
    <m/>
    <s v="Technology"/>
    <s v="Technology"/>
  </r>
  <r>
    <n v="1239"/>
    <x v="373"/>
    <x v="291"/>
    <s v="15/08/2015"/>
    <s v="Standard Class"/>
    <s v="GM-14680"/>
    <x v="373"/>
    <x v="0"/>
    <x v="0"/>
    <s v="Seattle"/>
    <x v="4"/>
    <n v="98105"/>
    <x v="1"/>
    <s v="FUR-FU-10003691"/>
    <s v="Furniture"/>
    <s v="Furnishings"/>
    <s v="Eldon Image Series Desk Accessories, Ebony"/>
    <n v="12.35"/>
    <m/>
    <s v="Cardbaord"/>
    <s v="cardbaord"/>
  </r>
  <r>
    <n v="1245"/>
    <x v="374"/>
    <x v="237"/>
    <s v="21/05/2018"/>
    <s v="Standard Class"/>
    <s v="EJ-14155"/>
    <x v="374"/>
    <x v="0"/>
    <x v="0"/>
    <s v="Gulfport"/>
    <x v="34"/>
    <n v="39503"/>
    <x v="0"/>
    <s v="OFF-EN-10004955"/>
    <s v="Office Supplies"/>
    <s v="Envelopes"/>
    <s v="Fashion Color Clasp Envelopes"/>
    <n v="48.69"/>
    <m/>
    <s v="Office Supplies"/>
    <s v="OS"/>
  </r>
  <r>
    <n v="1246"/>
    <x v="375"/>
    <x v="292"/>
    <s v="14/12/2015"/>
    <s v="Second Class"/>
    <s v="NP-18700"/>
    <x v="375"/>
    <x v="0"/>
    <x v="0"/>
    <s v="Fresno"/>
    <x v="1"/>
    <n v="93727"/>
    <x v="1"/>
    <s v="FUR-TA-10004619"/>
    <s v="Furniture"/>
    <s v="Tables"/>
    <s v="Hon Non-Folding Utility Tables"/>
    <n v="764.68799999999999"/>
    <m/>
    <s v="Cardbaord"/>
    <s v="cardbaord"/>
  </r>
  <r>
    <n v="1256"/>
    <x v="376"/>
    <x v="293"/>
    <s v="14/03/2018"/>
    <s v="Standard Class"/>
    <s v="MH-18115"/>
    <x v="376"/>
    <x v="2"/>
    <x v="0"/>
    <s v="Chester"/>
    <x v="9"/>
    <n v="19013"/>
    <x v="3"/>
    <s v="FUR-FU-10003724"/>
    <s v="Furniture"/>
    <s v="Furnishings"/>
    <s v="Westinghouse Clip-On Gooseneck Lamps"/>
    <n v="6.6959999999999997"/>
    <m/>
    <s v="Cardbaord"/>
    <s v="cardbaord"/>
  </r>
  <r>
    <n v="1261"/>
    <x v="377"/>
    <x v="294"/>
    <s v="27/10/2018"/>
    <s v="Standard Class"/>
    <s v="JR-15700"/>
    <x v="377"/>
    <x v="0"/>
    <x v="0"/>
    <s v="Jacksonville"/>
    <x v="2"/>
    <n v="32216"/>
    <x v="0"/>
    <s v="TEC-PH-10004586"/>
    <s v="Technology"/>
    <s v="Phones"/>
    <s v="Wilson SignalBoost 841262 DB PRO Amplifier Kit"/>
    <n v="863.88"/>
    <m/>
    <s v="Technology"/>
    <s v="Technology"/>
  </r>
  <r>
    <n v="1262"/>
    <x v="378"/>
    <x v="90"/>
    <s v="04/11/2017"/>
    <s v="Standard Class"/>
    <s v="SM-20950"/>
    <x v="378"/>
    <x v="1"/>
    <x v="0"/>
    <s v="Greenville"/>
    <x v="3"/>
    <n v="27834"/>
    <x v="0"/>
    <s v="OFF-BI-10004236"/>
    <s v="Office Supplies"/>
    <s v="Binders"/>
    <s v="XtraLife ClearVue Slant-D Ring Binder, White, 3&quot;"/>
    <n v="17.616"/>
    <m/>
    <s v="Office Supplies"/>
    <s v="OS"/>
  </r>
  <r>
    <n v="1266"/>
    <x v="379"/>
    <x v="255"/>
    <s v="07/09/2018"/>
    <s v="Standard Class"/>
    <s v="PF-19225"/>
    <x v="379"/>
    <x v="0"/>
    <x v="0"/>
    <s v="San Francisco"/>
    <x v="1"/>
    <n v="94122"/>
    <x v="1"/>
    <s v="OFF-AR-10000422"/>
    <s v="Office Supplies"/>
    <s v="Art"/>
    <s v="Pencil and Crayon Sharpener"/>
    <n v="6.57"/>
    <m/>
    <s v="Office Supplies"/>
    <s v="OS"/>
  </r>
  <r>
    <n v="1270"/>
    <x v="380"/>
    <x v="282"/>
    <s v="08/06/2018"/>
    <s v="Standard Class"/>
    <s v="DC-12850"/>
    <x v="380"/>
    <x v="0"/>
    <x v="0"/>
    <s v="Florence"/>
    <x v="19"/>
    <n v="35630"/>
    <x v="0"/>
    <s v="OFF-PA-10002870"/>
    <s v="Office Supplies"/>
    <s v="Paper"/>
    <s v="Ampad Phone Message Book, Recycled, 400 Message Capacity, 5 ¾” x 11”"/>
    <n v="12.48"/>
    <m/>
    <s v="Office Supplies"/>
    <s v="OS"/>
  </r>
  <r>
    <n v="1271"/>
    <x v="381"/>
    <x v="295"/>
    <s v="26/04/2017"/>
    <s v="Standard Class"/>
    <s v="SP-20545"/>
    <x v="381"/>
    <x v="1"/>
    <x v="0"/>
    <s v="Chicago"/>
    <x v="10"/>
    <n v="60623"/>
    <x v="2"/>
    <s v="OFF-ST-10000563"/>
    <s v="Office Supplies"/>
    <s v="Storage"/>
    <s v="Fellowes Bankers Box Stor/Drawer Steel Plus"/>
    <n v="102.336"/>
    <m/>
    <s v="Office Supplies"/>
    <s v="OS"/>
  </r>
  <r>
    <n v="1278"/>
    <x v="382"/>
    <x v="296"/>
    <s v="07/05/2017"/>
    <s v="Standard Class"/>
    <s v="BD-11770"/>
    <x v="382"/>
    <x v="0"/>
    <x v="0"/>
    <s v="Houston"/>
    <x v="5"/>
    <n v="77070"/>
    <x v="2"/>
    <s v="OFF-AR-10004022"/>
    <s v="Office Supplies"/>
    <s v="Art"/>
    <s v="Panasonic KP-380BK Classic Electric Pencil Sharpener"/>
    <n v="86.352000000000004"/>
    <m/>
    <s v="Office Supplies"/>
    <s v="OS"/>
  </r>
  <r>
    <n v="1290"/>
    <x v="383"/>
    <x v="297"/>
    <s v="26/11/2017"/>
    <s v="Standard Class"/>
    <s v="TB-21355"/>
    <x v="383"/>
    <x v="1"/>
    <x v="0"/>
    <s v="New York City"/>
    <x v="15"/>
    <n v="10009"/>
    <x v="3"/>
    <s v="OFF-AR-10001860"/>
    <s v="Office Supplies"/>
    <s v="Art"/>
    <s v="BIC Liqua Brite Liner"/>
    <n v="20.82"/>
    <m/>
    <s v="Office Supplies"/>
    <s v="OS"/>
  </r>
  <r>
    <n v="1303"/>
    <x v="384"/>
    <x v="298"/>
    <s v="24/09/2016"/>
    <s v="Second Class"/>
    <s v="TC-21535"/>
    <x v="384"/>
    <x v="2"/>
    <x v="0"/>
    <s v="Arlington"/>
    <x v="17"/>
    <n v="22204"/>
    <x v="0"/>
    <s v="FUR-BO-10003433"/>
    <s v="Furniture"/>
    <s v="Bookcases"/>
    <s v="Sauder Cornerstone Collection Library"/>
    <n v="61.96"/>
    <m/>
    <s v="Cardbaord"/>
    <s v="cardbaord"/>
  </r>
  <r>
    <n v="1304"/>
    <x v="385"/>
    <x v="299"/>
    <s v="07/07/2018"/>
    <s v="Standard Class"/>
    <s v="CS-12460"/>
    <x v="385"/>
    <x v="0"/>
    <x v="0"/>
    <s v="Columbus"/>
    <x v="31"/>
    <n v="31907"/>
    <x v="0"/>
    <s v="FUR-FU-10002554"/>
    <s v="Furniture"/>
    <s v="Furnishings"/>
    <s v="Westinghouse Floor Lamp with Metal Mesh Shade, Black"/>
    <n v="23.99"/>
    <m/>
    <s v="Cardbaord"/>
    <s v="cardbaord"/>
  </r>
  <r>
    <n v="1315"/>
    <x v="386"/>
    <x v="110"/>
    <s v="23/12/2017"/>
    <s v="Standard Class"/>
    <s v="HG-14965"/>
    <x v="386"/>
    <x v="1"/>
    <x v="0"/>
    <s v="Los Angeles"/>
    <x v="1"/>
    <n v="90032"/>
    <x v="1"/>
    <s v="OFF-PA-10003072"/>
    <s v="Office Supplies"/>
    <s v="Paper"/>
    <s v="Eureka Recycled Copy Paper 8 1/2&quot; x 11&quot;, Ream"/>
    <n v="38.880000000000003"/>
    <m/>
    <s v="Office Supplies"/>
    <s v="OS"/>
  </r>
  <r>
    <n v="1323"/>
    <x v="387"/>
    <x v="300"/>
    <s v="08/03/2018"/>
    <s v="Standard Class"/>
    <s v="LP-17095"/>
    <x v="387"/>
    <x v="0"/>
    <x v="0"/>
    <s v="Murray"/>
    <x v="0"/>
    <n v="42071"/>
    <x v="0"/>
    <s v="OFF-AP-10004859"/>
    <s v="Office Supplies"/>
    <s v="Appliances"/>
    <s v="Acco 6 Outlet Guardian Premium Surge Suppressor"/>
    <n v="72.8"/>
    <m/>
    <s v="Office Supplies"/>
    <s v="OS"/>
  </r>
  <r>
    <n v="1324"/>
    <x v="388"/>
    <x v="301"/>
    <s v="10/10/2018"/>
    <s v="First Class"/>
    <s v="EB-14170"/>
    <x v="388"/>
    <x v="0"/>
    <x v="0"/>
    <s v="Wilmington"/>
    <x v="3"/>
    <n v="28403"/>
    <x v="0"/>
    <s v="OFF-PA-10002659"/>
    <s v="Office Supplies"/>
    <s v="Paper"/>
    <s v="Avoid Verbal Orders Carbonless Minifold Book"/>
    <n v="10.816000000000001"/>
    <m/>
    <s v="Office Supplies"/>
    <s v="OS"/>
  </r>
  <r>
    <n v="1329"/>
    <x v="389"/>
    <x v="302"/>
    <s v="18/10/2018"/>
    <s v="Second Class"/>
    <s v="FG-14260"/>
    <x v="389"/>
    <x v="2"/>
    <x v="0"/>
    <s v="San Francisco"/>
    <x v="1"/>
    <n v="94110"/>
    <x v="1"/>
    <s v="OFF-AR-10002818"/>
    <s v="Office Supplies"/>
    <s v="Art"/>
    <s v="Panasonic KP-310 Heavy-Duty Electric Pencil Sharpener"/>
    <n v="87.92"/>
    <m/>
    <s v="Office Supplies"/>
    <s v="OS"/>
  </r>
  <r>
    <n v="1334"/>
    <x v="390"/>
    <x v="303"/>
    <s v="21/02/2015"/>
    <s v="Standard Class"/>
    <s v="MN-17935"/>
    <x v="390"/>
    <x v="0"/>
    <x v="0"/>
    <s v="Dallas"/>
    <x v="5"/>
    <n v="75220"/>
    <x v="2"/>
    <s v="OFF-AP-10001303"/>
    <s v="Office Supplies"/>
    <s v="Appliances"/>
    <s v="Holmes Cool Mist Humidifier for the Whole House with 8-Gallon Output per Day, Extended Life Filter"/>
    <n v="7.96"/>
    <m/>
    <s v="Office Supplies"/>
    <s v="OS"/>
  </r>
  <r>
    <n v="1336"/>
    <x v="391"/>
    <x v="304"/>
    <s v="23/05/2017"/>
    <s v="Standard Class"/>
    <s v="JR-15670"/>
    <x v="391"/>
    <x v="0"/>
    <x v="0"/>
    <s v="Middletown"/>
    <x v="28"/>
    <n v="6457"/>
    <x v="3"/>
    <s v="OFF-ST-10002574"/>
    <s v="Office Supplies"/>
    <s v="Storage"/>
    <s v="SAFCO Commercial Wire Shelving, Black"/>
    <n v="552.55999999999995"/>
    <m/>
    <s v="Office Supplies"/>
    <s v="OS"/>
  </r>
  <r>
    <n v="1338"/>
    <x v="392"/>
    <x v="305"/>
    <s v="02/04/2018"/>
    <s v="Second Class"/>
    <s v="CM-12115"/>
    <x v="392"/>
    <x v="0"/>
    <x v="0"/>
    <s v="New York City"/>
    <x v="15"/>
    <n v="10011"/>
    <x v="3"/>
    <s v="FUR-FU-10004018"/>
    <s v="Furniture"/>
    <s v="Furnishings"/>
    <s v="Tensor Computer Mounted Lamp"/>
    <n v="29.78"/>
    <m/>
    <s v="Cardbaord"/>
    <s v="cardbaord"/>
  </r>
  <r>
    <n v="1341"/>
    <x v="393"/>
    <x v="306"/>
    <s v="04/01/2018"/>
    <s v="First Class"/>
    <s v="AS-10045"/>
    <x v="393"/>
    <x v="1"/>
    <x v="0"/>
    <s v="Jacksonville"/>
    <x v="3"/>
    <n v="28540"/>
    <x v="0"/>
    <s v="TEC-MA-10002178"/>
    <s v="Technology"/>
    <s v="Machines"/>
    <s v="Cisco CP-7937G Unified IP Conference Station Phone"/>
    <n v="695.7"/>
    <m/>
    <s v="Technology"/>
    <s v="Technology"/>
  </r>
  <r>
    <n v="1358"/>
    <x v="394"/>
    <x v="307"/>
    <s v="07/05/2017"/>
    <s v="First Class"/>
    <s v="ND-18370"/>
    <x v="394"/>
    <x v="0"/>
    <x v="0"/>
    <s v="Louisville"/>
    <x v="0"/>
    <n v="40214"/>
    <x v="0"/>
    <s v="OFF-PA-10003641"/>
    <s v="Office Supplies"/>
    <s v="Paper"/>
    <s v="Xerox 1909"/>
    <n v="79.14"/>
    <m/>
    <s v="Office Supplies"/>
    <s v="OS"/>
  </r>
  <r>
    <n v="1360"/>
    <x v="395"/>
    <x v="308"/>
    <s v="01/10/2015"/>
    <s v="Second Class"/>
    <s v="KT-16465"/>
    <x v="395"/>
    <x v="0"/>
    <x v="0"/>
    <s v="Los Angeles"/>
    <x v="1"/>
    <n v="90049"/>
    <x v="1"/>
    <s v="FUR-CH-10002961"/>
    <s v="Furniture"/>
    <s v="Chairs"/>
    <s v="Leather Task Chair, Black"/>
    <n v="145.56800000000001"/>
    <m/>
    <s v="Cardbaord"/>
    <s v="cardbaord"/>
  </r>
  <r>
    <n v="1362"/>
    <x v="396"/>
    <x v="14"/>
    <s v="25/10/2018"/>
    <s v="Standard Class"/>
    <s v="HM-14860"/>
    <x v="396"/>
    <x v="1"/>
    <x v="0"/>
    <s v="Philadelphia"/>
    <x v="9"/>
    <n v="19120"/>
    <x v="3"/>
    <s v="OFF-PA-10004041"/>
    <s v="Office Supplies"/>
    <s v="Paper"/>
    <s v="It's Hot Message Books with Stickers, 2 3/4&quot; x 5&quot;"/>
    <n v="23.68"/>
    <m/>
    <s v="Office Supplies"/>
    <s v="OS"/>
  </r>
  <r>
    <n v="1365"/>
    <x v="397"/>
    <x v="309"/>
    <s v="11/11/2018"/>
    <s v="First Class"/>
    <s v="AB-10600"/>
    <x v="397"/>
    <x v="1"/>
    <x v="0"/>
    <s v="Tucson"/>
    <x v="16"/>
    <n v="85705"/>
    <x v="1"/>
    <s v="TEC-MA-10003183"/>
    <s v="Technology"/>
    <s v="Machines"/>
    <s v="DYMO CardScan Personal V9 Business Card Scanner"/>
    <n v="95.994"/>
    <m/>
    <s v="Technology"/>
    <s v="Technology"/>
  </r>
  <r>
    <n v="1372"/>
    <x v="398"/>
    <x v="310"/>
    <s v="12/03/2018"/>
    <s v="Standard Class"/>
    <s v="MG-17890"/>
    <x v="398"/>
    <x v="2"/>
    <x v="0"/>
    <s v="Clinton"/>
    <x v="36"/>
    <n v="20735"/>
    <x v="3"/>
    <s v="TEC-AC-10004510"/>
    <s v="Technology"/>
    <s v="Accessories"/>
    <s v="Logitech Desktop MK120 Mouse and keyboard Combo"/>
    <n v="49.08"/>
    <m/>
    <s v="Technology"/>
    <s v="Technology"/>
  </r>
  <r>
    <n v="1384"/>
    <x v="399"/>
    <x v="311"/>
    <s v="05/02/2017"/>
    <s v="Same Day"/>
    <s v="PP-18955"/>
    <x v="399"/>
    <x v="2"/>
    <x v="0"/>
    <s v="Smyrna"/>
    <x v="31"/>
    <n v="30080"/>
    <x v="0"/>
    <s v="OFF-PA-10001289"/>
    <s v="Office Supplies"/>
    <s v="Paper"/>
    <s v="White Computer Printout Paper by Universal"/>
    <n v="348.84"/>
    <m/>
    <s v="Office Supplies"/>
    <s v="OS"/>
  </r>
  <r>
    <n v="1414"/>
    <x v="400"/>
    <x v="312"/>
    <s v="05/07/2015"/>
    <s v="Standard Class"/>
    <s v="HA-14905"/>
    <x v="400"/>
    <x v="0"/>
    <x v="0"/>
    <s v="New York City"/>
    <x v="15"/>
    <n v="10024"/>
    <x v="3"/>
    <s v="OFF-BI-10002867"/>
    <s v="Office Supplies"/>
    <s v="Binders"/>
    <s v="GBC Recycled Regency Composition Covers"/>
    <n v="334.76799999999997"/>
    <m/>
    <s v="Office Supplies"/>
    <s v="OS"/>
  </r>
  <r>
    <n v="1416"/>
    <x v="401"/>
    <x v="313"/>
    <s v="31/01/2018"/>
    <s v="Second Class"/>
    <s v="BT-11305"/>
    <x v="401"/>
    <x v="2"/>
    <x v="0"/>
    <s v="Costa Mesa"/>
    <x v="1"/>
    <n v="92627"/>
    <x v="1"/>
    <s v="FUR-FU-10003976"/>
    <s v="Furniture"/>
    <s v="Furnishings"/>
    <s v="DAX Executive Solid Wood Document Frame, Desktop or Hang, Mahogany, 5 x 7"/>
    <n v="37.74"/>
    <m/>
    <s v="Cardbaord"/>
    <s v="cardbaord"/>
  </r>
  <r>
    <n v="1417"/>
    <x v="402"/>
    <x v="314"/>
    <s v="24/09/2016"/>
    <s v="First Class"/>
    <s v="SV-20815"/>
    <x v="402"/>
    <x v="1"/>
    <x v="0"/>
    <s v="Houston"/>
    <x v="5"/>
    <n v="77041"/>
    <x v="2"/>
    <s v="TEC-PH-10002922"/>
    <s v="Technology"/>
    <s v="Phones"/>
    <s v="ShoreTel ShorePhone IP 230 VoIP phone"/>
    <n v="946.34400000000005"/>
    <m/>
    <s v="Technology"/>
    <s v="Technology"/>
  </r>
  <r>
    <n v="1420"/>
    <x v="403"/>
    <x v="315"/>
    <s v="30/09/2016"/>
    <s v="Standard Class"/>
    <s v="RW-19540"/>
    <x v="403"/>
    <x v="1"/>
    <x v="0"/>
    <s v="Mesa"/>
    <x v="16"/>
    <n v="85204"/>
    <x v="1"/>
    <s v="OFF-PA-10000501"/>
    <s v="Office Supplies"/>
    <s v="Paper"/>
    <s v="Petty Cash Envelope"/>
    <n v="86.272000000000006"/>
    <m/>
    <s v="Office Supplies"/>
    <s v="OS"/>
  </r>
  <r>
    <n v="1429"/>
    <x v="404"/>
    <x v="290"/>
    <s v="04/11/2016"/>
    <s v="Second Class"/>
    <s v="DK-12835"/>
    <x v="404"/>
    <x v="1"/>
    <x v="0"/>
    <s v="Salinas"/>
    <x v="1"/>
    <n v="93905"/>
    <x v="1"/>
    <s v="OFF-BI-10003708"/>
    <s v="Office Supplies"/>
    <s v="Binders"/>
    <s v="Acco Four Pocket Poly Ring Binder with Label Holder, Smoke, 1&quot;"/>
    <n v="29.8"/>
    <m/>
    <s v="Office Supplies"/>
    <s v="OS"/>
  </r>
  <r>
    <n v="1436"/>
    <x v="405"/>
    <x v="238"/>
    <s v="27/06/2018"/>
    <s v="Standard Class"/>
    <s v="ST-20530"/>
    <x v="405"/>
    <x v="0"/>
    <x v="0"/>
    <s v="Parma"/>
    <x v="23"/>
    <n v="44134"/>
    <x v="3"/>
    <s v="OFF-PA-10001639"/>
    <s v="Office Supplies"/>
    <s v="Paper"/>
    <s v="Xerox 203"/>
    <n v="31.103999999999999"/>
    <m/>
    <s v="Office Supplies"/>
    <s v="OS"/>
  </r>
  <r>
    <n v="1451"/>
    <x v="406"/>
    <x v="316"/>
    <s v="20/07/2016"/>
    <s v="First Class"/>
    <s v="TS-21085"/>
    <x v="406"/>
    <x v="0"/>
    <x v="0"/>
    <s v="Phoenix"/>
    <x v="16"/>
    <n v="85023"/>
    <x v="1"/>
    <s v="OFF-BI-10004352"/>
    <s v="Office Supplies"/>
    <s v="Binders"/>
    <s v="Wilson Jones DublLock D-Ring Binders"/>
    <n v="2.0249999999999999"/>
    <m/>
    <s v="Office Supplies"/>
    <s v="OS"/>
  </r>
  <r>
    <n v="1453"/>
    <x v="407"/>
    <x v="317"/>
    <s v="29/11/2017"/>
    <s v="First Class"/>
    <s v="MC-17425"/>
    <x v="407"/>
    <x v="1"/>
    <x v="0"/>
    <s v="Mobile"/>
    <x v="19"/>
    <n v="36608"/>
    <x v="0"/>
    <s v="OFF-BI-10000666"/>
    <s v="Office Supplies"/>
    <s v="Binders"/>
    <s v="Surelock Post Binders"/>
    <n v="91.68"/>
    <m/>
    <s v="Office Supplies"/>
    <s v="OS"/>
  </r>
  <r>
    <n v="1456"/>
    <x v="408"/>
    <x v="318"/>
    <s v="19/06/2018"/>
    <s v="Standard Class"/>
    <s v="ME-17320"/>
    <x v="408"/>
    <x v="2"/>
    <x v="0"/>
    <s v="Columbus"/>
    <x v="31"/>
    <n v="31907"/>
    <x v="0"/>
    <s v="OFF-BI-10000977"/>
    <s v="Office Supplies"/>
    <s v="Binders"/>
    <s v="Ibico Plastic Spiral Binding Combs"/>
    <n v="91.2"/>
    <m/>
    <s v="Office Supplies"/>
    <s v="OS"/>
  </r>
  <r>
    <n v="1475"/>
    <x v="409"/>
    <x v="210"/>
    <s v="25/11/2017"/>
    <s v="Standard Class"/>
    <s v="NP-18685"/>
    <x v="409"/>
    <x v="2"/>
    <x v="0"/>
    <s v="Niagara Falls"/>
    <x v="15"/>
    <n v="14304"/>
    <x v="3"/>
    <s v="OFF-AR-10003770"/>
    <s v="Office Supplies"/>
    <s v="Art"/>
    <s v="Newell 340"/>
    <n v="17.28"/>
    <m/>
    <s v="Office Supplies"/>
    <s v="OS"/>
  </r>
  <r>
    <n v="1485"/>
    <x v="410"/>
    <x v="319"/>
    <s v="18/10/2017"/>
    <s v="Standard Class"/>
    <s v="CP-12340"/>
    <x v="410"/>
    <x v="1"/>
    <x v="0"/>
    <s v="Seattle"/>
    <x v="4"/>
    <n v="98115"/>
    <x v="1"/>
    <s v="TEC-AC-10000865"/>
    <s v="Technology"/>
    <s v="Accessories"/>
    <s v="WD My Passport Ultra 500GB Portable External Hard Drive"/>
    <n v="177"/>
    <m/>
    <s v="Technology"/>
    <s v="Technology"/>
  </r>
  <r>
    <n v="1486"/>
    <x v="411"/>
    <x v="320"/>
    <s v="03/12/2015"/>
    <s v="Standard Class"/>
    <s v="MS-17770"/>
    <x v="411"/>
    <x v="0"/>
    <x v="0"/>
    <s v="New York City"/>
    <x v="15"/>
    <n v="10035"/>
    <x v="3"/>
    <s v="OFF-FA-10003021"/>
    <s v="Office Supplies"/>
    <s v="Fasteners"/>
    <s v="Staples"/>
    <n v="3.76"/>
    <m/>
    <s v="Office Supplies"/>
    <s v="OS"/>
  </r>
  <r>
    <n v="1487"/>
    <x v="412"/>
    <x v="321"/>
    <s v="07/11/2016"/>
    <s v="Standard Class"/>
    <s v="CM-12655"/>
    <x v="412"/>
    <x v="2"/>
    <x v="0"/>
    <s v="Los Angeles"/>
    <x v="1"/>
    <n v="90008"/>
    <x v="1"/>
    <s v="TEC-PH-10003580"/>
    <s v="Technology"/>
    <s v="Phones"/>
    <s v="Cisco IP Phone 7961G-GE VoIP phone"/>
    <n v="1212.848"/>
    <m/>
    <s v="Technology"/>
    <s v="Technology"/>
  </r>
  <r>
    <n v="1492"/>
    <x v="413"/>
    <x v="183"/>
    <s v="28/11/2018"/>
    <s v="Standard Class"/>
    <s v="TS-21370"/>
    <x v="413"/>
    <x v="1"/>
    <x v="0"/>
    <s v="New York City"/>
    <x v="15"/>
    <n v="10035"/>
    <x v="3"/>
    <s v="OFF-PA-10001838"/>
    <s v="Office Supplies"/>
    <s v="Paper"/>
    <s v="Adams Telephone Message Book W/Dividers/Space For Phone Numbers, 5 1/4&quot;X8 1/2&quot;, 300/Messages"/>
    <n v="5.88"/>
    <m/>
    <s v="Office Supplies"/>
    <s v="OS"/>
  </r>
  <r>
    <n v="1497"/>
    <x v="414"/>
    <x v="322"/>
    <s v="08/09/2018"/>
    <s v="Standard Class"/>
    <s v="JD-15790"/>
    <x v="414"/>
    <x v="0"/>
    <x v="0"/>
    <s v="Coppell"/>
    <x v="5"/>
    <n v="75019"/>
    <x v="2"/>
    <s v="OFF-ST-10004950"/>
    <s v="Office Supplies"/>
    <s v="Storage"/>
    <s v="Acco Perma 3000 Stacking Storage Drawers"/>
    <n v="16.783999999999999"/>
    <m/>
    <s v="Office Supplies"/>
    <s v="OS"/>
  </r>
  <r>
    <n v="1506"/>
    <x v="415"/>
    <x v="323"/>
    <s v="07/08/2016"/>
    <s v="Standard Class"/>
    <s v="PC-19000"/>
    <x v="415"/>
    <x v="2"/>
    <x v="0"/>
    <s v="Los Angeles"/>
    <x v="1"/>
    <n v="90004"/>
    <x v="1"/>
    <s v="FUR-TA-10003715"/>
    <s v="Furniture"/>
    <s v="Tables"/>
    <s v="Hon 2111 Invitation Series Corner Table"/>
    <n v="1004.976"/>
    <m/>
    <s v="Cardbaord"/>
    <s v="cardbaord"/>
  </r>
  <r>
    <n v="1508"/>
    <x v="416"/>
    <x v="38"/>
    <s v="23/09/2017"/>
    <s v="Standard Class"/>
    <s v="CS-12505"/>
    <x v="416"/>
    <x v="0"/>
    <x v="0"/>
    <s v="Columbus"/>
    <x v="31"/>
    <n v="31907"/>
    <x v="0"/>
    <s v="TEC-MA-10004458"/>
    <s v="Technology"/>
    <s v="Machines"/>
    <s v="Lexmark X 9575 Professional All-in-One Color Printer"/>
    <n v="396"/>
    <m/>
    <s v="Technology"/>
    <s v="Technology"/>
  </r>
  <r>
    <n v="1521"/>
    <x v="417"/>
    <x v="324"/>
    <s v="21/04/2018"/>
    <s v="Standard Class"/>
    <s v="PL-18925"/>
    <x v="417"/>
    <x v="2"/>
    <x v="0"/>
    <s v="Chicago"/>
    <x v="10"/>
    <n v="60610"/>
    <x v="2"/>
    <s v="OFF-AR-10001419"/>
    <s v="Office Supplies"/>
    <s v="Art"/>
    <s v="Newell 325"/>
    <n v="16.52"/>
    <m/>
    <s v="Office Supplies"/>
    <s v="OS"/>
  </r>
  <r>
    <n v="1523"/>
    <x v="418"/>
    <x v="325"/>
    <s v="11/12/2016"/>
    <s v="Standard Class"/>
    <s v="GH-14425"/>
    <x v="418"/>
    <x v="0"/>
    <x v="0"/>
    <s v="Tucson"/>
    <x v="16"/>
    <n v="85705"/>
    <x v="1"/>
    <s v="OFF-PA-10002586"/>
    <s v="Office Supplies"/>
    <s v="Paper"/>
    <s v="Xerox 1970"/>
    <n v="19.920000000000002"/>
    <m/>
    <s v="Office Supplies"/>
    <s v="OS"/>
  </r>
  <r>
    <n v="1536"/>
    <x v="419"/>
    <x v="326"/>
    <s v="02/11/2017"/>
    <s v="Standard Class"/>
    <s v="JM-15655"/>
    <x v="419"/>
    <x v="1"/>
    <x v="0"/>
    <s v="Bridgeton"/>
    <x v="29"/>
    <n v="8302"/>
    <x v="3"/>
    <s v="OFF-ST-10000419"/>
    <s v="Office Supplies"/>
    <s v="Storage"/>
    <s v="Rogers Jumbo File, Granite"/>
    <n v="40.74"/>
    <m/>
    <s v="Office Supplies"/>
    <s v="OS"/>
  </r>
  <r>
    <n v="1557"/>
    <x v="420"/>
    <x v="166"/>
    <s v="15/05/2017"/>
    <s v="Standard Class"/>
    <s v="JW-16075"/>
    <x v="420"/>
    <x v="0"/>
    <x v="0"/>
    <s v="Philadelphia"/>
    <x v="9"/>
    <n v="19140"/>
    <x v="3"/>
    <s v="OFF-EN-10003134"/>
    <s v="Office Supplies"/>
    <s v="Envelopes"/>
    <s v="Staple envelope"/>
    <n v="9.3439999999999994"/>
    <m/>
    <s v="Office Supplies"/>
    <s v="OS"/>
  </r>
  <r>
    <n v="1567"/>
    <x v="421"/>
    <x v="201"/>
    <s v="30/11/2016"/>
    <s v="First Class"/>
    <s v="AW-10840"/>
    <x v="421"/>
    <x v="0"/>
    <x v="0"/>
    <s v="Allen"/>
    <x v="5"/>
    <n v="75002"/>
    <x v="2"/>
    <s v="TEC-AC-10003038"/>
    <s v="Technology"/>
    <s v="Accessories"/>
    <s v="Kingston Digital DataTraveler 16GB USB 2.0"/>
    <n v="21.48"/>
    <m/>
    <s v="Technology"/>
    <s v="Technology"/>
  </r>
  <r>
    <n v="1570"/>
    <x v="422"/>
    <x v="170"/>
    <s v="30/11/2018"/>
    <s v="Standard Class"/>
    <s v="AH-10075"/>
    <x v="422"/>
    <x v="1"/>
    <x v="0"/>
    <s v="Atlanta"/>
    <x v="31"/>
    <n v="30318"/>
    <x v="0"/>
    <s v="OFF-AR-10003504"/>
    <s v="Office Supplies"/>
    <s v="Art"/>
    <s v="Newell 347"/>
    <n v="12.84"/>
    <m/>
    <s v="Office Supplies"/>
    <s v="OS"/>
  </r>
  <r>
    <n v="1575"/>
    <x v="423"/>
    <x v="327"/>
    <s v="18/12/2015"/>
    <s v="First Class"/>
    <s v="MC-18100"/>
    <x v="423"/>
    <x v="0"/>
    <x v="0"/>
    <s v="El Paso"/>
    <x v="5"/>
    <n v="79907"/>
    <x v="2"/>
    <s v="TEC-PH-10000169"/>
    <s v="Technology"/>
    <s v="Phones"/>
    <s v="ARKON Windshield Dashboard Air Vent Car Mount Holder"/>
    <n v="40.68"/>
    <m/>
    <s v="Technology"/>
    <s v="Technology"/>
  </r>
  <r>
    <n v="1591"/>
    <x v="424"/>
    <x v="151"/>
    <s v="19/04/2017"/>
    <s v="Standard Class"/>
    <s v="MY-18295"/>
    <x v="424"/>
    <x v="1"/>
    <x v="0"/>
    <s v="Grapevine"/>
    <x v="5"/>
    <n v="76051"/>
    <x v="2"/>
    <s v="OFF-AR-10001221"/>
    <s v="Office Supplies"/>
    <s v="Art"/>
    <s v="Dixon Ticonderoga Erasable Colored Pencil Set, 12-Color"/>
    <n v="33.488"/>
    <m/>
    <s v="Office Supplies"/>
    <s v="OS"/>
  </r>
  <r>
    <n v="1593"/>
    <x v="425"/>
    <x v="328"/>
    <s v="25/06/2016"/>
    <s v="Second Class"/>
    <s v="RD-19480"/>
    <x v="425"/>
    <x v="0"/>
    <x v="0"/>
    <s v="Olympia"/>
    <x v="4"/>
    <n v="98502"/>
    <x v="1"/>
    <s v="TEC-PH-10004830"/>
    <s v="Technology"/>
    <s v="Phones"/>
    <s v="Pyle PRT45 Retro Home Telephone"/>
    <n v="201.56800000000001"/>
    <m/>
    <s v="Technology"/>
    <s v="Technology"/>
  </r>
  <r>
    <n v="1595"/>
    <x v="426"/>
    <x v="329"/>
    <s v="27/03/2016"/>
    <s v="First Class"/>
    <s v="DP-13390"/>
    <x v="426"/>
    <x v="2"/>
    <x v="0"/>
    <s v="Peoria"/>
    <x v="10"/>
    <n v="61604"/>
    <x v="2"/>
    <s v="FUR-BO-10000362"/>
    <s v="Furniture"/>
    <s v="Bookcases"/>
    <s v="Sauder Inglewood Library Bookcases"/>
    <n v="359.05799999999999"/>
    <m/>
    <s v="Cardbaord"/>
    <s v="cardbaord"/>
  </r>
  <r>
    <n v="1598"/>
    <x v="427"/>
    <x v="182"/>
    <s v="21/11/2018"/>
    <s v="Second Class"/>
    <s v="AB-10150"/>
    <x v="427"/>
    <x v="0"/>
    <x v="0"/>
    <s v="Carrollton"/>
    <x v="5"/>
    <n v="75007"/>
    <x v="2"/>
    <s v="OFF-PA-10000308"/>
    <s v="Office Supplies"/>
    <s v="Paper"/>
    <s v="Xerox 1901"/>
    <n v="16.896000000000001"/>
    <m/>
    <s v="Office Supplies"/>
    <s v="OS"/>
  </r>
  <r>
    <n v="1612"/>
    <x v="428"/>
    <x v="330"/>
    <s v="30/05/2015"/>
    <s v="Standard Class"/>
    <s v="ML-17395"/>
    <x v="428"/>
    <x v="1"/>
    <x v="0"/>
    <s v="Los Angeles"/>
    <x v="1"/>
    <n v="90008"/>
    <x v="1"/>
    <s v="TEC-PH-10000441"/>
    <s v="Technology"/>
    <s v="Phones"/>
    <s v="VTech DS6151"/>
    <n v="201.584"/>
    <m/>
    <s v="Technology"/>
    <s v="Technology"/>
  </r>
  <r>
    <n v="1618"/>
    <x v="429"/>
    <x v="331"/>
    <s v="16/08/2016"/>
    <s v="Standard Class"/>
    <s v="JK-16120"/>
    <x v="429"/>
    <x v="2"/>
    <x v="0"/>
    <s v="Eagan"/>
    <x v="11"/>
    <n v="55122"/>
    <x v="2"/>
    <s v="OFF-AR-10001915"/>
    <s v="Office Supplies"/>
    <s v="Art"/>
    <s v="Peel-Off China Markers"/>
    <n v="29.79"/>
    <m/>
    <s v="Office Supplies"/>
    <s v="OS"/>
  </r>
  <r>
    <n v="1621"/>
    <x v="430"/>
    <x v="123"/>
    <s v="15/07/2018"/>
    <s v="Standard Class"/>
    <s v="JC-15385"/>
    <x v="430"/>
    <x v="0"/>
    <x v="0"/>
    <s v="Kent"/>
    <x v="4"/>
    <n v="98031"/>
    <x v="1"/>
    <s v="FUR-FU-10002937"/>
    <s v="Furniture"/>
    <s v="Furnishings"/>
    <s v="GE 48&quot; Fluorescent Tube, Cool White Energy Saver, 34 Watts, 30/Box"/>
    <n v="198.46"/>
    <m/>
    <s v="Cardbaord"/>
    <s v="cardbaord"/>
  </r>
  <r>
    <n v="1638"/>
    <x v="431"/>
    <x v="332"/>
    <s v="02/12/2015"/>
    <s v="Standard Class"/>
    <s v="NW-18400"/>
    <x v="431"/>
    <x v="0"/>
    <x v="0"/>
    <s v="Tigard"/>
    <x v="20"/>
    <n v="97224"/>
    <x v="1"/>
    <s v="TEC-PH-10000038"/>
    <s v="Technology"/>
    <s v="Phones"/>
    <s v="Jawbone MINI JAMBOX Wireless Bluetooth Speaker"/>
    <n v="438.33600000000001"/>
    <m/>
    <s v="Technology"/>
    <s v="Technology"/>
  </r>
  <r>
    <n v="1639"/>
    <x v="432"/>
    <x v="333"/>
    <s v="01/06/2017"/>
    <s v="Standard Class"/>
    <s v="TB-21280"/>
    <x v="432"/>
    <x v="0"/>
    <x v="0"/>
    <s v="Washington"/>
    <x v="37"/>
    <n v="20016"/>
    <x v="3"/>
    <s v="OFF-PA-10002689"/>
    <s v="Office Supplies"/>
    <s v="Paper"/>
    <s v="Weyerhaeuser First Choice Laser/Copy Paper (20Lb. and 88 Bright)"/>
    <n v="19.440000000000001"/>
    <m/>
    <s v="Office Supplies"/>
    <s v="OS"/>
  </r>
  <r>
    <n v="1651"/>
    <x v="433"/>
    <x v="334"/>
    <s v="29/08/2015"/>
    <s v="Same Day"/>
    <s v="HH-15010"/>
    <x v="433"/>
    <x v="1"/>
    <x v="0"/>
    <s v="San Francisco"/>
    <x v="1"/>
    <n v="94110"/>
    <x v="1"/>
    <s v="OFF-PA-10004475"/>
    <s v="Office Supplies"/>
    <s v="Paper"/>
    <s v="Xerox 1940"/>
    <n v="109.92"/>
    <m/>
    <s v="Office Supplies"/>
    <s v="OS"/>
  </r>
  <r>
    <n v="1655"/>
    <x v="434"/>
    <x v="335"/>
    <s v="21/11/2018"/>
    <s v="First Class"/>
    <s v="CD-12280"/>
    <x v="434"/>
    <x v="0"/>
    <x v="0"/>
    <s v="Seattle"/>
    <x v="4"/>
    <n v="98105"/>
    <x v="1"/>
    <s v="OFF-FA-10000611"/>
    <s v="Office Supplies"/>
    <s v="Fasteners"/>
    <s v="Binder Clips by OIC"/>
    <n v="2.96"/>
    <m/>
    <s v="Office Supplies"/>
    <s v="OS"/>
  </r>
  <r>
    <n v="1659"/>
    <x v="435"/>
    <x v="336"/>
    <s v="26/01/2018"/>
    <s v="Standard Class"/>
    <s v="TH-21100"/>
    <x v="435"/>
    <x v="0"/>
    <x v="0"/>
    <s v="Los Angeles"/>
    <x v="1"/>
    <n v="90045"/>
    <x v="1"/>
    <s v="TEC-PH-10004922"/>
    <s v="Technology"/>
    <s v="Phones"/>
    <s v="RCA Visys Integrated PBX 8-Line Router"/>
    <n v="160.77600000000001"/>
    <m/>
    <s v="Technology"/>
    <s v="Technology"/>
  </r>
  <r>
    <n v="1663"/>
    <x v="436"/>
    <x v="337"/>
    <s v="06/05/2018"/>
    <s v="Standard Class"/>
    <s v="QJ-19255"/>
    <x v="436"/>
    <x v="1"/>
    <x v="0"/>
    <s v="Philadelphia"/>
    <x v="9"/>
    <n v="19143"/>
    <x v="3"/>
    <s v="OFF-BI-10002353"/>
    <s v="Office Supplies"/>
    <s v="Binders"/>
    <s v="GBC VeloBind Cover Sets"/>
    <n v="13.896000000000001"/>
    <m/>
    <s v="Office Supplies"/>
    <s v="OS"/>
  </r>
  <r>
    <n v="1666"/>
    <x v="437"/>
    <x v="278"/>
    <s v="26/11/2017"/>
    <s v="Second Class"/>
    <s v="NS-18505"/>
    <x v="437"/>
    <x v="0"/>
    <x v="0"/>
    <s v="Dallas"/>
    <x v="5"/>
    <n v="75217"/>
    <x v="2"/>
    <s v="OFF-FA-10002676"/>
    <s v="Office Supplies"/>
    <s v="Fasteners"/>
    <s v="Colored Push Pins"/>
    <n v="4.3440000000000003"/>
    <m/>
    <s v="Office Supplies"/>
    <s v="OS"/>
  </r>
  <r>
    <n v="1694"/>
    <x v="438"/>
    <x v="161"/>
    <s v="29/06/2017"/>
    <s v="Second Class"/>
    <s v="AB-10255"/>
    <x v="438"/>
    <x v="2"/>
    <x v="0"/>
    <s v="Plano"/>
    <x v="5"/>
    <n v="75023"/>
    <x v="2"/>
    <s v="TEC-AC-10003133"/>
    <s v="Technology"/>
    <s v="Accessories"/>
    <s v="Memorex Mini Travel Drive 4 GB USB 2.0 Flash Drive"/>
    <n v="13.616"/>
    <m/>
    <s v="Technology"/>
    <s v="Technology"/>
  </r>
  <r>
    <n v="1704"/>
    <x v="439"/>
    <x v="338"/>
    <s v="06/02/2015"/>
    <s v="Standard Class"/>
    <s v="CD-12790"/>
    <x v="439"/>
    <x v="2"/>
    <x v="0"/>
    <s v="San Diego"/>
    <x v="1"/>
    <n v="92037"/>
    <x v="1"/>
    <s v="OFF-FA-10001843"/>
    <s v="Office Supplies"/>
    <s v="Fasteners"/>
    <s v="Staples"/>
    <n v="12.35"/>
    <m/>
    <s v="Office Supplies"/>
    <s v="OS"/>
  </r>
  <r>
    <n v="1707"/>
    <x v="440"/>
    <x v="339"/>
    <s v="05/11/2018"/>
    <s v="Standard Class"/>
    <s v="JK-15205"/>
    <x v="440"/>
    <x v="0"/>
    <x v="0"/>
    <s v="San Francisco"/>
    <x v="1"/>
    <n v="94122"/>
    <x v="1"/>
    <s v="OFF-LA-10003077"/>
    <s v="Office Supplies"/>
    <s v="Labels"/>
    <s v="Avery 500"/>
    <n v="43.86"/>
    <m/>
    <s v="Office Supplies"/>
    <s v="OS"/>
  </r>
  <r>
    <n v="1715"/>
    <x v="441"/>
    <x v="340"/>
    <s v="13/10/2018"/>
    <s v="Standard Class"/>
    <s v="DC-13285"/>
    <x v="441"/>
    <x v="0"/>
    <x v="0"/>
    <s v="San Francisco"/>
    <x v="1"/>
    <n v="94110"/>
    <x v="1"/>
    <s v="FUR-BO-10003965"/>
    <s v="Furniture"/>
    <s v="Bookcases"/>
    <s v="O'Sullivan Manor Hill 2-Door Library in Brianna Oak"/>
    <n v="307.666"/>
    <m/>
    <s v="Cardbaord"/>
    <s v="cardbaord"/>
  </r>
  <r>
    <n v="1728"/>
    <x v="442"/>
    <x v="341"/>
    <s v="04/05/2018"/>
    <s v="Second Class"/>
    <s v="FM-14215"/>
    <x v="442"/>
    <x v="1"/>
    <x v="0"/>
    <s v="Dublin"/>
    <x v="23"/>
    <n v="43017"/>
    <x v="3"/>
    <s v="FUR-TA-10001307"/>
    <s v="Furniture"/>
    <s v="Tables"/>
    <s v="SAFCO PlanMaster Heigh-Adjustable Drafting Table Base, 43w x 30d x 30-37h, Black"/>
    <n v="1048.3499999999999"/>
    <m/>
    <s v="Cardbaord"/>
    <s v="cardbaord"/>
  </r>
  <r>
    <n v="1731"/>
    <x v="443"/>
    <x v="342"/>
    <s v="03/10/2015"/>
    <s v="Standard Class"/>
    <s v="KD-16495"/>
    <x v="443"/>
    <x v="1"/>
    <x v="0"/>
    <s v="Fayetteville"/>
    <x v="3"/>
    <n v="28314"/>
    <x v="0"/>
    <s v="OFF-PA-10001457"/>
    <s v="Office Supplies"/>
    <s v="Paper"/>
    <s v="White GlueTop Scratch Pads"/>
    <n v="96.256"/>
    <m/>
    <s v="Office Supplies"/>
    <s v="OS"/>
  </r>
  <r>
    <n v="1757"/>
    <x v="444"/>
    <x v="343"/>
    <s v="11/12/2016"/>
    <s v="Second Class"/>
    <s v="TT-21460"/>
    <x v="444"/>
    <x v="2"/>
    <x v="0"/>
    <s v="Fort Worth"/>
    <x v="5"/>
    <n v="76106"/>
    <x v="2"/>
    <s v="TEC-PH-10001817"/>
    <s v="Technology"/>
    <s v="Phones"/>
    <s v="Wilson Electronics DB Pro Signal Booster"/>
    <n v="1718.4"/>
    <m/>
    <s v="Technology"/>
    <s v="Technology"/>
  </r>
  <r>
    <n v="1766"/>
    <x v="445"/>
    <x v="344"/>
    <s v="08/08/2017"/>
    <s v="Standard Class"/>
    <s v="ML-17755"/>
    <x v="445"/>
    <x v="2"/>
    <x v="0"/>
    <s v="Suffolk"/>
    <x v="17"/>
    <n v="23434"/>
    <x v="0"/>
    <s v="FUR-FU-10001591"/>
    <s v="Furniture"/>
    <s v="Furnishings"/>
    <s v="Advantus Panel Wall Certificate Holder - 8.5x11"/>
    <n v="109.8"/>
    <m/>
    <s v="Cardbaord"/>
    <s v="cardbaord"/>
  </r>
  <r>
    <n v="1787"/>
    <x v="446"/>
    <x v="345"/>
    <s v="26/09/2018"/>
    <s v="Standard Class"/>
    <s v="JE-15610"/>
    <x v="446"/>
    <x v="1"/>
    <x v="0"/>
    <s v="Milwaukee"/>
    <x v="6"/>
    <n v="53209"/>
    <x v="2"/>
    <s v="TEC-PH-10001615"/>
    <s v="Technology"/>
    <s v="Phones"/>
    <s v="AT&amp;T CL82213"/>
    <n v="86.97"/>
    <m/>
    <s v="Technology"/>
    <s v="Technology"/>
  </r>
  <r>
    <n v="1790"/>
    <x v="447"/>
    <x v="346"/>
    <s v="19/02/2016"/>
    <s v="Standard Class"/>
    <s v="RP-19855"/>
    <x v="447"/>
    <x v="1"/>
    <x v="0"/>
    <s v="Kenosha"/>
    <x v="6"/>
    <n v="53142"/>
    <x v="2"/>
    <s v="TEC-AC-10004568"/>
    <s v="Technology"/>
    <s v="Accessories"/>
    <s v="Maxell LTO Ultrium - 800 GB"/>
    <n v="139.94999999999999"/>
    <m/>
    <s v="Technology"/>
    <s v="Technology"/>
  </r>
  <r>
    <n v="1801"/>
    <x v="448"/>
    <x v="347"/>
    <s v="10/08/2017"/>
    <s v="Second Class"/>
    <s v="JF-15565"/>
    <x v="448"/>
    <x v="0"/>
    <x v="0"/>
    <s v="Dallas"/>
    <x v="5"/>
    <n v="75081"/>
    <x v="2"/>
    <s v="OFF-PA-10001994"/>
    <s v="Office Supplies"/>
    <s v="Paper"/>
    <s v="Ink Jet Note and Greeting Cards, 8-1/2&quot; x 5-1/2&quot; Card Size"/>
    <n v="53.951999999999998"/>
    <m/>
    <s v="Office Supplies"/>
    <s v="OS"/>
  </r>
  <r>
    <n v="1809"/>
    <x v="449"/>
    <x v="348"/>
    <s v="13/02/2017"/>
    <s v="First Class"/>
    <s v="PB-19210"/>
    <x v="449"/>
    <x v="1"/>
    <x v="0"/>
    <s v="Tulsa"/>
    <x v="25"/>
    <n v="74133"/>
    <x v="2"/>
    <s v="TEC-PH-10004897"/>
    <s v="Technology"/>
    <s v="Phones"/>
    <s v="Mediabridge Sport Armband iPhone 5s"/>
    <n v="69.930000000000007"/>
    <m/>
    <s v="Technology"/>
    <s v="Technology"/>
  </r>
  <r>
    <n v="1818"/>
    <x v="450"/>
    <x v="258"/>
    <s v="15/12/2016"/>
    <s v="Second Class"/>
    <s v="MC-17575"/>
    <x v="450"/>
    <x v="0"/>
    <x v="0"/>
    <s v="Los Angeles"/>
    <x v="1"/>
    <n v="90036"/>
    <x v="1"/>
    <s v="OFF-LA-10001771"/>
    <s v="Office Supplies"/>
    <s v="Labels"/>
    <s v="Avery 513"/>
    <n v="9.9600000000000009"/>
    <m/>
    <s v="Office Supplies"/>
    <s v="OS"/>
  </r>
  <r>
    <n v="1819"/>
    <x v="451"/>
    <x v="349"/>
    <s v="29/05/2015"/>
    <s v="Standard Class"/>
    <s v="JL-15235"/>
    <x v="451"/>
    <x v="0"/>
    <x v="0"/>
    <s v="Chicago"/>
    <x v="10"/>
    <n v="60623"/>
    <x v="2"/>
    <s v="OFF-AP-10001394"/>
    <s v="Office Supplies"/>
    <s v="Appliances"/>
    <s v="Harmony Air Purifier"/>
    <n v="75.599999999999994"/>
    <m/>
    <s v="Office Supplies"/>
    <s v="OS"/>
  </r>
  <r>
    <n v="1828"/>
    <x v="452"/>
    <x v="350"/>
    <s v="11/02/2017"/>
    <s v="Second Class"/>
    <s v="CH-12070"/>
    <x v="452"/>
    <x v="2"/>
    <x v="0"/>
    <s v="Raleigh"/>
    <x v="3"/>
    <n v="27604"/>
    <x v="0"/>
    <s v="TEC-PH-10002624"/>
    <s v="Technology"/>
    <s v="Phones"/>
    <s v="Samsung Galaxy S4 Mini"/>
    <n v="1127.9760000000001"/>
    <m/>
    <s v="Technology"/>
    <s v="Technology"/>
  </r>
  <r>
    <n v="1831"/>
    <x v="453"/>
    <x v="174"/>
    <s v="21/10/2018"/>
    <s v="Same Day"/>
    <s v="SL-20155"/>
    <x v="453"/>
    <x v="2"/>
    <x v="0"/>
    <s v="Muskogee"/>
    <x v="25"/>
    <n v="74403"/>
    <x v="2"/>
    <s v="TEC-PH-10000895"/>
    <s v="Technology"/>
    <s v="Phones"/>
    <s v="Polycom VVX 310 VoIP phone"/>
    <n v="1439.92"/>
    <m/>
    <s v="Technology"/>
    <s v="Technology"/>
  </r>
  <r>
    <n v="1840"/>
    <x v="454"/>
    <x v="351"/>
    <s v="05/08/2015"/>
    <s v="Standard Class"/>
    <s v="BF-10975"/>
    <x v="454"/>
    <x v="1"/>
    <x v="0"/>
    <s v="Charlotte"/>
    <x v="3"/>
    <n v="28205"/>
    <x v="0"/>
    <s v="OFF-AP-10001005"/>
    <s v="Office Supplies"/>
    <s v="Appliances"/>
    <s v="Honeywell Quietcare HEPA Air Cleaner"/>
    <n v="62.92"/>
    <m/>
    <s v="Office Supplies"/>
    <s v="OS"/>
  </r>
  <r>
    <n v="1842"/>
    <x v="455"/>
    <x v="352"/>
    <s v="23/07/2017"/>
    <s v="Standard Class"/>
    <s v="KH-16330"/>
    <x v="455"/>
    <x v="1"/>
    <x v="0"/>
    <s v="Bowling Green"/>
    <x v="0"/>
    <n v="42104"/>
    <x v="0"/>
    <s v="FUR-CH-10000988"/>
    <s v="Furniture"/>
    <s v="Chairs"/>
    <s v="Hon Olson Stacker Stools"/>
    <n v="140.81"/>
    <m/>
    <s v="Cardbaord"/>
    <s v="cardbaord"/>
  </r>
  <r>
    <n v="1847"/>
    <x v="456"/>
    <x v="353"/>
    <s v="17/01/2018"/>
    <s v="Second Class"/>
    <s v="DA-13450"/>
    <x v="456"/>
    <x v="2"/>
    <x v="0"/>
    <s v="Washington"/>
    <x v="37"/>
    <n v="20016"/>
    <x v="3"/>
    <s v="FUR-FU-10004973"/>
    <s v="Furniture"/>
    <s v="Furnishings"/>
    <s v="Flat Face Poster Frame"/>
    <n v="37.68"/>
    <m/>
    <s v="Cardbaord"/>
    <s v="cardbaord"/>
  </r>
  <r>
    <n v="1865"/>
    <x v="457"/>
    <x v="59"/>
    <s v="17/10/2017"/>
    <s v="Standard Class"/>
    <s v="NC-18625"/>
    <x v="457"/>
    <x v="1"/>
    <x v="0"/>
    <s v="Aurora"/>
    <x v="21"/>
    <n v="80013"/>
    <x v="1"/>
    <s v="FUR-FU-10001617"/>
    <s v="Furniture"/>
    <s v="Furnishings"/>
    <s v="Executive Impressions 8-1/2&quot; Career Panel/Partition Cubicle Clock"/>
    <n v="24.96"/>
    <m/>
    <s v="Cardbaord"/>
    <s v="cardbaord"/>
  </r>
  <r>
    <n v="1871"/>
    <x v="458"/>
    <x v="354"/>
    <s v="25/07/2015"/>
    <s v="Standard Class"/>
    <s v="ME-18010"/>
    <x v="458"/>
    <x v="1"/>
    <x v="0"/>
    <s v="San Francisco"/>
    <x v="1"/>
    <n v="94122"/>
    <x v="1"/>
    <s v="OFF-AR-10002067"/>
    <s v="Office Supplies"/>
    <s v="Art"/>
    <s v="Newell 334"/>
    <n v="99.2"/>
    <m/>
    <s v="Office Supplies"/>
    <s v="OS"/>
  </r>
  <r>
    <n v="1874"/>
    <x v="459"/>
    <x v="355"/>
    <s v="25/11/2018"/>
    <s v="Standard Class"/>
    <s v="BP-11230"/>
    <x v="459"/>
    <x v="0"/>
    <x v="0"/>
    <s v="Spokane"/>
    <x v="4"/>
    <n v="99207"/>
    <x v="1"/>
    <s v="FUR-TA-10004767"/>
    <s v="Furniture"/>
    <s v="Tables"/>
    <s v="Safco Drafting Table"/>
    <n v="70.98"/>
    <m/>
    <s v="Cardbaord"/>
    <s v="cardbaord"/>
  </r>
  <r>
    <n v="1895"/>
    <x v="460"/>
    <x v="356"/>
    <s v="05/12/2018"/>
    <s v="First Class"/>
    <s v="AS-10090"/>
    <x v="460"/>
    <x v="0"/>
    <x v="0"/>
    <s v="Charlottesville"/>
    <x v="17"/>
    <n v="22901"/>
    <x v="0"/>
    <s v="OFF-AR-10001446"/>
    <s v="Office Supplies"/>
    <s v="Art"/>
    <s v="Newell 309"/>
    <n v="34.65"/>
    <m/>
    <s v="Office Supplies"/>
    <s v="OS"/>
  </r>
  <r>
    <n v="1897"/>
    <x v="461"/>
    <x v="357"/>
    <s v="06/10/2018"/>
    <s v="First Class"/>
    <s v="AC-10450"/>
    <x v="461"/>
    <x v="0"/>
    <x v="0"/>
    <s v="Minneapolis"/>
    <x v="11"/>
    <n v="55407"/>
    <x v="2"/>
    <s v="OFF-BI-10001359"/>
    <s v="Office Supplies"/>
    <s v="Binders"/>
    <s v="GBC DocuBind TL300 Electric Binding System"/>
    <n v="1793.98"/>
    <m/>
    <s v="Office Supplies"/>
    <s v="OS"/>
  </r>
  <r>
    <n v="1910"/>
    <x v="462"/>
    <x v="358"/>
    <s v="23/12/2018"/>
    <s v="Standard Class"/>
    <s v="DB-13660"/>
    <x v="462"/>
    <x v="0"/>
    <x v="0"/>
    <s v="Oceanside"/>
    <x v="15"/>
    <n v="11572"/>
    <x v="3"/>
    <s v="FUR-FU-10001037"/>
    <s v="Furniture"/>
    <s v="Furnishings"/>
    <s v="DAX Charcoal/Nickel-Tone Document Frame, 5 x 7"/>
    <n v="18.96"/>
    <m/>
    <s v="Cardbaord"/>
    <s v="cardbaord"/>
  </r>
  <r>
    <n v="1920"/>
    <x v="463"/>
    <x v="359"/>
    <s v="19/08/2018"/>
    <s v="First Class"/>
    <s v="EH-13765"/>
    <x v="463"/>
    <x v="1"/>
    <x v="0"/>
    <s v="Watertown"/>
    <x v="15"/>
    <n v="13601"/>
    <x v="3"/>
    <s v="OFF-BI-10003091"/>
    <s v="Office Supplies"/>
    <s v="Binders"/>
    <s v="GBC DocuBind TL200 Manual Binding Machine"/>
    <n v="895.92"/>
    <m/>
    <s v="Office Supplies"/>
    <s v="OS"/>
  </r>
  <r>
    <n v="1922"/>
    <x v="464"/>
    <x v="231"/>
    <s v="09/10/2016"/>
    <s v="Standard Class"/>
    <s v="MZ-17515"/>
    <x v="464"/>
    <x v="1"/>
    <x v="0"/>
    <s v="Reading"/>
    <x v="9"/>
    <n v="19601"/>
    <x v="3"/>
    <s v="OFF-ST-10002562"/>
    <s v="Office Supplies"/>
    <s v="Storage"/>
    <s v="Staple magnet"/>
    <n v="15.007999999999999"/>
    <m/>
    <s v="Office Supplies"/>
    <s v="OS"/>
  </r>
  <r>
    <n v="1923"/>
    <x v="465"/>
    <x v="360"/>
    <s v="10/07/2017"/>
    <s v="Second Class"/>
    <s v="SC-20230"/>
    <x v="465"/>
    <x v="1"/>
    <x v="0"/>
    <s v="Arlington"/>
    <x v="5"/>
    <n v="76017"/>
    <x v="2"/>
    <s v="TEC-PH-10004345"/>
    <s v="Technology"/>
    <s v="Phones"/>
    <s v="Cisco SPA 502G IP Phone"/>
    <n v="863.64"/>
    <m/>
    <s v="Technology"/>
    <s v="Technology"/>
  </r>
  <r>
    <n v="1933"/>
    <x v="466"/>
    <x v="361"/>
    <s v="10/08/2018"/>
    <s v="Second Class"/>
    <s v="SV-20365"/>
    <x v="466"/>
    <x v="0"/>
    <x v="0"/>
    <s v="Lafayette"/>
    <x v="27"/>
    <n v="70506"/>
    <x v="0"/>
    <s v="FUR-BO-10000468"/>
    <s v="Furniture"/>
    <s v="Bookcases"/>
    <s v="O'Sullivan 2-Shelf Heavy-Duty Bookcases"/>
    <n v="145.74"/>
    <m/>
    <s v="Cardbaord"/>
    <s v="cardbaord"/>
  </r>
  <r>
    <n v="1938"/>
    <x v="467"/>
    <x v="360"/>
    <s v="12/07/2017"/>
    <s v="Standard Class"/>
    <s v="JE-15715"/>
    <x v="467"/>
    <x v="0"/>
    <x v="0"/>
    <s v="Broomfield"/>
    <x v="21"/>
    <n v="80020"/>
    <x v="1"/>
    <s v="OFF-BI-10002082"/>
    <s v="Office Supplies"/>
    <s v="Binders"/>
    <s v="GBC Twin Loop Wire Binding Elements"/>
    <n v="19.968"/>
    <m/>
    <s v="Office Supplies"/>
    <s v="OS"/>
  </r>
  <r>
    <n v="1955"/>
    <x v="468"/>
    <x v="255"/>
    <s v="06/09/2018"/>
    <s v="Standard Class"/>
    <s v="AC-10615"/>
    <x v="468"/>
    <x v="1"/>
    <x v="0"/>
    <s v="New York City"/>
    <x v="15"/>
    <n v="10009"/>
    <x v="3"/>
    <s v="OFF-AR-10004582"/>
    <s v="Office Supplies"/>
    <s v="Art"/>
    <s v="BIC Brite Liner Grip Highlighters"/>
    <n v="4.92"/>
    <m/>
    <s v="Office Supplies"/>
    <s v="OS"/>
  </r>
  <r>
    <n v="1960"/>
    <x v="469"/>
    <x v="17"/>
    <s v="15/09/2018"/>
    <s v="Second Class"/>
    <s v="RW-19690"/>
    <x v="469"/>
    <x v="0"/>
    <x v="0"/>
    <s v="Springfield"/>
    <x v="24"/>
    <n v="65807"/>
    <x v="2"/>
    <s v="OFF-AP-10004785"/>
    <s v="Office Supplies"/>
    <s v="Appliances"/>
    <s v="Holmes Replacement Filter for HEPA Air Cleaner, Medium Room"/>
    <n v="33.99"/>
    <m/>
    <s v="Office Supplies"/>
    <s v="OS"/>
  </r>
  <r>
    <n v="1973"/>
    <x v="470"/>
    <x v="362"/>
    <s v="19/12/2015"/>
    <s v="Standard Class"/>
    <s v="JD-16015"/>
    <x v="470"/>
    <x v="0"/>
    <x v="0"/>
    <s v="Chicago"/>
    <x v="10"/>
    <n v="60610"/>
    <x v="2"/>
    <s v="OFF-BI-10001249"/>
    <s v="Office Supplies"/>
    <s v="Binders"/>
    <s v="Avery Heavy-Duty EZD View Binder with Locking Rings"/>
    <n v="5.1040000000000001"/>
    <m/>
    <s v="Office Supplies"/>
    <s v="OS"/>
  </r>
  <r>
    <n v="1996"/>
    <x v="471"/>
    <x v="356"/>
    <s v="04/12/2018"/>
    <s v="Second Class"/>
    <s v="JS-16030"/>
    <x v="471"/>
    <x v="0"/>
    <x v="0"/>
    <s v="Houston"/>
    <x v="5"/>
    <n v="77036"/>
    <x v="2"/>
    <s v="OFF-AP-10002534"/>
    <s v="Office Supplies"/>
    <s v="Appliances"/>
    <s v="3.6 Cubic Foot Counter Height Office Refrigerator"/>
    <n v="294.62"/>
    <m/>
    <s v="Office Supplies"/>
    <s v="OS"/>
  </r>
  <r>
    <n v="2008"/>
    <x v="472"/>
    <x v="363"/>
    <s v="04/08/2018"/>
    <s v="First Class"/>
    <s v="CM-12190"/>
    <x v="472"/>
    <x v="0"/>
    <x v="0"/>
    <s v="Chicago"/>
    <x v="10"/>
    <n v="60623"/>
    <x v="2"/>
    <s v="FUR-BO-10003034"/>
    <s v="Furniture"/>
    <s v="Bookcases"/>
    <s v="O'Sullivan Elevations Bookcase, Cherry Finish"/>
    <n v="183.37200000000001"/>
    <m/>
    <s v="Cardbaord"/>
    <s v="cardbaord"/>
  </r>
  <r>
    <n v="2013"/>
    <x v="473"/>
    <x v="364"/>
    <s v="11/12/2016"/>
    <s v="Same Day"/>
    <s v="SC-20800"/>
    <x v="473"/>
    <x v="0"/>
    <x v="0"/>
    <s v="Houston"/>
    <x v="5"/>
    <n v="77041"/>
    <x v="2"/>
    <s v="OFF-ST-10000943"/>
    <s v="Office Supplies"/>
    <s v="Storage"/>
    <s v="Eldon ProFile File 'N Store Portable File Tub Letter/Legal Size Black"/>
    <n v="46.344000000000001"/>
    <m/>
    <s v="Office Supplies"/>
    <s v="OS"/>
  </r>
  <r>
    <n v="2015"/>
    <x v="474"/>
    <x v="30"/>
    <s v="23/09/2017"/>
    <s v="Standard Class"/>
    <s v="AM-10705"/>
    <x v="474"/>
    <x v="0"/>
    <x v="0"/>
    <s v="Auburn"/>
    <x v="19"/>
    <n v="36830"/>
    <x v="0"/>
    <s v="OFF-PA-10000533"/>
    <s v="Office Supplies"/>
    <s v="Paper"/>
    <s v="Southworth Parchment Paper &amp; Envelopes"/>
    <n v="13.08"/>
    <m/>
    <s v="Office Supplies"/>
    <s v="OS"/>
  </r>
  <r>
    <n v="2039"/>
    <x v="475"/>
    <x v="365"/>
    <s v="23/06/2016"/>
    <s v="Standard Class"/>
    <s v="SN-20560"/>
    <x v="475"/>
    <x v="2"/>
    <x v="0"/>
    <s v="Peoria"/>
    <x v="16"/>
    <n v="85345"/>
    <x v="1"/>
    <s v="OFF-PA-10001661"/>
    <s v="Office Supplies"/>
    <s v="Paper"/>
    <s v="Xerox 1922"/>
    <n v="11.952"/>
    <m/>
    <s v="Office Supplies"/>
    <s v="OS"/>
  </r>
  <r>
    <n v="2074"/>
    <x v="476"/>
    <x v="366"/>
    <s v="12/11/2018"/>
    <s v="Second Class"/>
    <s v="DB-13270"/>
    <x v="476"/>
    <x v="2"/>
    <x v="0"/>
    <s v="Brentwood"/>
    <x v="1"/>
    <n v="94513"/>
    <x v="1"/>
    <s v="TEC-AC-10003289"/>
    <s v="Technology"/>
    <s v="Accessories"/>
    <s v="Anker Ultra-Slim Mini Bluetooth 3.0 Wireless Keyboard"/>
    <n v="59.97"/>
    <m/>
    <s v="Technology"/>
    <s v="Technology"/>
  </r>
  <r>
    <n v="2125"/>
    <x v="477"/>
    <x v="87"/>
    <s v="05/12/2018"/>
    <s v="Standard Class"/>
    <s v="EH-14005"/>
    <x v="477"/>
    <x v="2"/>
    <x v="0"/>
    <s v="Philadelphia"/>
    <x v="9"/>
    <n v="19143"/>
    <x v="3"/>
    <s v="OFF-EN-10003040"/>
    <s v="Office Supplies"/>
    <s v="Envelopes"/>
    <s v="Quality Park Security Envelopes"/>
    <n v="104.68"/>
    <m/>
    <s v="Office Supplies"/>
    <s v="OS"/>
  </r>
  <r>
    <n v="2130"/>
    <x v="478"/>
    <x v="367"/>
    <s v="22/05/2015"/>
    <s v="Second Class"/>
    <s v="RF-19345"/>
    <x v="478"/>
    <x v="1"/>
    <x v="0"/>
    <s v="Dover"/>
    <x v="38"/>
    <n v="3820"/>
    <x v="3"/>
    <s v="OFF-AP-10000124"/>
    <s v="Office Supplies"/>
    <s v="Appliances"/>
    <s v="Acco 6 Outlet Guardian Basic Surge Suppressor"/>
    <n v="33.28"/>
    <m/>
    <s v="Office Supplies"/>
    <s v="OS"/>
  </r>
  <r>
    <n v="2136"/>
    <x v="479"/>
    <x v="368"/>
    <s v="04/12/2016"/>
    <s v="Standard Class"/>
    <s v="WB-21850"/>
    <x v="479"/>
    <x v="0"/>
    <x v="0"/>
    <s v="Philadelphia"/>
    <x v="9"/>
    <n v="19134"/>
    <x v="3"/>
    <s v="TEC-PH-10002807"/>
    <s v="Technology"/>
    <s v="Phones"/>
    <s v="Motorla HX550 Universal Bluetooth Headset"/>
    <n v="94.92"/>
    <m/>
    <s v="Technology"/>
    <s v="Technology"/>
  </r>
  <r>
    <n v="2137"/>
    <x v="480"/>
    <x v="369"/>
    <s v="05/01/2017"/>
    <s v="Standard Class"/>
    <s v="TB-21625"/>
    <x v="480"/>
    <x v="0"/>
    <x v="0"/>
    <s v="Grand Prairie"/>
    <x v="5"/>
    <n v="75051"/>
    <x v="2"/>
    <s v="FUR-FU-10002364"/>
    <s v="Furniture"/>
    <s v="Furnishings"/>
    <s v="Eldon Expressions Wood Desk Accessories, Oak"/>
    <n v="14.76"/>
    <m/>
    <s v="Cardbaord"/>
    <s v="cardbaord"/>
  </r>
  <r>
    <n v="2173"/>
    <x v="481"/>
    <x v="351"/>
    <s v="03/08/2015"/>
    <s v="First Class"/>
    <s v="IL-15100"/>
    <x v="481"/>
    <x v="0"/>
    <x v="0"/>
    <s v="San Francisco"/>
    <x v="1"/>
    <n v="94122"/>
    <x v="1"/>
    <s v="OFF-BI-10004506"/>
    <s v="Office Supplies"/>
    <s v="Binders"/>
    <s v="Wilson Jones data.warehouse D-Ring Binders with DublLock"/>
    <n v="19.751999999999999"/>
    <m/>
    <s v="Office Supplies"/>
    <s v="OS"/>
  </r>
  <r>
    <n v="2176"/>
    <x v="482"/>
    <x v="370"/>
    <s v="21/10/2017"/>
    <s v="Standard Class"/>
    <s v="PB-18805"/>
    <x v="482"/>
    <x v="2"/>
    <x v="0"/>
    <s v="Salt Lake City"/>
    <x v="7"/>
    <n v="84106"/>
    <x v="1"/>
    <s v="OFF-PA-10000740"/>
    <s v="Office Supplies"/>
    <s v="Paper"/>
    <s v="Xerox 1982"/>
    <n v="45.68"/>
    <m/>
    <s v="Office Supplies"/>
    <s v="OS"/>
  </r>
  <r>
    <n v="2210"/>
    <x v="483"/>
    <x v="371"/>
    <s v="16/11/2015"/>
    <s v="Second Class"/>
    <s v="ML-17410"/>
    <x v="483"/>
    <x v="0"/>
    <x v="0"/>
    <s v="Fairfield"/>
    <x v="28"/>
    <n v="6824"/>
    <x v="3"/>
    <s v="TEC-PH-10001079"/>
    <s v="Technology"/>
    <s v="Phones"/>
    <s v="Polycom SoundPoint Pro SE-225 Corded phone"/>
    <n v="832.93"/>
    <m/>
    <s v="Technology"/>
    <s v="Technology"/>
  </r>
  <r>
    <n v="2218"/>
    <x v="484"/>
    <x v="55"/>
    <s v="25/09/2015"/>
    <s v="Standard Class"/>
    <s v="DB-13555"/>
    <x v="484"/>
    <x v="1"/>
    <x v="0"/>
    <s v="Jacksonville"/>
    <x v="2"/>
    <n v="32216"/>
    <x v="0"/>
    <s v="OFF-AR-10003469"/>
    <s v="Office Supplies"/>
    <s v="Art"/>
    <s v="Nontoxic Chalk"/>
    <n v="2.8159999999999998"/>
    <m/>
    <s v="Office Supplies"/>
    <s v="OS"/>
  </r>
  <r>
    <n v="2226"/>
    <x v="485"/>
    <x v="372"/>
    <s v="21/03/2017"/>
    <s v="Second Class"/>
    <s v="BT-11440"/>
    <x v="485"/>
    <x v="0"/>
    <x v="0"/>
    <s v="Littleton"/>
    <x v="21"/>
    <n v="80122"/>
    <x v="1"/>
    <s v="FUR-BO-10002202"/>
    <s v="Furniture"/>
    <s v="Bookcases"/>
    <s v="Atlantic Metals Mobile 2-Shelf Bookcases, Custom Colors"/>
    <n v="72.293999999999997"/>
    <m/>
    <s v="Cardbaord"/>
    <s v="cardbaord"/>
  </r>
  <r>
    <n v="2231"/>
    <x v="486"/>
    <x v="373"/>
    <s v="05/04/2015"/>
    <s v="Standard Class"/>
    <s v="AA-10315"/>
    <x v="486"/>
    <x v="0"/>
    <x v="0"/>
    <s v="San Francisco"/>
    <x v="1"/>
    <n v="94122"/>
    <x v="1"/>
    <s v="OFF-AP-10002765"/>
    <s v="Office Supplies"/>
    <s v="Appliances"/>
    <s v="Fellowes Advanced Computer Series Surge Protectors"/>
    <n v="52.98"/>
    <m/>
    <s v="Office Supplies"/>
    <s v="OS"/>
  </r>
  <r>
    <n v="2233"/>
    <x v="487"/>
    <x v="276"/>
    <s v="14/07/2018"/>
    <s v="Standard Class"/>
    <s v="JH-15820"/>
    <x v="487"/>
    <x v="0"/>
    <x v="0"/>
    <s v="Chicago"/>
    <x v="10"/>
    <n v="60610"/>
    <x v="2"/>
    <s v="OFF-ST-10003692"/>
    <s v="Office Supplies"/>
    <s v="Storage"/>
    <s v="Recycled Steel Personal File for Hanging File Folders"/>
    <n v="228.92"/>
    <m/>
    <s v="Office Supplies"/>
    <s v="OS"/>
  </r>
  <r>
    <n v="2237"/>
    <x v="488"/>
    <x v="374"/>
    <s v="17/09/2016"/>
    <s v="Second Class"/>
    <s v="CT-11995"/>
    <x v="488"/>
    <x v="0"/>
    <x v="0"/>
    <s v="Indianapolis"/>
    <x v="14"/>
    <n v="46203"/>
    <x v="2"/>
    <s v="OFF-AR-10000817"/>
    <s v="Office Supplies"/>
    <s v="Art"/>
    <s v="Manco Dry-Lighter Erasable Highlighter"/>
    <n v="24.32"/>
    <m/>
    <s v="Office Supplies"/>
    <s v="OS"/>
  </r>
  <r>
    <n v="2238"/>
    <x v="489"/>
    <x v="375"/>
    <s v="21/07/2017"/>
    <s v="Standard Class"/>
    <s v="RH-19510"/>
    <x v="489"/>
    <x v="2"/>
    <x v="0"/>
    <s v="Provo"/>
    <x v="7"/>
    <n v="84604"/>
    <x v="1"/>
    <s v="OFF-SU-10000952"/>
    <s v="Office Supplies"/>
    <s v="Supplies"/>
    <s v="Fiskars Home &amp; Office Scissors"/>
    <n v="44.4"/>
    <m/>
    <s v="Office Supplies"/>
    <s v="OS"/>
  </r>
  <r>
    <n v="2239"/>
    <x v="490"/>
    <x v="376"/>
    <s v="26/04/2018"/>
    <s v="Standard Class"/>
    <s v="SJ-20125"/>
    <x v="490"/>
    <x v="2"/>
    <x v="0"/>
    <s v="Chicago"/>
    <x v="10"/>
    <n v="60610"/>
    <x v="2"/>
    <s v="FUR-FU-10004597"/>
    <s v="Furniture"/>
    <s v="Furnishings"/>
    <s v="Eldon Cleatmat Chair Mats for Medium Pile Carpets"/>
    <n v="44.4"/>
    <m/>
    <s v="Cardbaord"/>
    <s v="cardbaord"/>
  </r>
  <r>
    <n v="2241"/>
    <x v="491"/>
    <x v="377"/>
    <s v="17/11/2017"/>
    <s v="Second Class"/>
    <s v="TG-21310"/>
    <x v="491"/>
    <x v="0"/>
    <x v="0"/>
    <s v="Los Angeles"/>
    <x v="1"/>
    <n v="90049"/>
    <x v="1"/>
    <s v="OFF-BI-10002982"/>
    <s v="Office Supplies"/>
    <s v="Binders"/>
    <s v="Avery Self-Adhesive Photo Pockets for Polaroid Photos"/>
    <n v="38.136000000000003"/>
    <m/>
    <s v="Office Supplies"/>
    <s v="OS"/>
  </r>
  <r>
    <n v="2248"/>
    <x v="492"/>
    <x v="346"/>
    <s v="18/02/2016"/>
    <s v="Second Class"/>
    <s v="JM-16195"/>
    <x v="492"/>
    <x v="0"/>
    <x v="0"/>
    <s v="Los Angeles"/>
    <x v="1"/>
    <n v="90004"/>
    <x v="1"/>
    <s v="OFF-PA-10004285"/>
    <s v="Office Supplies"/>
    <s v="Paper"/>
    <s v="Xerox 1959"/>
    <n v="13.36"/>
    <m/>
    <s v="Office Supplies"/>
    <s v="OS"/>
  </r>
  <r>
    <n v="2267"/>
    <x v="493"/>
    <x v="378"/>
    <s v="12/10/2018"/>
    <s v="Same Day"/>
    <s v="SM-20320"/>
    <x v="493"/>
    <x v="2"/>
    <x v="0"/>
    <s v="Monroe"/>
    <x v="3"/>
    <n v="28110"/>
    <x v="0"/>
    <s v="OFF-PA-10003919"/>
    <s v="Office Supplies"/>
    <s v="Paper"/>
    <s v="Xerox 1989"/>
    <n v="7.968"/>
    <m/>
    <s v="Office Supplies"/>
    <s v="OS"/>
  </r>
  <r>
    <n v="2268"/>
    <x v="494"/>
    <x v="379"/>
    <s v="17/09/2018"/>
    <s v="Same Day"/>
    <s v="TP-21415"/>
    <x v="494"/>
    <x v="0"/>
    <x v="0"/>
    <s v="Seattle"/>
    <x v="4"/>
    <n v="98115"/>
    <x v="1"/>
    <s v="OFF-PA-10002001"/>
    <s v="Office Supplies"/>
    <s v="Paper"/>
    <s v="Xerox 1984"/>
    <n v="12.96"/>
    <m/>
    <s v="Office Supplies"/>
    <s v="OS"/>
  </r>
  <r>
    <n v="2286"/>
    <x v="495"/>
    <x v="307"/>
    <s v="08/05/2017"/>
    <s v="First Class"/>
    <s v="PJ-18835"/>
    <x v="495"/>
    <x v="1"/>
    <x v="0"/>
    <s v="Murfreesboro"/>
    <x v="18"/>
    <n v="37130"/>
    <x v="0"/>
    <s v="OFF-PA-10003971"/>
    <s v="Office Supplies"/>
    <s v="Paper"/>
    <s v="Xerox 1965"/>
    <n v="14.352"/>
    <m/>
    <s v="Office Supplies"/>
    <s v="OS"/>
  </r>
  <r>
    <n v="2290"/>
    <x v="496"/>
    <x v="380"/>
    <s v="11/01/2018"/>
    <s v="First Class"/>
    <s v="RS-19420"/>
    <x v="496"/>
    <x v="1"/>
    <x v="0"/>
    <s v="Seattle"/>
    <x v="4"/>
    <n v="98115"/>
    <x v="1"/>
    <s v="FUR-TA-10001950"/>
    <s v="Furniture"/>
    <s v="Tables"/>
    <s v="Balt Solid Wood Round Tables"/>
    <n v="892.98"/>
    <m/>
    <s v="Cardbaord"/>
    <s v="cardbaord"/>
  </r>
  <r>
    <n v="2319"/>
    <x v="497"/>
    <x v="189"/>
    <s v="25/07/2018"/>
    <s v="Standard Class"/>
    <s v="EM-13825"/>
    <x v="497"/>
    <x v="1"/>
    <x v="0"/>
    <s v="Sioux Falls"/>
    <x v="39"/>
    <n v="57103"/>
    <x v="2"/>
    <s v="TEC-AC-10003095"/>
    <s v="Technology"/>
    <s v="Accessories"/>
    <s v="Logitech G35 7.1-Channel Surround Sound Headset"/>
    <n v="389.97"/>
    <m/>
    <s v="Technology"/>
    <s v="Technology"/>
  </r>
  <r>
    <n v="2329"/>
    <x v="498"/>
    <x v="281"/>
    <s v="26/09/2018"/>
    <s v="First Class"/>
    <s v="KN-16705"/>
    <x v="498"/>
    <x v="2"/>
    <x v="0"/>
    <s v="Fort Collins"/>
    <x v="21"/>
    <n v="80525"/>
    <x v="1"/>
    <s v="OFF-EN-10004147"/>
    <s v="Office Supplies"/>
    <s v="Envelopes"/>
    <s v="Wausau Papers Astrobrights Colored Envelopes"/>
    <n v="14.352"/>
    <m/>
    <s v="Office Supplies"/>
    <s v="OS"/>
  </r>
  <r>
    <n v="2337"/>
    <x v="499"/>
    <x v="381"/>
    <s v="10/12/2018"/>
    <s v="Same Day"/>
    <s v="CC-12220"/>
    <x v="499"/>
    <x v="0"/>
    <x v="0"/>
    <s v="Fairfield"/>
    <x v="28"/>
    <n v="6824"/>
    <x v="3"/>
    <s v="OFF-AP-10000026"/>
    <s v="Office Supplies"/>
    <s v="Appliances"/>
    <s v="Tripp Lite Isotel 6 Outlet Surge Protector with Fax/Modem Protection"/>
    <n v="426.79"/>
    <m/>
    <s v="Office Supplies"/>
    <s v="OS"/>
  </r>
  <r>
    <n v="2356"/>
    <x v="500"/>
    <x v="382"/>
    <s v="02/09/2016"/>
    <s v="First Class"/>
    <s v="SC-20260"/>
    <x v="500"/>
    <x v="1"/>
    <x v="0"/>
    <s v="San Francisco"/>
    <x v="1"/>
    <n v="94122"/>
    <x v="1"/>
    <s v="TEC-AC-10004864"/>
    <s v="Technology"/>
    <s v="Accessories"/>
    <s v="Memorex Micro Travel Drive 32 GB"/>
    <n v="36.51"/>
    <m/>
    <s v="Technology"/>
    <s v="Technology"/>
  </r>
  <r>
    <n v="2367"/>
    <x v="501"/>
    <x v="137"/>
    <s v="26/11/2015"/>
    <s v="Second Class"/>
    <s v="EH-13990"/>
    <x v="501"/>
    <x v="0"/>
    <x v="0"/>
    <s v="Sacramento"/>
    <x v="1"/>
    <n v="95823"/>
    <x v="1"/>
    <s v="FUR-CH-10001714"/>
    <s v="Furniture"/>
    <s v="Chairs"/>
    <s v="Global Leather &amp; Oak Executive Chair, Burgundy"/>
    <n v="120.712"/>
    <m/>
    <s v="Cardbaord"/>
    <s v="cardbaord"/>
  </r>
  <r>
    <n v="2373"/>
    <x v="502"/>
    <x v="220"/>
    <s v="11/07/2017"/>
    <s v="Second Class"/>
    <s v="BF-11020"/>
    <x v="502"/>
    <x v="1"/>
    <x v="0"/>
    <s v="Aurora"/>
    <x v="10"/>
    <n v="60505"/>
    <x v="2"/>
    <s v="OFF-FA-10000936"/>
    <s v="Office Supplies"/>
    <s v="Fasteners"/>
    <s v="Acco Hot Clips Clips to Go"/>
    <n v="2.6320000000000001"/>
    <m/>
    <s v="Office Supplies"/>
    <s v="OS"/>
  </r>
  <r>
    <n v="2381"/>
    <x v="503"/>
    <x v="383"/>
    <s v="10/05/2017"/>
    <s v="Standard Class"/>
    <s v="BE-11455"/>
    <x v="503"/>
    <x v="2"/>
    <x v="0"/>
    <s v="Lorain"/>
    <x v="23"/>
    <n v="44052"/>
    <x v="3"/>
    <s v="OFF-PA-10002581"/>
    <s v="Office Supplies"/>
    <s v="Paper"/>
    <s v="Xerox 1951"/>
    <n v="49.567999999999998"/>
    <m/>
    <s v="Office Supplies"/>
    <s v="OS"/>
  </r>
  <r>
    <n v="2383"/>
    <x v="504"/>
    <x v="384"/>
    <s v="26/03/2018"/>
    <s v="First Class"/>
    <s v="CV-12295"/>
    <x v="504"/>
    <x v="0"/>
    <x v="0"/>
    <s v="Fresno"/>
    <x v="1"/>
    <n v="93727"/>
    <x v="1"/>
    <s v="OFF-AP-10002403"/>
    <s v="Office Supplies"/>
    <s v="Appliances"/>
    <s v="Acco Smartsocket Color-Coded Six-Outlet AC Adapter Model Surge Protectors"/>
    <n v="176.04"/>
    <m/>
    <s v="Office Supplies"/>
    <s v="OS"/>
  </r>
  <r>
    <n v="2388"/>
    <x v="505"/>
    <x v="232"/>
    <s v="15/12/2016"/>
    <s v="First Class"/>
    <s v="DK-13375"/>
    <x v="505"/>
    <x v="0"/>
    <x v="0"/>
    <s v="San Diego"/>
    <x v="1"/>
    <n v="92105"/>
    <x v="1"/>
    <s v="OFF-FA-10001229"/>
    <s v="Office Supplies"/>
    <s v="Fasteners"/>
    <s v="Staples"/>
    <n v="7.86"/>
    <m/>
    <s v="Office Supplies"/>
    <s v="OS"/>
  </r>
  <r>
    <n v="2390"/>
    <x v="506"/>
    <x v="325"/>
    <s v="10/12/2016"/>
    <s v="Standard Class"/>
    <s v="SG-20605"/>
    <x v="506"/>
    <x v="0"/>
    <x v="0"/>
    <s v="New York City"/>
    <x v="15"/>
    <n v="10009"/>
    <x v="3"/>
    <s v="OFF-PA-10004255"/>
    <s v="Office Supplies"/>
    <s v="Paper"/>
    <s v="Xerox 219"/>
    <n v="6.48"/>
    <m/>
    <s v="Office Supplies"/>
    <s v="OS"/>
  </r>
  <r>
    <n v="2409"/>
    <x v="507"/>
    <x v="336"/>
    <s v="25/01/2018"/>
    <s v="Standard Class"/>
    <s v="TM-21010"/>
    <x v="507"/>
    <x v="0"/>
    <x v="0"/>
    <s v="San Francisco"/>
    <x v="1"/>
    <n v="94122"/>
    <x v="1"/>
    <s v="TEC-PH-10003072"/>
    <s v="Technology"/>
    <s v="Phones"/>
    <s v="Panasonic KX-TG9541B DECT 6.0 Digital 2-Line Expandable Cordless Phone With Digital Answering System"/>
    <n v="359.976"/>
    <m/>
    <s v="Technology"/>
    <s v="Technology"/>
  </r>
  <r>
    <n v="2421"/>
    <x v="508"/>
    <x v="41"/>
    <s v="14/11/2018"/>
    <s v="Standard Class"/>
    <s v="MC-17590"/>
    <x v="508"/>
    <x v="1"/>
    <x v="0"/>
    <s v="Coachella"/>
    <x v="1"/>
    <n v="92236"/>
    <x v="1"/>
    <s v="TEC-AC-10004171"/>
    <s v="Technology"/>
    <s v="Accessories"/>
    <s v="Razer Kraken 7.1 Surround Sound Over Ear USB Gaming Headset"/>
    <n v="99.99"/>
    <m/>
    <s v="Technology"/>
    <s v="Technology"/>
  </r>
  <r>
    <n v="2426"/>
    <x v="509"/>
    <x v="49"/>
    <s v="30/12/2018"/>
    <s v="Standard Class"/>
    <s v="SV-20935"/>
    <x v="509"/>
    <x v="0"/>
    <x v="0"/>
    <s v="Fairfield"/>
    <x v="23"/>
    <n v="45014"/>
    <x v="3"/>
    <s v="FUR-TA-10002645"/>
    <s v="Furniture"/>
    <s v="Tables"/>
    <s v="Hon Rectangular Conference Tables"/>
    <n v="273.06"/>
    <m/>
    <s v="Cardbaord"/>
    <s v="cardbaord"/>
  </r>
  <r>
    <n v="2433"/>
    <x v="510"/>
    <x v="385"/>
    <s v="01/04/2015"/>
    <s v="Standard Class"/>
    <s v="AZ-10750"/>
    <x v="510"/>
    <x v="0"/>
    <x v="0"/>
    <s v="New York City"/>
    <x v="15"/>
    <n v="10009"/>
    <x v="3"/>
    <s v="FUR-CH-10002439"/>
    <s v="Furniture"/>
    <s v="Chairs"/>
    <s v="Iceberg Nesting Folding Chair, 19w x 6d x 43h"/>
    <n v="366.786"/>
    <m/>
    <s v="Cardbaord"/>
    <s v="cardbaord"/>
  </r>
  <r>
    <n v="2438"/>
    <x v="511"/>
    <x v="386"/>
    <s v="20/11/2015"/>
    <s v="Second Class"/>
    <s v="PW-19240"/>
    <x v="511"/>
    <x v="0"/>
    <x v="0"/>
    <s v="Louisville"/>
    <x v="21"/>
    <n v="80027"/>
    <x v="1"/>
    <s v="FUR-TA-10000849"/>
    <s v="Furniture"/>
    <s v="Tables"/>
    <s v="Bevis Rectangular Conference Tables"/>
    <n v="145.97999999999999"/>
    <m/>
    <s v="Cardbaord"/>
    <s v="cardbaord"/>
  </r>
  <r>
    <n v="2445"/>
    <x v="512"/>
    <x v="387"/>
    <s v="27/05/2017"/>
    <s v="Standard Class"/>
    <s v="AF-10870"/>
    <x v="512"/>
    <x v="0"/>
    <x v="0"/>
    <s v="Passaic"/>
    <x v="29"/>
    <n v="7055"/>
    <x v="3"/>
    <s v="OFF-EN-10002973"/>
    <s v="Office Supplies"/>
    <s v="Envelopes"/>
    <s v="Ampad #10 Peel &amp; Seel Holiday Envelopes"/>
    <n v="26.88"/>
    <m/>
    <s v="Office Supplies"/>
    <s v="OS"/>
  </r>
  <r>
    <n v="2451"/>
    <x v="513"/>
    <x v="388"/>
    <s v="22/03/2018"/>
    <s v="Second Class"/>
    <s v="DB-13405"/>
    <x v="513"/>
    <x v="0"/>
    <x v="0"/>
    <s v="New York City"/>
    <x v="15"/>
    <n v="10011"/>
    <x v="3"/>
    <s v="OFF-LA-10000081"/>
    <s v="Office Supplies"/>
    <s v="Labels"/>
    <s v="Avery 496"/>
    <n v="18.75"/>
    <m/>
    <s v="Office Supplies"/>
    <s v="OS"/>
  </r>
  <r>
    <n v="2471"/>
    <x v="514"/>
    <x v="389"/>
    <s v="28/01/2017"/>
    <s v="Standard Class"/>
    <s v="CM-11935"/>
    <x v="514"/>
    <x v="0"/>
    <x v="0"/>
    <s v="Fayetteville"/>
    <x v="3"/>
    <n v="28314"/>
    <x v="0"/>
    <s v="FUR-FU-10002107"/>
    <s v="Furniture"/>
    <s v="Furnishings"/>
    <s v="Eldon Pizzaz Desk Accessories"/>
    <n v="14.272"/>
    <m/>
    <s v="Cardbaord"/>
    <s v="cardbaord"/>
  </r>
  <r>
    <n v="2490"/>
    <x v="515"/>
    <x v="390"/>
    <s v="13/10/2016"/>
    <s v="Second Class"/>
    <s v="TB-21250"/>
    <x v="515"/>
    <x v="0"/>
    <x v="0"/>
    <s v="New York City"/>
    <x v="15"/>
    <n v="10024"/>
    <x v="3"/>
    <s v="TEC-PH-10001835"/>
    <s v="Technology"/>
    <s v="Phones"/>
    <s v="Jawbone JAMBOX Wireless Bluetooth Speaker"/>
    <n v="631.96"/>
    <m/>
    <s v="Technology"/>
    <s v="Technology"/>
  </r>
  <r>
    <n v="2508"/>
    <x v="516"/>
    <x v="391"/>
    <s v="02/07/2016"/>
    <s v="Same Day"/>
    <s v="RB-19435"/>
    <x v="516"/>
    <x v="0"/>
    <x v="0"/>
    <s v="Houston"/>
    <x v="5"/>
    <n v="77070"/>
    <x v="2"/>
    <s v="OFF-AP-10001293"/>
    <s v="Office Supplies"/>
    <s v="Appliances"/>
    <s v="Belkin 8 Outlet Surge Protector"/>
    <n v="32.783999999999999"/>
    <m/>
    <s v="Office Supplies"/>
    <s v="OS"/>
  </r>
  <r>
    <n v="2511"/>
    <x v="517"/>
    <x v="392"/>
    <s v="23/11/2017"/>
    <s v="Standard Class"/>
    <s v="AW-10930"/>
    <x v="517"/>
    <x v="2"/>
    <x v="0"/>
    <s v="Oklahoma City"/>
    <x v="25"/>
    <n v="73120"/>
    <x v="2"/>
    <s v="OFF-ST-10003470"/>
    <s v="Office Supplies"/>
    <s v="Storage"/>
    <s v="Tennsco Snap-Together Open Shelving Units, Starter Sets and Add-On Units"/>
    <n v="1117.92"/>
    <m/>
    <s v="Office Supplies"/>
    <s v="OS"/>
  </r>
  <r>
    <n v="2526"/>
    <x v="518"/>
    <x v="393"/>
    <s v="10/04/2016"/>
    <s v="Standard Class"/>
    <s v="TT-21220"/>
    <x v="518"/>
    <x v="0"/>
    <x v="0"/>
    <s v="Houston"/>
    <x v="5"/>
    <n v="77041"/>
    <x v="2"/>
    <s v="TEC-AC-10002550"/>
    <s v="Technology"/>
    <s v="Accessories"/>
    <s v="Maxell 4.7GB DVD-RW 3/Pack"/>
    <n v="25.488"/>
    <m/>
    <s v="Technology"/>
    <s v="Technology"/>
  </r>
  <r>
    <n v="2552"/>
    <x v="519"/>
    <x v="182"/>
    <s v="23/11/2018"/>
    <s v="Standard Class"/>
    <s v="AB-10105"/>
    <x v="519"/>
    <x v="0"/>
    <x v="0"/>
    <s v="Henderson"/>
    <x v="0"/>
    <n v="42420"/>
    <x v="0"/>
    <s v="FUR-FU-10004665"/>
    <s v="Furniture"/>
    <s v="Furnishings"/>
    <s v="3M Polarizing Task Lamp with Clamp Arm, Light Gray"/>
    <n v="821.88"/>
    <m/>
    <s v="Cardbaord"/>
    <s v="cardbaord"/>
  </r>
  <r>
    <n v="2555"/>
    <x v="520"/>
    <x v="204"/>
    <s v="20/08/2017"/>
    <s v="Standard Class"/>
    <s v="JC-15775"/>
    <x v="520"/>
    <x v="0"/>
    <x v="0"/>
    <s v="Tallahassee"/>
    <x v="2"/>
    <n v="32303"/>
    <x v="0"/>
    <s v="TEC-PH-10000369"/>
    <s v="Technology"/>
    <s v="Phones"/>
    <s v="HTC One Mini"/>
    <n v="705.54399999999998"/>
    <m/>
    <s v="Technology"/>
    <s v="Technology"/>
  </r>
  <r>
    <n v="2557"/>
    <x v="521"/>
    <x v="394"/>
    <s v="14/10/2017"/>
    <s v="Standard Class"/>
    <s v="BW-11110"/>
    <x v="521"/>
    <x v="1"/>
    <x v="0"/>
    <s v="Houston"/>
    <x v="5"/>
    <n v="77070"/>
    <x v="2"/>
    <s v="FUR-FU-10004909"/>
    <s v="Furniture"/>
    <s v="Furnishings"/>
    <s v="Contemporary Wood/Metal Frame"/>
    <n v="51.712000000000003"/>
    <m/>
    <s v="Cardbaord"/>
    <s v="cardbaord"/>
  </r>
  <r>
    <n v="2603"/>
    <x v="522"/>
    <x v="29"/>
    <s v="04/06/2017"/>
    <s v="Same Day"/>
    <s v="EN-13780"/>
    <x v="522"/>
    <x v="0"/>
    <x v="0"/>
    <s v="New York City"/>
    <x v="15"/>
    <n v="10035"/>
    <x v="3"/>
    <s v="TEC-MA-10003356"/>
    <s v="Technology"/>
    <s v="Machines"/>
    <s v="Panasonic KX MC6040 Color Laser Multifunction Printer"/>
    <n v="1349.85"/>
    <m/>
    <s v="Technology"/>
    <s v="Technology"/>
  </r>
  <r>
    <n v="2624"/>
    <x v="523"/>
    <x v="395"/>
    <s v="24/10/2018"/>
    <s v="First Class"/>
    <s v="TA-21385"/>
    <x v="523"/>
    <x v="2"/>
    <x v="0"/>
    <s v="New York City"/>
    <x v="15"/>
    <n v="10024"/>
    <x v="3"/>
    <s v="TEC-CO-10004722"/>
    <s v="Technology"/>
    <s v="Copiers"/>
    <s v="Canon imageCLASS 2200 Advanced Copier"/>
    <n v="11199.968000000001"/>
    <m/>
    <s v="Technology"/>
    <s v="Technology"/>
  </r>
  <r>
    <n v="2633"/>
    <x v="524"/>
    <x v="261"/>
    <s v="20/05/2018"/>
    <s v="Standard Class"/>
    <s v="JF-15295"/>
    <x v="524"/>
    <x v="0"/>
    <x v="0"/>
    <s v="Seattle"/>
    <x v="4"/>
    <n v="98103"/>
    <x v="1"/>
    <s v="FUR-CH-10002017"/>
    <s v="Furniture"/>
    <s v="Chairs"/>
    <s v="SAFCO Optional Arm Kit for Workspace Cribbage Stacking Chair"/>
    <n v="42.624000000000002"/>
    <m/>
    <s v="Cardbaord"/>
    <s v="cardbaord"/>
  </r>
  <r>
    <n v="2638"/>
    <x v="525"/>
    <x v="318"/>
    <s v="18/06/2018"/>
    <s v="Standard Class"/>
    <s v="SB-20170"/>
    <x v="525"/>
    <x v="0"/>
    <x v="0"/>
    <s v="New York City"/>
    <x v="15"/>
    <n v="10035"/>
    <x v="3"/>
    <s v="OFF-PA-10000697"/>
    <s v="Office Supplies"/>
    <s v="Paper"/>
    <s v="TOPS Voice Message Log Book, Flash Format"/>
    <n v="19.04"/>
    <m/>
    <s v="Office Supplies"/>
    <s v="OS"/>
  </r>
  <r>
    <n v="2647"/>
    <x v="526"/>
    <x v="396"/>
    <s v="12/09/2015"/>
    <s v="Second Class"/>
    <s v="TB-21400"/>
    <x v="526"/>
    <x v="0"/>
    <x v="0"/>
    <s v="Tulsa"/>
    <x v="25"/>
    <n v="74133"/>
    <x v="2"/>
    <s v="OFF-BI-10000948"/>
    <s v="Office Supplies"/>
    <s v="Binders"/>
    <s v="GBC Laser Imprintable Binding System Covers, Desert Sand"/>
    <n v="42.81"/>
    <m/>
    <s v="Office Supplies"/>
    <s v="OS"/>
  </r>
  <r>
    <n v="2672"/>
    <x v="527"/>
    <x v="397"/>
    <s v="12/09/2015"/>
    <s v="Second Class"/>
    <s v="RR-19525"/>
    <x v="527"/>
    <x v="1"/>
    <x v="0"/>
    <s v="Lowell"/>
    <x v="30"/>
    <n v="1852"/>
    <x v="3"/>
    <s v="FUR-CH-10003761"/>
    <s v="Furniture"/>
    <s v="Chairs"/>
    <s v="Global Italian Leather Office Chair"/>
    <n v="785.88"/>
    <m/>
    <s v="Cardbaord"/>
    <s v="cardbaord"/>
  </r>
  <r>
    <n v="2716"/>
    <x v="528"/>
    <x v="398"/>
    <s v="08/12/2015"/>
    <s v="Standard Class"/>
    <s v="CP-12085"/>
    <x v="528"/>
    <x v="1"/>
    <x v="0"/>
    <s v="New York City"/>
    <x v="15"/>
    <n v="10024"/>
    <x v="3"/>
    <s v="TEC-PH-10000673"/>
    <s v="Technology"/>
    <s v="Phones"/>
    <s v="Plantronics Voyager Pro HD - Bluetooth Headset"/>
    <n v="129.97999999999999"/>
    <m/>
    <s v="Technology"/>
    <s v="Technology"/>
  </r>
  <r>
    <n v="2740"/>
    <x v="529"/>
    <x v="324"/>
    <s v="18/04/2018"/>
    <s v="First Class"/>
    <s v="EB-13750"/>
    <x v="529"/>
    <x v="1"/>
    <x v="0"/>
    <s v="Hoover"/>
    <x v="19"/>
    <n v="35244"/>
    <x v="0"/>
    <s v="OFF-SU-10000157"/>
    <s v="Office Supplies"/>
    <s v="Supplies"/>
    <s v="Compact Automatic Electric Letter Opener"/>
    <n v="477.24"/>
    <m/>
    <s v="Office Supplies"/>
    <s v="OS"/>
  </r>
  <r>
    <n v="2769"/>
    <x v="530"/>
    <x v="399"/>
    <s v="07/04/2016"/>
    <s v="Standard Class"/>
    <s v="MO-17950"/>
    <x v="530"/>
    <x v="0"/>
    <x v="0"/>
    <s v="Dallas"/>
    <x v="5"/>
    <n v="75220"/>
    <x v="2"/>
    <s v="OFF-AP-10001242"/>
    <s v="Office Supplies"/>
    <s v="Appliances"/>
    <s v="APC 7 Outlet Network SurgeArrest Surge Protector"/>
    <n v="32.192"/>
    <m/>
    <s v="Office Supplies"/>
    <s v="OS"/>
  </r>
  <r>
    <n v="2808"/>
    <x v="531"/>
    <x v="400"/>
    <s v="27/07/2016"/>
    <s v="Second Class"/>
    <s v="MH-18025"/>
    <x v="531"/>
    <x v="0"/>
    <x v="0"/>
    <s v="Seattle"/>
    <x v="4"/>
    <n v="98115"/>
    <x v="1"/>
    <s v="OFF-PA-10004782"/>
    <s v="Office Supplies"/>
    <s v="Paper"/>
    <s v="Xerox 228"/>
    <n v="12.96"/>
    <m/>
    <s v="Office Supplies"/>
    <s v="OS"/>
  </r>
  <r>
    <n v="2812"/>
    <x v="532"/>
    <x v="401"/>
    <s v="18/11/2016"/>
    <s v="Second Class"/>
    <s v="MP-18175"/>
    <x v="532"/>
    <x v="2"/>
    <x v="0"/>
    <s v="Milwaukee"/>
    <x v="6"/>
    <n v="53209"/>
    <x v="2"/>
    <s v="FUR-FU-10001185"/>
    <s v="Furniture"/>
    <s v="Furnishings"/>
    <s v="Advantus Employee of the Month Certificate Frame, 11 x 13-1/2"/>
    <n v="185.58"/>
    <m/>
    <s v="Cardbaord"/>
    <s v="cardbaord"/>
  </r>
  <r>
    <n v="2848"/>
    <x v="533"/>
    <x v="402"/>
    <s v="15/04/2018"/>
    <s v="Standard Class"/>
    <s v="DM-13345"/>
    <x v="533"/>
    <x v="1"/>
    <x v="0"/>
    <s v="Roswell"/>
    <x v="31"/>
    <n v="30076"/>
    <x v="0"/>
    <s v="FUR-FU-10003832"/>
    <s v="Furniture"/>
    <s v="Furnishings"/>
    <s v="Eldon Expressions Punched Metal &amp; Wood Desk Accessories, Black &amp; Cherry"/>
    <n v="56.28"/>
    <m/>
    <s v="Cardbaord"/>
    <s v="cardbaord"/>
  </r>
  <r>
    <n v="2860"/>
    <x v="534"/>
    <x v="202"/>
    <s v="23/05/2018"/>
    <s v="Standard Class"/>
    <s v="SC-20380"/>
    <x v="534"/>
    <x v="0"/>
    <x v="0"/>
    <s v="Atlanta"/>
    <x v="31"/>
    <n v="30318"/>
    <x v="0"/>
    <s v="TEC-PH-10004389"/>
    <s v="Technology"/>
    <s v="Phones"/>
    <s v="Nokia Lumia 925"/>
    <n v="377.97"/>
    <m/>
    <s v="Technology"/>
    <s v="Technology"/>
  </r>
  <r>
    <n v="2952"/>
    <x v="535"/>
    <x v="95"/>
    <s v="12/11/2018"/>
    <s v="Same Day"/>
    <s v="EM-14140"/>
    <x v="535"/>
    <x v="2"/>
    <x v="0"/>
    <s v="Glendale"/>
    <x v="16"/>
    <n v="85301"/>
    <x v="1"/>
    <s v="FUR-CH-10004875"/>
    <s v="Furniture"/>
    <s v="Chairs"/>
    <s v="Harbour Creations 67200 Series Stacking Chairs"/>
    <n v="113.88800000000001"/>
    <m/>
    <s v="Cardbaord"/>
    <s v="cardbaord"/>
  </r>
  <r>
    <n v="2966"/>
    <x v="536"/>
    <x v="403"/>
    <s v="21/12/2018"/>
    <s v="Second Class"/>
    <s v="AY-10555"/>
    <x v="536"/>
    <x v="1"/>
    <x v="0"/>
    <s v="Oceanside"/>
    <x v="1"/>
    <n v="92054"/>
    <x v="1"/>
    <s v="FUR-FU-10002445"/>
    <s v="Furniture"/>
    <s v="Furnishings"/>
    <s v="DAX Two-Tone Rosewood/Black Document Frame, Desktop, 5 x 7"/>
    <n v="18.96"/>
    <m/>
    <s v="Cardbaord"/>
    <s v="cardbaord"/>
  </r>
  <r>
    <n v="2980"/>
    <x v="537"/>
    <x v="404"/>
    <s v="17/06/2016"/>
    <s v="Standard Class"/>
    <s v="GB-14575"/>
    <x v="537"/>
    <x v="0"/>
    <x v="0"/>
    <s v="Philadelphia"/>
    <x v="9"/>
    <n v="19134"/>
    <x v="3"/>
    <s v="OFF-PA-10003848"/>
    <s v="Office Supplies"/>
    <s v="Paper"/>
    <s v="Xerox 1997"/>
    <n v="20.736000000000001"/>
    <m/>
    <s v="Office Supplies"/>
    <s v="OS"/>
  </r>
  <r>
    <n v="2986"/>
    <x v="538"/>
    <x v="405"/>
    <s v="30/05/2017"/>
    <s v="Standard Class"/>
    <s v="JB-16045"/>
    <x v="538"/>
    <x v="2"/>
    <x v="0"/>
    <s v="Columbus"/>
    <x v="31"/>
    <n v="31907"/>
    <x v="0"/>
    <s v="FUR-FU-10000755"/>
    <s v="Furniture"/>
    <s v="Furnishings"/>
    <s v="Eldon Expressions Mahogany Wood Desk Collection"/>
    <n v="24.96"/>
    <m/>
    <s v="Cardbaord"/>
    <s v="cardbaord"/>
  </r>
  <r>
    <n v="3005"/>
    <x v="539"/>
    <x v="143"/>
    <s v="10/09/2017"/>
    <s v="First Class"/>
    <s v="MG-17875"/>
    <x v="539"/>
    <x v="2"/>
    <x v="0"/>
    <s v="New York City"/>
    <x v="15"/>
    <n v="10011"/>
    <x v="3"/>
    <s v="OFF-AP-10003779"/>
    <s v="Office Supplies"/>
    <s v="Appliances"/>
    <s v="Kensington 7 Outlet MasterPiece Power Center with Fax/Phone Line Protection"/>
    <n v="207.48"/>
    <m/>
    <s v="Office Supplies"/>
    <s v="OS"/>
  </r>
  <r>
    <n v="3028"/>
    <x v="540"/>
    <x v="406"/>
    <s v="24/08/2015"/>
    <s v="Same Day"/>
    <s v="RB-19645"/>
    <x v="540"/>
    <x v="1"/>
    <x v="0"/>
    <s v="Billings"/>
    <x v="40"/>
    <n v="59102"/>
    <x v="1"/>
    <s v="OFF-BI-10002799"/>
    <s v="Office Supplies"/>
    <s v="Binders"/>
    <s v="SlimView Poly Binder, 3/8&quot;"/>
    <n v="8.2880000000000003"/>
    <m/>
    <s v="Office Supplies"/>
    <s v="OS"/>
  </r>
  <r>
    <n v="3043"/>
    <x v="541"/>
    <x v="407"/>
    <s v="12/09/2018"/>
    <s v="Same Day"/>
    <s v="KF-16285"/>
    <x v="541"/>
    <x v="2"/>
    <x v="0"/>
    <s v="Long Beach"/>
    <x v="1"/>
    <n v="90805"/>
    <x v="1"/>
    <s v="OFF-EN-10002312"/>
    <s v="Office Supplies"/>
    <s v="Envelopes"/>
    <s v="#10 Self-Seal White Envelopes"/>
    <n v="22.18"/>
    <m/>
    <s v="Office Supplies"/>
    <s v="OS"/>
  </r>
  <r>
    <n v="3067"/>
    <x v="542"/>
    <x v="408"/>
    <s v="18/03/2018"/>
    <s v="Second Class"/>
    <s v="BF-11215"/>
    <x v="542"/>
    <x v="2"/>
    <x v="0"/>
    <s v="Albuquerque"/>
    <x v="26"/>
    <n v="87105"/>
    <x v="1"/>
    <s v="TEC-AC-10004001"/>
    <s v="Technology"/>
    <s v="Accessories"/>
    <s v="Logitech Wireless Headset H600 Over-The-Head Design"/>
    <n v="214.95"/>
    <m/>
    <s v="Technology"/>
    <s v="Technology"/>
  </r>
  <r>
    <n v="3090"/>
    <x v="543"/>
    <x v="305"/>
    <s v="02/04/2018"/>
    <s v="Second Class"/>
    <s v="DB-12910"/>
    <x v="543"/>
    <x v="2"/>
    <x v="0"/>
    <s v="Henderson"/>
    <x v="0"/>
    <n v="42420"/>
    <x v="0"/>
    <s v="TEC-PH-10000526"/>
    <s v="Technology"/>
    <s v="Phones"/>
    <s v="Vtech CS6719"/>
    <n v="671.93"/>
    <m/>
    <s v="Technology"/>
    <s v="Technology"/>
  </r>
  <r>
    <n v="3103"/>
    <x v="544"/>
    <x v="61"/>
    <s v="27/12/2018"/>
    <s v="Second Class"/>
    <s v="JG-15310"/>
    <x v="544"/>
    <x v="1"/>
    <x v="0"/>
    <s v="Providence"/>
    <x v="33"/>
    <n v="2908"/>
    <x v="3"/>
    <s v="FUR-BO-10003660"/>
    <s v="Furniture"/>
    <s v="Bookcases"/>
    <s v="Bush Cubix Collection Bookcases, Fully Assembled"/>
    <n v="220.98"/>
    <m/>
    <s v="Cardbaord"/>
    <s v="cardbaord"/>
  </r>
  <r>
    <n v="3104"/>
    <x v="545"/>
    <x v="15"/>
    <s v="12/12/2017"/>
    <s v="Standard Class"/>
    <s v="JP-16135"/>
    <x v="545"/>
    <x v="2"/>
    <x v="0"/>
    <s v="Columbus"/>
    <x v="23"/>
    <n v="43229"/>
    <x v="3"/>
    <s v="OFF-BI-10001267"/>
    <s v="Office Supplies"/>
    <s v="Binders"/>
    <s v="Universal Recycled Hanging Pressboard Report Binders, Letter Size"/>
    <n v="12.957000000000001"/>
    <m/>
    <s v="Office Supplies"/>
    <s v="OS"/>
  </r>
  <r>
    <n v="3105"/>
    <x v="546"/>
    <x v="409"/>
    <s v="29/03/2018"/>
    <s v="Standard Class"/>
    <s v="EC-14050"/>
    <x v="546"/>
    <x v="0"/>
    <x v="0"/>
    <s v="New York City"/>
    <x v="15"/>
    <n v="10024"/>
    <x v="3"/>
    <s v="OFF-PA-10002741"/>
    <s v="Office Supplies"/>
    <s v="Paper"/>
    <s v="Xerox 1980"/>
    <n v="25.68"/>
    <m/>
    <s v="Office Supplies"/>
    <s v="OS"/>
  </r>
  <r>
    <n v="3128"/>
    <x v="547"/>
    <x v="225"/>
    <s v="06/10/2018"/>
    <s v="Standard Class"/>
    <s v="BP-11155"/>
    <x v="547"/>
    <x v="0"/>
    <x v="0"/>
    <s v="New York City"/>
    <x v="15"/>
    <n v="10011"/>
    <x v="3"/>
    <s v="OFF-PA-10004438"/>
    <s v="Office Supplies"/>
    <s v="Paper"/>
    <s v="Xerox 1907"/>
    <n v="49.12"/>
    <m/>
    <s v="Office Supplies"/>
    <s v="OS"/>
  </r>
  <r>
    <n v="3133"/>
    <x v="548"/>
    <x v="406"/>
    <s v="26/08/2015"/>
    <s v="First Class"/>
    <s v="JP-15460"/>
    <x v="548"/>
    <x v="1"/>
    <x v="0"/>
    <s v="Oceanside"/>
    <x v="15"/>
    <n v="11572"/>
    <x v="3"/>
    <s v="FUR-FU-10004586"/>
    <s v="Furniture"/>
    <s v="Furnishings"/>
    <s v="G.E. Longer-Life Indoor Recessed Floodlight Bulbs"/>
    <n v="13.28"/>
    <m/>
    <s v="Cardbaord"/>
    <s v="cardbaord"/>
  </r>
  <r>
    <n v="3146"/>
    <x v="549"/>
    <x v="410"/>
    <s v="13/02/2018"/>
    <s v="Second Class"/>
    <s v="CS-11845"/>
    <x v="549"/>
    <x v="1"/>
    <x v="0"/>
    <s v="Seattle"/>
    <x v="4"/>
    <n v="98105"/>
    <x v="1"/>
    <s v="FUR-CH-10004495"/>
    <s v="Furniture"/>
    <s v="Chairs"/>
    <s v="Global Leather and Oak Executive Chair, Black"/>
    <n v="963.13599999999997"/>
    <m/>
    <s v="Cardbaord"/>
    <s v="cardbaord"/>
  </r>
  <r>
    <n v="3161"/>
    <x v="550"/>
    <x v="149"/>
    <s v="16/09/2015"/>
    <s v="Second Class"/>
    <s v="PT-19090"/>
    <x v="550"/>
    <x v="0"/>
    <x v="0"/>
    <s v="Houston"/>
    <x v="5"/>
    <n v="77070"/>
    <x v="2"/>
    <s v="OFF-BI-10004040"/>
    <s v="Office Supplies"/>
    <s v="Binders"/>
    <s v="Wilson Jones Impact Binders"/>
    <n v="5.18"/>
    <m/>
    <s v="Office Supplies"/>
    <s v="OS"/>
  </r>
  <r>
    <n v="3164"/>
    <x v="551"/>
    <x v="139"/>
    <s v="25/09/2015"/>
    <s v="Standard Class"/>
    <s v="HF-14995"/>
    <x v="551"/>
    <x v="0"/>
    <x v="0"/>
    <s v="San Francisco"/>
    <x v="1"/>
    <n v="94109"/>
    <x v="1"/>
    <s v="OFF-AR-10001615"/>
    <s v="Office Supplies"/>
    <s v="Art"/>
    <s v="Newell 34"/>
    <n v="59.52"/>
    <m/>
    <s v="Office Supplies"/>
    <s v="OS"/>
  </r>
  <r>
    <n v="3187"/>
    <x v="552"/>
    <x v="411"/>
    <s v="09/11/2015"/>
    <s v="First Class"/>
    <s v="TC-20980"/>
    <x v="552"/>
    <x v="1"/>
    <x v="0"/>
    <s v="Houston"/>
    <x v="5"/>
    <n v="77041"/>
    <x v="2"/>
    <s v="OFF-EN-10004773"/>
    <s v="Office Supplies"/>
    <s v="Envelopes"/>
    <s v="Staple envelope"/>
    <n v="74.352000000000004"/>
    <m/>
    <s v="Office Supplies"/>
    <s v="OS"/>
  </r>
  <r>
    <n v="3191"/>
    <x v="553"/>
    <x v="16"/>
    <s v="01/01/2017"/>
    <s v="Standard Class"/>
    <s v="DR-12940"/>
    <x v="553"/>
    <x v="2"/>
    <x v="0"/>
    <s v="Chicago"/>
    <x v="10"/>
    <n v="60610"/>
    <x v="2"/>
    <s v="OFF-ST-10002957"/>
    <s v="Office Supplies"/>
    <s v="Storage"/>
    <s v="Sterilite Show Offs Storage Containers"/>
    <n v="12.672000000000001"/>
    <m/>
    <s v="Office Supplies"/>
    <s v="OS"/>
  </r>
  <r>
    <n v="3240"/>
    <x v="554"/>
    <x v="66"/>
    <s v="27/11/2017"/>
    <s v="Standard Class"/>
    <s v="DW-13195"/>
    <x v="554"/>
    <x v="1"/>
    <x v="0"/>
    <s v="Houston"/>
    <x v="5"/>
    <n v="77095"/>
    <x v="2"/>
    <s v="TEC-PH-10003095"/>
    <s v="Technology"/>
    <s v="Phones"/>
    <s v="Samsung HM1900 Bluetooth Headset"/>
    <n v="122.92"/>
    <m/>
    <s v="Technology"/>
    <s v="Technology"/>
  </r>
  <r>
    <n v="3244"/>
    <x v="555"/>
    <x v="87"/>
    <s v="05/12/2018"/>
    <s v="Standard Class"/>
    <s v="SJ-20215"/>
    <x v="555"/>
    <x v="0"/>
    <x v="0"/>
    <s v="Grand Prairie"/>
    <x v="5"/>
    <n v="75051"/>
    <x v="2"/>
    <s v="TEC-PH-10004912"/>
    <s v="Technology"/>
    <s v="Phones"/>
    <s v="Cisco SPA112 2 Port Phone Adapter"/>
    <n v="219.8"/>
    <m/>
    <s v="Technology"/>
    <s v="Technology"/>
  </r>
  <r>
    <n v="3261"/>
    <x v="556"/>
    <x v="371"/>
    <s v="15/11/2015"/>
    <s v="First Class"/>
    <s v="CM-11815"/>
    <x v="556"/>
    <x v="1"/>
    <x v="0"/>
    <s v="Pasadena"/>
    <x v="5"/>
    <n v="77506"/>
    <x v="2"/>
    <s v="OFF-PA-10004609"/>
    <s v="Office Supplies"/>
    <s v="Paper"/>
    <s v="Xerox 221"/>
    <n v="20.736000000000001"/>
    <m/>
    <s v="Office Supplies"/>
    <s v="OS"/>
  </r>
  <r>
    <n v="3269"/>
    <x v="557"/>
    <x v="412"/>
    <s v="29/05/2015"/>
    <s v="Standard Class"/>
    <s v="EH-14185"/>
    <x v="557"/>
    <x v="0"/>
    <x v="0"/>
    <s v="Decatur"/>
    <x v="19"/>
    <n v="35601"/>
    <x v="0"/>
    <s v="TEC-PH-10003171"/>
    <s v="Technology"/>
    <s v="Phones"/>
    <s v="Plantronics Encore H101 Dual Earpieces Headset"/>
    <n v="44.95"/>
    <m/>
    <s v="Technology"/>
    <s v="Technology"/>
  </r>
  <r>
    <n v="3337"/>
    <x v="558"/>
    <x v="148"/>
    <s v="22/08/2018"/>
    <s v="First Class"/>
    <s v="PR-18880"/>
    <x v="558"/>
    <x v="0"/>
    <x v="0"/>
    <s v="Oakland"/>
    <x v="1"/>
    <n v="94601"/>
    <x v="1"/>
    <s v="FUR-FU-10000193"/>
    <s v="Furniture"/>
    <s v="Furnishings"/>
    <s v="Tenex Chairmats For Use with Hard Floors"/>
    <n v="129.91999999999999"/>
    <m/>
    <s v="Cardbaord"/>
    <s v="cardbaord"/>
  </r>
  <r>
    <n v="3404"/>
    <x v="559"/>
    <x v="129"/>
    <s v="05/06/2018"/>
    <s v="Standard Class"/>
    <s v="HZ-14950"/>
    <x v="559"/>
    <x v="0"/>
    <x v="0"/>
    <s v="Houston"/>
    <x v="5"/>
    <n v="77095"/>
    <x v="2"/>
    <s v="FUR-FU-10003919"/>
    <s v="Furniture"/>
    <s v="Furnishings"/>
    <s v="Eldon Executive Woodline II Cherry Finish Desk Accessories"/>
    <n v="65.424000000000007"/>
    <m/>
    <s v="Cardbaord"/>
    <s v="cardbaord"/>
  </r>
  <r>
    <n v="3428"/>
    <x v="560"/>
    <x v="299"/>
    <s v="06/07/2018"/>
    <s v="Second Class"/>
    <s v="SZ-20035"/>
    <x v="560"/>
    <x v="2"/>
    <x v="0"/>
    <s v="Lancaster"/>
    <x v="23"/>
    <n v="43130"/>
    <x v="3"/>
    <s v="OFF-PA-10000174"/>
    <s v="Office Supplies"/>
    <s v="Paper"/>
    <s v="Message Book, Wirebound, Four 5 1/2&quot; X 4&quot; Forms/Pg., 200 Dupl. Sets/Book"/>
    <n v="32.896000000000001"/>
    <m/>
    <s v="Office Supplies"/>
    <s v="OS"/>
  </r>
  <r>
    <n v="3455"/>
    <x v="561"/>
    <x v="413"/>
    <s v="14/07/2016"/>
    <s v="Standard Class"/>
    <s v="EB-13870"/>
    <x v="561"/>
    <x v="0"/>
    <x v="0"/>
    <s v="Nashville"/>
    <x v="18"/>
    <n v="37211"/>
    <x v="0"/>
    <s v="OFF-AR-10000657"/>
    <s v="Office Supplies"/>
    <s v="Art"/>
    <s v="Binney &amp; Smith inkTank Desk Highlighter, Chisel Tip, Yellow, 12/Box"/>
    <n v="5.16"/>
    <m/>
    <s v="Office Supplies"/>
    <s v="OS"/>
  </r>
  <r>
    <n v="3508"/>
    <x v="562"/>
    <x v="414"/>
    <s v="24/06/2015"/>
    <s v="Standard Class"/>
    <s v="SC-20020"/>
    <x v="562"/>
    <x v="0"/>
    <x v="0"/>
    <s v="Plano"/>
    <x v="5"/>
    <n v="75023"/>
    <x v="2"/>
    <s v="FUR-BO-10001608"/>
    <s v="Furniture"/>
    <s v="Bookcases"/>
    <s v="Hon Metal Bookcases, Black"/>
    <n v="193.06559999999999"/>
    <m/>
    <s v="Cardbaord"/>
    <s v="cardbaord"/>
  </r>
  <r>
    <n v="3525"/>
    <x v="563"/>
    <x v="278"/>
    <s v="28/11/2017"/>
    <s v="Standard Class"/>
    <s v="GA-14515"/>
    <x v="563"/>
    <x v="0"/>
    <x v="0"/>
    <s v="Dallas"/>
    <x v="5"/>
    <n v="75081"/>
    <x v="2"/>
    <s v="TEC-PH-10004120"/>
    <s v="Technology"/>
    <s v="Phones"/>
    <s v="AT&amp;T 1080 Phone"/>
    <n v="657.55200000000002"/>
    <m/>
    <s v="Technology"/>
    <s v="Technology"/>
  </r>
  <r>
    <n v="3528"/>
    <x v="564"/>
    <x v="381"/>
    <s v="15/12/2018"/>
    <s v="Second Class"/>
    <s v="SU-20665"/>
    <x v="564"/>
    <x v="2"/>
    <x v="0"/>
    <s v="Jackson"/>
    <x v="34"/>
    <n v="39212"/>
    <x v="0"/>
    <s v="OFF-BI-10003476"/>
    <s v="Office Supplies"/>
    <s v="Binders"/>
    <s v="Avery Metallic Poly Binders"/>
    <n v="45.84"/>
    <m/>
    <s v="Office Supplies"/>
    <s v="OS"/>
  </r>
  <r>
    <n v="3546"/>
    <x v="565"/>
    <x v="415"/>
    <s v="25/12/2018"/>
    <s v="Second Class"/>
    <s v="MM-17920"/>
    <x v="565"/>
    <x v="0"/>
    <x v="0"/>
    <s v="College Station"/>
    <x v="5"/>
    <n v="77840"/>
    <x v="2"/>
    <s v="OFF-AP-10001947"/>
    <s v="Office Supplies"/>
    <s v="Appliances"/>
    <s v="Acco 6 Outlet Guardian Premium Plus Surge Suppressor"/>
    <n v="29.312000000000001"/>
    <m/>
    <s v="Office Supplies"/>
    <s v="OS"/>
  </r>
  <r>
    <n v="3575"/>
    <x v="566"/>
    <x v="416"/>
    <s v="12/08/2018"/>
    <s v="Standard Class"/>
    <s v="JW-15955"/>
    <x v="566"/>
    <x v="0"/>
    <x v="0"/>
    <s v="Long Beach"/>
    <x v="15"/>
    <n v="11561"/>
    <x v="3"/>
    <s v="OFF-AR-10004062"/>
    <s v="Office Supplies"/>
    <s v="Art"/>
    <s v="Staples in misc. colors"/>
    <n v="104.8"/>
    <m/>
    <s v="Office Supplies"/>
    <s v="OS"/>
  </r>
  <r>
    <n v="3648"/>
    <x v="567"/>
    <x v="417"/>
    <s v="27/07/2015"/>
    <s v="Second Class"/>
    <s v="VF-21715"/>
    <x v="567"/>
    <x v="2"/>
    <x v="0"/>
    <s v="Los Angeles"/>
    <x v="1"/>
    <n v="90045"/>
    <x v="1"/>
    <s v="OFF-SU-10002522"/>
    <s v="Office Supplies"/>
    <s v="Supplies"/>
    <s v="Acme Kleen Earth Office Shears"/>
    <n v="15.52"/>
    <m/>
    <s v="Office Supplies"/>
    <s v="OS"/>
  </r>
  <r>
    <n v="3681"/>
    <x v="568"/>
    <x v="413"/>
    <s v="14/07/2016"/>
    <s v="Standard Class"/>
    <s v="BT-11680"/>
    <x v="568"/>
    <x v="0"/>
    <x v="0"/>
    <s v="Clinton"/>
    <x v="36"/>
    <n v="20735"/>
    <x v="3"/>
    <s v="OFF-LA-10000476"/>
    <s v="Office Supplies"/>
    <s v="Labels"/>
    <s v="Avery 05222 Permanent Self-Adhesive File Folder Labels for Typewriters, on Rolls, White, 250/Roll"/>
    <n v="12.39"/>
    <m/>
    <s v="Office Supplies"/>
    <s v="OS"/>
  </r>
  <r>
    <n v="3796"/>
    <x v="569"/>
    <x v="418"/>
    <s v="02/02/2015"/>
    <s v="Standard Class"/>
    <s v="EJ-13720"/>
    <x v="569"/>
    <x v="0"/>
    <x v="0"/>
    <s v="San Diego"/>
    <x v="1"/>
    <n v="92037"/>
    <x v="1"/>
    <s v="FUR-TA-10003469"/>
    <s v="Furniture"/>
    <s v="Tables"/>
    <s v="Balt Split Level Computer Training Table"/>
    <n v="333"/>
    <m/>
    <s v="Cardbaord"/>
    <s v="cardbaord"/>
  </r>
  <r>
    <n v="3801"/>
    <x v="570"/>
    <x v="319"/>
    <s v="20/10/2017"/>
    <s v="Standard Class"/>
    <s v="NC-18415"/>
    <x v="570"/>
    <x v="0"/>
    <x v="0"/>
    <s v="Jacksonville"/>
    <x v="3"/>
    <n v="28540"/>
    <x v="0"/>
    <s v="FUR-CH-10003606"/>
    <s v="Furniture"/>
    <s v="Chairs"/>
    <s v="SAFCO Folding Chair Trolley"/>
    <n v="102.592"/>
    <m/>
    <s v="Cardbaord"/>
    <s v="cardbaord"/>
  </r>
  <r>
    <n v="3810"/>
    <x v="571"/>
    <x v="419"/>
    <s v="19/11/2016"/>
    <s v="Standard Class"/>
    <s v="AH-10690"/>
    <x v="571"/>
    <x v="1"/>
    <x v="0"/>
    <s v="Plantation"/>
    <x v="2"/>
    <n v="33317"/>
    <x v="0"/>
    <s v="FUR-CH-10003298"/>
    <s v="Furniture"/>
    <s v="Chairs"/>
    <s v="Office Star - Contemporary Task Swivel chair with Loop Arms, Charcoal"/>
    <n v="523.91999999999996"/>
    <m/>
    <s v="Cardbaord"/>
    <s v="cardbaord"/>
  </r>
  <r>
    <n v="3822"/>
    <x v="572"/>
    <x v="301"/>
    <s v="14/10/2018"/>
    <s v="Standard Class"/>
    <s v="HG-14845"/>
    <x v="572"/>
    <x v="0"/>
    <x v="0"/>
    <s v="New York City"/>
    <x v="15"/>
    <n v="10024"/>
    <x v="3"/>
    <s v="OFF-PA-10000069"/>
    <s v="Office Supplies"/>
    <s v="Paper"/>
    <s v="TOPS 4 x 6 Fluorescent Color Memo Sheets, 500 Sheets per Pack"/>
    <n v="18.98"/>
    <m/>
    <s v="Office Supplies"/>
    <s v="OS"/>
  </r>
  <r>
    <n v="3854"/>
    <x v="573"/>
    <x v="420"/>
    <s v="10/06/2018"/>
    <s v="Standard Class"/>
    <s v="GH-14410"/>
    <x v="573"/>
    <x v="2"/>
    <x v="0"/>
    <s v="San Francisco"/>
    <x v="1"/>
    <n v="94122"/>
    <x v="1"/>
    <s v="FUR-FU-10004164"/>
    <s v="Furniture"/>
    <s v="Furnishings"/>
    <s v="Eldon 300 Class Desk Accessories, Black"/>
    <n v="4.95"/>
    <m/>
    <s v="Cardbaord"/>
    <s v="cardbaord"/>
  </r>
  <r>
    <n v="3859"/>
    <x v="574"/>
    <x v="421"/>
    <s v="20/12/2015"/>
    <s v="Same Day"/>
    <s v="TC-21295"/>
    <x v="574"/>
    <x v="0"/>
    <x v="0"/>
    <s v="Thornton"/>
    <x v="21"/>
    <n v="80229"/>
    <x v="1"/>
    <s v="TEC-AC-10001539"/>
    <s v="Technology"/>
    <s v="Accessories"/>
    <s v="Logitech G430 Surround Sound Gaming Headset with Dolby 7.1 Technology"/>
    <n v="447.94400000000002"/>
    <m/>
    <s v="Technology"/>
    <s v="Technology"/>
  </r>
  <r>
    <n v="3884"/>
    <x v="575"/>
    <x v="422"/>
    <s v="20/06/2016"/>
    <s v="Standard Class"/>
    <s v="PF-19120"/>
    <x v="575"/>
    <x v="0"/>
    <x v="0"/>
    <s v="Gilbert"/>
    <x v="16"/>
    <n v="85234"/>
    <x v="1"/>
    <s v="FUR-FU-10002396"/>
    <s v="Furniture"/>
    <s v="Furnishings"/>
    <s v="DAX Copper Panel Document Frame, 5 x 7 Size"/>
    <n v="40.256"/>
    <m/>
    <s v="Cardbaord"/>
    <s v="cardbaord"/>
  </r>
  <r>
    <n v="3911"/>
    <x v="576"/>
    <x v="53"/>
    <s v="10/04/2016"/>
    <s v="Standard Class"/>
    <s v="VT-21700"/>
    <x v="576"/>
    <x v="2"/>
    <x v="0"/>
    <s v="Philadelphia"/>
    <x v="9"/>
    <n v="19143"/>
    <x v="3"/>
    <s v="FUR-BO-10004218"/>
    <s v="Furniture"/>
    <s v="Bookcases"/>
    <s v="Bush Heritage Pine Collection 5-Shelf Bookcase, Albany Pine Finish, *Special Order"/>
    <n v="352.45"/>
    <m/>
    <s v="Cardbaord"/>
    <s v="cardbaord"/>
  </r>
  <r>
    <n v="3924"/>
    <x v="577"/>
    <x v="423"/>
    <s v="01/09/2018"/>
    <s v="Standard Class"/>
    <s v="SC-20305"/>
    <x v="577"/>
    <x v="0"/>
    <x v="0"/>
    <s v="Chicago"/>
    <x v="10"/>
    <n v="60623"/>
    <x v="2"/>
    <s v="OFF-PA-10001461"/>
    <s v="Office Supplies"/>
    <s v="Paper"/>
    <s v="HP Office Paper (20Lb. and 87 Bright)"/>
    <n v="26.72"/>
    <m/>
    <s v="Office Supplies"/>
    <s v="OS"/>
  </r>
  <r>
    <n v="3932"/>
    <x v="578"/>
    <x v="424"/>
    <s v="02/09/2017"/>
    <s v="Standard Class"/>
    <s v="VG-21805"/>
    <x v="578"/>
    <x v="1"/>
    <x v="0"/>
    <s v="Philadelphia"/>
    <x v="9"/>
    <n v="19140"/>
    <x v="3"/>
    <s v="OFF-AR-10004165"/>
    <s v="Office Supplies"/>
    <s v="Art"/>
    <s v="Binney &amp; Smith inkTank Erasable Pocket Highlighter, Chisel Tip, Yellow"/>
    <n v="5.4720000000000004"/>
    <m/>
    <s v="Office Supplies"/>
    <s v="OS"/>
  </r>
  <r>
    <n v="3937"/>
    <x v="579"/>
    <x v="425"/>
    <s v="20/06/2016"/>
    <s v="Standard Class"/>
    <s v="LS-17230"/>
    <x v="579"/>
    <x v="0"/>
    <x v="0"/>
    <s v="Grand Prairie"/>
    <x v="5"/>
    <n v="75051"/>
    <x v="2"/>
    <s v="OFF-EN-10001028"/>
    <s v="Office Supplies"/>
    <s v="Envelopes"/>
    <s v="Staple envelope"/>
    <n v="28.751999999999999"/>
    <m/>
    <s v="Office Supplies"/>
    <s v="OS"/>
  </r>
  <r>
    <n v="3970"/>
    <x v="580"/>
    <x v="426"/>
    <s v="05/06/2016"/>
    <s v="Standard Class"/>
    <s v="KE-16420"/>
    <x v="580"/>
    <x v="1"/>
    <x v="0"/>
    <s v="San Antonio"/>
    <x v="5"/>
    <n v="78207"/>
    <x v="2"/>
    <s v="OFF-PA-10002606"/>
    <s v="Office Supplies"/>
    <s v="Paper"/>
    <s v="Xerox 1928"/>
    <n v="42.24"/>
    <m/>
    <s v="Office Supplies"/>
    <s v="OS"/>
  </r>
  <r>
    <n v="3977"/>
    <x v="581"/>
    <x v="427"/>
    <s v="24/10/2017"/>
    <s v="First Class"/>
    <s v="EB-13930"/>
    <x v="581"/>
    <x v="0"/>
    <x v="0"/>
    <s v="Richmond"/>
    <x v="17"/>
    <n v="23223"/>
    <x v="0"/>
    <s v="FUR-FU-10003731"/>
    <s v="Furniture"/>
    <s v="Furnishings"/>
    <s v="Eldon Expressions Wood and Plastic Desk Accessories, Oak"/>
    <n v="39.92"/>
    <m/>
    <s v="Cardbaord"/>
    <s v="cardbaord"/>
  </r>
  <r>
    <n v="3989"/>
    <x v="582"/>
    <x v="428"/>
    <s v="22/04/2017"/>
    <s v="Standard Class"/>
    <s v="CS-12175"/>
    <x v="582"/>
    <x v="1"/>
    <x v="0"/>
    <s v="Columbia"/>
    <x v="18"/>
    <n v="38401"/>
    <x v="0"/>
    <s v="FUR-FU-10003798"/>
    <s v="Furniture"/>
    <s v="Furnishings"/>
    <s v="Ultra Door Kickplate, 8&quot;H x 34&quot;W"/>
    <n v="79.12"/>
    <m/>
    <s v="Cardbaord"/>
    <s v="cardbaord"/>
  </r>
  <r>
    <n v="3998"/>
    <x v="583"/>
    <x v="429"/>
    <s v="12/03/2016"/>
    <s v="Standard Class"/>
    <s v="DK-12895"/>
    <x v="583"/>
    <x v="0"/>
    <x v="0"/>
    <s v="Kenosha"/>
    <x v="6"/>
    <n v="53142"/>
    <x v="2"/>
    <s v="OFF-AR-10002704"/>
    <s v="Office Supplies"/>
    <s v="Art"/>
    <s v="Boston 1900 Electric Pencil Sharpener"/>
    <n v="14.98"/>
    <m/>
    <s v="Office Supplies"/>
    <s v="OS"/>
  </r>
  <r>
    <n v="4002"/>
    <x v="584"/>
    <x v="430"/>
    <s v="16/10/2015"/>
    <s v="Standard Class"/>
    <s v="Dp-13240"/>
    <x v="584"/>
    <x v="2"/>
    <x v="0"/>
    <s v="Seattle"/>
    <x v="4"/>
    <n v="98115"/>
    <x v="1"/>
    <s v="TEC-AC-10002942"/>
    <s v="Technology"/>
    <s v="Accessories"/>
    <s v="WD My Passport Ultra 1TB Portable External Hard Drive"/>
    <n v="345"/>
    <m/>
    <s v="Technology"/>
    <s v="Technology"/>
  </r>
  <r>
    <n v="4008"/>
    <x v="585"/>
    <x v="431"/>
    <s v="16/12/2016"/>
    <s v="Standard Class"/>
    <s v="KM-16660"/>
    <x v="585"/>
    <x v="0"/>
    <x v="0"/>
    <s v="Roswell"/>
    <x v="31"/>
    <n v="30076"/>
    <x v="0"/>
    <s v="TEC-AC-10001553"/>
    <s v="Technology"/>
    <s v="Accessories"/>
    <s v="Memorex 25GB 6X Branded Blu-Ray Recordable Disc, 15/Pack"/>
    <n v="101.94"/>
    <m/>
    <s v="Technology"/>
    <s v="Technology"/>
  </r>
  <r>
    <n v="4018"/>
    <x v="586"/>
    <x v="432"/>
    <s v="28/08/2016"/>
    <s v="Standard Class"/>
    <s v="FH-14350"/>
    <x v="586"/>
    <x v="0"/>
    <x v="0"/>
    <s v="Atlanta"/>
    <x v="31"/>
    <n v="30318"/>
    <x v="0"/>
    <s v="OFF-PA-10002499"/>
    <s v="Office Supplies"/>
    <s v="Paper"/>
    <s v="Xerox 1890"/>
    <n v="97.88"/>
    <m/>
    <s v="Office Supplies"/>
    <s v="OS"/>
  </r>
  <r>
    <n v="4025"/>
    <x v="587"/>
    <x v="433"/>
    <s v="28/10/2018"/>
    <s v="First Class"/>
    <s v="JO-15145"/>
    <x v="587"/>
    <x v="1"/>
    <x v="0"/>
    <s v="San Francisco"/>
    <x v="1"/>
    <n v="94110"/>
    <x v="1"/>
    <s v="TEC-PH-10003215"/>
    <s v="Technology"/>
    <s v="Phones"/>
    <s v="Jackery Bar Premium Fast-charging Portable Charger"/>
    <n v="95.84"/>
    <m/>
    <s v="Technology"/>
    <s v="Technology"/>
  </r>
  <r>
    <n v="4064"/>
    <x v="588"/>
    <x v="434"/>
    <s v="26/06/2015"/>
    <s v="First Class"/>
    <s v="DL-13330"/>
    <x v="588"/>
    <x v="0"/>
    <x v="0"/>
    <s v="Concord"/>
    <x v="3"/>
    <n v="28027"/>
    <x v="0"/>
    <s v="OFF-AR-10002766"/>
    <s v="Office Supplies"/>
    <s v="Art"/>
    <s v="Prang Drawing Pencil Set"/>
    <n v="20.015999999999998"/>
    <m/>
    <s v="Office Supplies"/>
    <s v="OS"/>
  </r>
  <r>
    <n v="4111"/>
    <x v="589"/>
    <x v="435"/>
    <s v="01/01/2017"/>
    <s v="Standard Class"/>
    <s v="DL-13495"/>
    <x v="589"/>
    <x v="1"/>
    <x v="0"/>
    <s v="Detroit"/>
    <x v="12"/>
    <n v="48227"/>
    <x v="2"/>
    <s v="FUR-BO-10004360"/>
    <s v="Furniture"/>
    <s v="Bookcases"/>
    <s v="Rush Hierlooms Collection Rich Wood Bookcases"/>
    <n v="160.97999999999999"/>
    <m/>
    <s v="Cardbaord"/>
    <s v="cardbaord"/>
  </r>
  <r>
    <n v="4145"/>
    <x v="590"/>
    <x v="229"/>
    <s v="06/02/2018"/>
    <s v="Standard Class"/>
    <s v="EH-14125"/>
    <x v="590"/>
    <x v="2"/>
    <x v="0"/>
    <s v="San Francisco"/>
    <x v="1"/>
    <n v="94110"/>
    <x v="1"/>
    <s v="OFF-AR-10001227"/>
    <s v="Office Supplies"/>
    <s v="Art"/>
    <s v="Newell 338"/>
    <n v="8.82"/>
    <m/>
    <s v="Office Supplies"/>
    <s v="OS"/>
  </r>
  <r>
    <n v="4185"/>
    <x v="591"/>
    <x v="5"/>
    <s v="07/12/2017"/>
    <s v="First Class"/>
    <s v="AG-10300"/>
    <x v="591"/>
    <x v="1"/>
    <x v="0"/>
    <s v="Franklin"/>
    <x v="30"/>
    <n v="2038"/>
    <x v="3"/>
    <s v="FUR-BO-10002853"/>
    <s v="Furniture"/>
    <s v="Bookcases"/>
    <s v="O'Sullivan 5-Shelf Heavy-Duty Bookcases"/>
    <n v="81.94"/>
    <m/>
    <s v="Cardbaord"/>
    <s v="cardbaord"/>
  </r>
  <r>
    <n v="4192"/>
    <x v="592"/>
    <x v="436"/>
    <s v="08/07/2016"/>
    <s v="Same Day"/>
    <s v="DM-13015"/>
    <x v="592"/>
    <x v="0"/>
    <x v="0"/>
    <s v="Houston"/>
    <x v="5"/>
    <n v="77070"/>
    <x v="2"/>
    <s v="OFF-PA-10004248"/>
    <s v="Office Supplies"/>
    <s v="Paper"/>
    <s v="Xerox 1990"/>
    <n v="21.12"/>
    <m/>
    <s v="Office Supplies"/>
    <s v="OS"/>
  </r>
  <r>
    <n v="4218"/>
    <x v="593"/>
    <x v="437"/>
    <s v="03/04/2018"/>
    <s v="First Class"/>
    <s v="NC-18535"/>
    <x v="593"/>
    <x v="1"/>
    <x v="0"/>
    <s v="San Francisco"/>
    <x v="1"/>
    <n v="94110"/>
    <x v="1"/>
    <s v="FUR-BO-10003894"/>
    <s v="Furniture"/>
    <s v="Bookcases"/>
    <s v="Safco Value Mate Steel Bookcase, Baked Enamel Finish on Steel, Black"/>
    <n v="482.66399999999999"/>
    <m/>
    <s v="Cardbaord"/>
    <s v="cardbaord"/>
  </r>
  <r>
    <n v="4238"/>
    <x v="594"/>
    <x v="438"/>
    <s v="03/09/2018"/>
    <s v="Second Class"/>
    <s v="MD-17860"/>
    <x v="594"/>
    <x v="1"/>
    <x v="0"/>
    <s v="Philadelphia"/>
    <x v="9"/>
    <n v="19134"/>
    <x v="3"/>
    <s v="OFF-AR-10001972"/>
    <s v="Office Supplies"/>
    <s v="Art"/>
    <s v="Newell 323"/>
    <n v="9.4079999999999995"/>
    <m/>
    <s v="Office Supplies"/>
    <s v="OS"/>
  </r>
  <r>
    <n v="4239"/>
    <x v="595"/>
    <x v="439"/>
    <s v="28/03/2018"/>
    <s v="First Class"/>
    <s v="MZ-17335"/>
    <x v="595"/>
    <x v="2"/>
    <x v="0"/>
    <s v="Seattle"/>
    <x v="4"/>
    <n v="98105"/>
    <x v="1"/>
    <s v="OFF-AR-10004587"/>
    <s v="Office Supplies"/>
    <s v="Art"/>
    <s v="Boston 1827 Commercial Additional Cutter, Drive Gear &amp; Gear Rack for 1606"/>
    <n v="19.829999999999998"/>
    <m/>
    <s v="Office Supplies"/>
    <s v="OS"/>
  </r>
  <r>
    <n v="4241"/>
    <x v="596"/>
    <x v="55"/>
    <s v="26/09/2015"/>
    <s v="Standard Class"/>
    <s v="MA-17995"/>
    <x v="596"/>
    <x v="2"/>
    <x v="0"/>
    <s v="Los Angeles"/>
    <x v="1"/>
    <n v="90004"/>
    <x v="1"/>
    <s v="OFF-AP-10001366"/>
    <s v="Office Supplies"/>
    <s v="Appliances"/>
    <s v="Staple holder"/>
    <n v="43.92"/>
    <m/>
    <s v="Office Supplies"/>
    <s v="OS"/>
  </r>
  <r>
    <n v="4278"/>
    <x v="597"/>
    <x v="440"/>
    <s v="20/04/2017"/>
    <s v="Standard Class"/>
    <s v="BS-11365"/>
    <x v="597"/>
    <x v="1"/>
    <x v="0"/>
    <s v="Lakewood"/>
    <x v="29"/>
    <n v="8701"/>
    <x v="3"/>
    <s v="TEC-MA-10001047"/>
    <s v="Technology"/>
    <s v="Machines"/>
    <s v="3D Systems Cube Printer, 2nd Generation, Magenta"/>
    <n v="9099.93"/>
    <m/>
    <s v="Technology"/>
    <s v="Technology"/>
  </r>
  <r>
    <n v="4334"/>
    <x v="598"/>
    <x v="272"/>
    <s v="27/12/2016"/>
    <s v="Standard Class"/>
    <s v="RD-19720"/>
    <x v="598"/>
    <x v="0"/>
    <x v="0"/>
    <s v="Daytona Beach"/>
    <x v="2"/>
    <n v="32114"/>
    <x v="0"/>
    <s v="TEC-AC-10003237"/>
    <s v="Technology"/>
    <s v="Accessories"/>
    <s v="Memorex Micro Travel Drive 4 GB"/>
    <n v="50.88"/>
    <m/>
    <s v="Technology"/>
    <s v="Technology"/>
  </r>
  <r>
    <n v="4348"/>
    <x v="599"/>
    <x v="30"/>
    <s v="25/09/2017"/>
    <s v="Standard Class"/>
    <s v="MM-17260"/>
    <x v="599"/>
    <x v="0"/>
    <x v="0"/>
    <s v="New Rochelle"/>
    <x v="15"/>
    <n v="10801"/>
    <x v="3"/>
    <s v="FUR-FU-10004053"/>
    <s v="Furniture"/>
    <s v="Furnishings"/>
    <s v="DAX Two-Tone Silver Metal Document Frame"/>
    <n v="60.72"/>
    <m/>
    <s v="Cardbaord"/>
    <s v="cardbaord"/>
  </r>
  <r>
    <n v="4437"/>
    <x v="600"/>
    <x v="441"/>
    <s v="08/05/2017"/>
    <s v="Standard Class"/>
    <s v="CB-12415"/>
    <x v="600"/>
    <x v="0"/>
    <x v="0"/>
    <s v="Chicago"/>
    <x v="10"/>
    <n v="60653"/>
    <x v="2"/>
    <s v="OFF-AR-10003217"/>
    <s v="Office Supplies"/>
    <s v="Art"/>
    <s v="Newell 316"/>
    <n v="27.384"/>
    <m/>
    <s v="Office Supplies"/>
    <s v="OS"/>
  </r>
  <r>
    <n v="4453"/>
    <x v="601"/>
    <x v="442"/>
    <s v="06/07/2017"/>
    <s v="First Class"/>
    <s v="AA-10645"/>
    <x v="601"/>
    <x v="0"/>
    <x v="0"/>
    <s v="San Francisco"/>
    <x v="1"/>
    <n v="94109"/>
    <x v="1"/>
    <s v="OFF-EN-10003567"/>
    <s v="Office Supplies"/>
    <s v="Envelopes"/>
    <s v="Inter-Office Recycled Envelopes, Brown Kraft, Button-String,10&quot; x 13&quot; , 100/Box"/>
    <n v="43.96"/>
    <m/>
    <s v="Office Supplies"/>
    <s v="OS"/>
  </r>
  <r>
    <n v="4478"/>
    <x v="602"/>
    <x v="395"/>
    <s v="22/10/2018"/>
    <s v="Same Day"/>
    <s v="BD-11620"/>
    <x v="602"/>
    <x v="0"/>
    <x v="0"/>
    <s v="Lawton"/>
    <x v="25"/>
    <n v="73505"/>
    <x v="2"/>
    <s v="OFF-ST-10000129"/>
    <s v="Office Supplies"/>
    <s v="Storage"/>
    <s v="Fellowes Recycled Storage Drawers"/>
    <n v="333.09"/>
    <m/>
    <s v="Office Supplies"/>
    <s v="OS"/>
  </r>
  <r>
    <n v="4480"/>
    <x v="603"/>
    <x v="443"/>
    <s v="28/03/2015"/>
    <s v="Standard Class"/>
    <s v="CD-11920"/>
    <x v="603"/>
    <x v="0"/>
    <x v="0"/>
    <s v="New York City"/>
    <x v="15"/>
    <n v="10024"/>
    <x v="3"/>
    <s v="OFF-PA-10004948"/>
    <s v="Office Supplies"/>
    <s v="Paper"/>
    <s v="Xerox 190"/>
    <n v="24.9"/>
    <m/>
    <s v="Office Supplies"/>
    <s v="OS"/>
  </r>
  <r>
    <n v="4520"/>
    <x v="604"/>
    <x v="164"/>
    <s v="14/06/2018"/>
    <s v="Standard Class"/>
    <s v="ND-18460"/>
    <x v="604"/>
    <x v="1"/>
    <x v="0"/>
    <s v="Jacksonville"/>
    <x v="2"/>
    <n v="32216"/>
    <x v="0"/>
    <s v="OFF-ST-10003805"/>
    <s v="Office Supplies"/>
    <s v="Storage"/>
    <s v="24 Capacity Maxi Data Binder Racks, Pearl"/>
    <n v="1347.52"/>
    <m/>
    <s v="Office Supplies"/>
    <s v="OS"/>
  </r>
  <r>
    <n v="4543"/>
    <x v="605"/>
    <x v="444"/>
    <s v="31/03/2018"/>
    <s v="First Class"/>
    <s v="TM-21490"/>
    <x v="605"/>
    <x v="0"/>
    <x v="0"/>
    <s v="Oklahoma City"/>
    <x v="25"/>
    <n v="73120"/>
    <x v="2"/>
    <s v="OFF-EN-10004206"/>
    <s v="Office Supplies"/>
    <s v="Envelopes"/>
    <s v="Multimedia Mailers"/>
    <n v="325.86"/>
    <m/>
    <s v="Office Supplies"/>
    <s v="OS"/>
  </r>
  <r>
    <n v="4587"/>
    <x v="606"/>
    <x v="445"/>
    <s v="04/11/2018"/>
    <s v="Second Class"/>
    <s v="NL-18310"/>
    <x v="606"/>
    <x v="2"/>
    <x v="0"/>
    <s v="Danville"/>
    <x v="1"/>
    <n v="94526"/>
    <x v="1"/>
    <s v="OFF-BI-10003718"/>
    <s v="Office Supplies"/>
    <s v="Binders"/>
    <s v="GBC Therma-A-Bind 250T Electric Binding System"/>
    <n v="590.35199999999998"/>
    <m/>
    <s v="Office Supplies"/>
    <s v="OS"/>
  </r>
  <r>
    <n v="4661"/>
    <x v="607"/>
    <x v="446"/>
    <s v="07/05/2016"/>
    <s v="Standard Class"/>
    <s v="SV-20785"/>
    <x v="607"/>
    <x v="0"/>
    <x v="0"/>
    <s v="Philadelphia"/>
    <x v="9"/>
    <n v="19140"/>
    <x v="3"/>
    <s v="TEC-AC-10001542"/>
    <s v="Technology"/>
    <s v="Accessories"/>
    <s v="SanDisk Cruzer 16 GB USB Flash Drive"/>
    <n v="27.552"/>
    <m/>
    <s v="Technology"/>
    <s v="Technology"/>
  </r>
  <r>
    <n v="4764"/>
    <x v="608"/>
    <x v="247"/>
    <s v="21/09/2015"/>
    <s v="Standard Class"/>
    <s v="NR-18550"/>
    <x v="608"/>
    <x v="0"/>
    <x v="0"/>
    <s v="Chula Vista"/>
    <x v="1"/>
    <n v="91911"/>
    <x v="1"/>
    <s v="OFF-EN-10001453"/>
    <s v="Office Supplies"/>
    <s v="Envelopes"/>
    <s v="Tyvek Interoffice Envelopes, 9 1/2&quot; x 12 1/2&quot;, 100/Box"/>
    <n v="182.94"/>
    <m/>
    <s v="Office Supplies"/>
    <s v="OS"/>
  </r>
  <r>
    <n v="4814"/>
    <x v="609"/>
    <x v="447"/>
    <s v="19/11/2017"/>
    <s v="Second Class"/>
    <s v="EB-14110"/>
    <x v="609"/>
    <x v="0"/>
    <x v="0"/>
    <s v="Philadelphia"/>
    <x v="9"/>
    <n v="19134"/>
    <x v="3"/>
    <s v="FUR-FU-10002813"/>
    <s v="Furniture"/>
    <s v="Furnishings"/>
    <s v="DAX Contemporary Wood Frame with Silver Metal Mat, Desktop, 11 x 14 Size"/>
    <n v="48.576000000000001"/>
    <m/>
    <s v="Cardbaord"/>
    <s v="cardbaord"/>
  </r>
  <r>
    <n v="4909"/>
    <x v="610"/>
    <x v="386"/>
    <s v="23/11/2015"/>
    <s v="Second Class"/>
    <s v="MS-17530"/>
    <x v="610"/>
    <x v="0"/>
    <x v="0"/>
    <s v="Fairfield"/>
    <x v="23"/>
    <n v="45014"/>
    <x v="3"/>
    <s v="TEC-PH-10004875"/>
    <s v="Technology"/>
    <s v="Phones"/>
    <s v="PNY Rapid USB Car Charger - Black"/>
    <n v="9.5879999999999992"/>
    <m/>
    <s v="Technology"/>
    <s v="Technology"/>
  </r>
  <r>
    <n v="4936"/>
    <x v="611"/>
    <x v="448"/>
    <s v="21/03/2016"/>
    <s v="Standard Class"/>
    <s v="KS-16300"/>
    <x v="611"/>
    <x v="1"/>
    <x v="0"/>
    <s v="Lehi"/>
    <x v="7"/>
    <n v="84043"/>
    <x v="1"/>
    <s v="TEC-PH-10003356"/>
    <s v="Technology"/>
    <s v="Phones"/>
    <s v="SmartStand Mobile Device Holder, Assorted Colors"/>
    <n v="16.776"/>
    <m/>
    <s v="Technology"/>
    <s v="Technology"/>
  </r>
  <r>
    <n v="5000"/>
    <x v="612"/>
    <x v="449"/>
    <s v="04/02/2017"/>
    <s v="Standard Class"/>
    <s v="SC-20050"/>
    <x v="612"/>
    <x v="2"/>
    <x v="0"/>
    <s v="Los Angeles"/>
    <x v="1"/>
    <n v="90045"/>
    <x v="1"/>
    <s v="OFF-PA-10002764"/>
    <s v="Office Supplies"/>
    <s v="Paper"/>
    <s v="Easy-staple paper"/>
    <n v="56.7"/>
    <m/>
    <s v="Office Supplies"/>
    <s v="OS"/>
  </r>
  <r>
    <n v="5004"/>
    <x v="613"/>
    <x v="450"/>
    <s v="12/10/2017"/>
    <s v="Standard Class"/>
    <s v="CC-12475"/>
    <x v="613"/>
    <x v="0"/>
    <x v="0"/>
    <s v="Los Angeles"/>
    <x v="1"/>
    <n v="90032"/>
    <x v="1"/>
    <s v="OFF-PA-10000143"/>
    <s v="Office Supplies"/>
    <s v="Paper"/>
    <s v="Astroparche Fine Business Paper"/>
    <n v="10.56"/>
    <m/>
    <s v="Office Supplies"/>
    <s v="OS"/>
  </r>
  <r>
    <n v="5014"/>
    <x v="614"/>
    <x v="451"/>
    <s v="26/07/2018"/>
    <s v="Standard Class"/>
    <s v="SW-20350"/>
    <x v="614"/>
    <x v="2"/>
    <x v="0"/>
    <s v="Cleveland"/>
    <x v="23"/>
    <n v="44105"/>
    <x v="3"/>
    <s v="OFF-ST-10000136"/>
    <s v="Office Supplies"/>
    <s v="Storage"/>
    <s v="Letter Size File"/>
    <n v="222.32"/>
    <m/>
    <s v="Office Supplies"/>
    <s v="OS"/>
  </r>
  <r>
    <n v="5087"/>
    <x v="615"/>
    <x v="452"/>
    <s v="09/03/2016"/>
    <s v="Standard Class"/>
    <s v="KN-16390"/>
    <x v="615"/>
    <x v="1"/>
    <x v="0"/>
    <s v="Philadelphia"/>
    <x v="9"/>
    <n v="19120"/>
    <x v="3"/>
    <s v="TEC-PH-10000562"/>
    <s v="Technology"/>
    <s v="Phones"/>
    <s v="Samsung Convoy 3"/>
    <n v="466.15800000000002"/>
    <m/>
    <s v="Technology"/>
    <s v="Technology"/>
  </r>
  <r>
    <n v="5116"/>
    <x v="616"/>
    <x v="453"/>
    <s v="29/07/2018"/>
    <s v="Standard Class"/>
    <s v="DD-13570"/>
    <x v="616"/>
    <x v="0"/>
    <x v="0"/>
    <s v="Philadelphia"/>
    <x v="9"/>
    <n v="19134"/>
    <x v="3"/>
    <s v="OFF-LA-10004178"/>
    <s v="Office Supplies"/>
    <s v="Labels"/>
    <s v="Avery 491"/>
    <n v="3.3039999999999998"/>
    <m/>
    <s v="Office Supplies"/>
    <s v="OS"/>
  </r>
  <r>
    <n v="5295"/>
    <x v="617"/>
    <x v="454"/>
    <s v="19/08/2018"/>
    <s v="Standard Class"/>
    <s v="BO-11350"/>
    <x v="617"/>
    <x v="1"/>
    <x v="0"/>
    <s v="Roseville"/>
    <x v="11"/>
    <n v="55113"/>
    <x v="2"/>
    <s v="OFF-LA-10000305"/>
    <s v="Office Supplies"/>
    <s v="Labels"/>
    <s v="Avery 495"/>
    <n v="50.4"/>
    <m/>
    <s v="Office Supplies"/>
    <s v="OS"/>
  </r>
  <r>
    <n v="5356"/>
    <x v="618"/>
    <x v="8"/>
    <s v="19/05/2015"/>
    <s v="Standard Class"/>
    <s v="AH-10030"/>
    <x v="618"/>
    <x v="1"/>
    <x v="0"/>
    <s v="Los Angeles"/>
    <x v="1"/>
    <n v="90004"/>
    <x v="1"/>
    <s v="OFF-PA-10003063"/>
    <s v="Office Supplies"/>
    <s v="Paper"/>
    <s v="EcoTones Memo Sheets"/>
    <n v="8"/>
    <m/>
    <s v="Office Supplies"/>
    <s v="OS"/>
  </r>
  <r>
    <n v="5381"/>
    <x v="619"/>
    <x v="455"/>
    <s v="18/08/2017"/>
    <s v="Standard Class"/>
    <s v="JM-15580"/>
    <x v="619"/>
    <x v="0"/>
    <x v="0"/>
    <s v="Los Angeles"/>
    <x v="1"/>
    <n v="90045"/>
    <x v="1"/>
    <s v="TEC-MA-10000423"/>
    <s v="Technology"/>
    <s v="Machines"/>
    <s v="Texas Instruments TI-34 Scientific Calculator"/>
    <n v="105.55200000000001"/>
    <m/>
    <s v="Technology"/>
    <s v="Technology"/>
  </r>
  <r>
    <n v="5413"/>
    <x v="620"/>
    <x v="60"/>
    <s v="22/09/2018"/>
    <s v="Standard Class"/>
    <s v="TS-21505"/>
    <x v="620"/>
    <x v="0"/>
    <x v="0"/>
    <s v="Clovis"/>
    <x v="26"/>
    <n v="88101"/>
    <x v="1"/>
    <s v="TEC-AC-10004992"/>
    <s v="Technology"/>
    <s v="Accessories"/>
    <s v="Kingston Digital DataTraveler 64GB USB 2.0"/>
    <n v="101.34"/>
    <m/>
    <s v="Technology"/>
    <s v="Technology"/>
  </r>
  <r>
    <n v="5439"/>
    <x v="621"/>
    <x v="212"/>
    <s v="08/07/2015"/>
    <s v="First Class"/>
    <s v="DM-13525"/>
    <x v="621"/>
    <x v="1"/>
    <x v="0"/>
    <s v="Palm Coast"/>
    <x v="2"/>
    <n v="32137"/>
    <x v="0"/>
    <s v="FUR-FU-10003192"/>
    <s v="Furniture"/>
    <s v="Furnishings"/>
    <s v="Luxo Adjustable Task Clamp Lamp"/>
    <n v="213.21600000000001"/>
    <m/>
    <s v="Cardbaord"/>
    <s v="cardbaord"/>
  </r>
  <r>
    <n v="5442"/>
    <x v="622"/>
    <x v="289"/>
    <s v="13/09/2018"/>
    <s v="Standard Class"/>
    <s v="AI-10855"/>
    <x v="622"/>
    <x v="0"/>
    <x v="0"/>
    <s v="Glendale"/>
    <x v="16"/>
    <n v="85301"/>
    <x v="1"/>
    <s v="OFF-PA-10000859"/>
    <s v="Office Supplies"/>
    <s v="Paper"/>
    <s v="Unpadded Memo Slips"/>
    <n v="6.3680000000000003"/>
    <m/>
    <s v="Office Supplies"/>
    <s v="OS"/>
  </r>
  <r>
    <n v="5638"/>
    <x v="623"/>
    <x v="439"/>
    <s v="02/04/2018"/>
    <s v="Standard Class"/>
    <s v="ML-18040"/>
    <x v="623"/>
    <x v="1"/>
    <x v="0"/>
    <s v="Dearborn"/>
    <x v="12"/>
    <n v="48126"/>
    <x v="2"/>
    <s v="FUR-FU-10004245"/>
    <s v="Furniture"/>
    <s v="Furnishings"/>
    <s v="Career Cubicle Clock, 8 1/4&quot;, Black"/>
    <n v="60.84"/>
    <m/>
    <s v="Cardbaord"/>
    <s v="cardbaord"/>
  </r>
  <r>
    <n v="5838"/>
    <x v="624"/>
    <x v="456"/>
    <s v="03/12/2018"/>
    <s v="Standard Class"/>
    <s v="DO-13645"/>
    <x v="624"/>
    <x v="0"/>
    <x v="0"/>
    <s v="Los Angeles"/>
    <x v="1"/>
    <n v="90036"/>
    <x v="1"/>
    <s v="TEC-PH-10004100"/>
    <s v="Technology"/>
    <s v="Phones"/>
    <s v="Griffin GC17055 Auxiliary Audio Cable"/>
    <n v="57.567999999999998"/>
    <m/>
    <s v="Technology"/>
    <s v="Technology"/>
  </r>
  <r>
    <n v="5839"/>
    <x v="625"/>
    <x v="457"/>
    <s v="03/04/2016"/>
    <s v="Standard Class"/>
    <s v="MV-17485"/>
    <x v="625"/>
    <x v="0"/>
    <x v="0"/>
    <s v="Seattle"/>
    <x v="4"/>
    <n v="98115"/>
    <x v="1"/>
    <s v="OFF-ST-10000636"/>
    <s v="Office Supplies"/>
    <s v="Storage"/>
    <s v="Rogers Profile Extra Capacity Storage Tub"/>
    <n v="83.7"/>
    <m/>
    <s v="Office Supplies"/>
    <s v="OS"/>
  </r>
  <r>
    <n v="5842"/>
    <x v="626"/>
    <x v="458"/>
    <s v="21/11/2016"/>
    <s v="Standard Class"/>
    <s v="BS-11665"/>
    <x v="626"/>
    <x v="0"/>
    <x v="0"/>
    <s v="San Diego"/>
    <x v="1"/>
    <n v="92105"/>
    <x v="1"/>
    <s v="TEC-PH-10003174"/>
    <s v="Technology"/>
    <s v="Phones"/>
    <s v="RCA ViSYS 25825 Wireless digital phone"/>
    <n v="415.96800000000002"/>
    <m/>
    <s v="Technology"/>
    <s v="Technology"/>
  </r>
  <r>
    <n v="5862"/>
    <x v="627"/>
    <x v="459"/>
    <s v="04/05/2017"/>
    <s v="Second Class"/>
    <s v="CM-12235"/>
    <x v="627"/>
    <x v="0"/>
    <x v="0"/>
    <s v="Little Rock"/>
    <x v="35"/>
    <n v="72209"/>
    <x v="0"/>
    <s v="OFF-PA-10001497"/>
    <s v="Office Supplies"/>
    <s v="Paper"/>
    <s v="Xerox 1914"/>
    <n v="109.92"/>
    <m/>
    <s v="Office Supplies"/>
    <s v="OS"/>
  </r>
  <r>
    <n v="6159"/>
    <x v="628"/>
    <x v="460"/>
    <s v="05/08/2017"/>
    <s v="Second Class"/>
    <s v="AG-10330"/>
    <x v="628"/>
    <x v="0"/>
    <x v="0"/>
    <s v="Tulsa"/>
    <x v="25"/>
    <n v="74133"/>
    <x v="2"/>
    <s v="TEC-AC-10004803"/>
    <s v="Technology"/>
    <s v="Accessories"/>
    <s v="Sony Micro Vault Click 4 GB USB 2.0 Flash Drive"/>
    <n v="167.28"/>
    <m/>
    <s v="Technology"/>
    <s v="Technology"/>
  </r>
  <r>
    <n v="6427"/>
    <x v="629"/>
    <x v="461"/>
    <s v="27/05/2017"/>
    <s v="Standard Class"/>
    <s v="CC-12370"/>
    <x v="629"/>
    <x v="0"/>
    <x v="0"/>
    <s v="Philadelphia"/>
    <x v="9"/>
    <n v="19120"/>
    <x v="3"/>
    <s v="OFF-BI-10004308"/>
    <s v="Office Supplies"/>
    <s v="Binders"/>
    <s v="Avery Legal 4-Ring Binder"/>
    <n v="6.2939999999999996"/>
    <m/>
    <s v="Office Supplies"/>
    <s v="OS"/>
  </r>
  <r>
    <n v="6523"/>
    <x v="630"/>
    <x v="462"/>
    <s v="18/01/2018"/>
    <s v="Second Class"/>
    <s v="AR-10540"/>
    <x v="630"/>
    <x v="0"/>
    <x v="0"/>
    <s v="Jackson"/>
    <x v="12"/>
    <n v="49201"/>
    <x v="2"/>
    <s v="OFF-PA-10001260"/>
    <s v="Office Supplies"/>
    <s v="Paper"/>
    <s v="TOPS Money Receipt Book, Consecutively Numbered in Red,"/>
    <n v="56.07"/>
    <m/>
    <s v="Office Supplies"/>
    <s v="OS"/>
  </r>
  <r>
    <n v="6575"/>
    <x v="631"/>
    <x v="463"/>
    <s v="30/11/2017"/>
    <s v="Standard Class"/>
    <s v="BP-11050"/>
    <x v="631"/>
    <x v="1"/>
    <x v="0"/>
    <s v="Plainfield"/>
    <x v="29"/>
    <n v="7060"/>
    <x v="3"/>
    <s v="TEC-MA-10004255"/>
    <s v="Technology"/>
    <s v="Machines"/>
    <s v="Konica Minolta magicolor 1690MF Multifunction Printer"/>
    <n v="319.92"/>
    <m/>
    <s v="Technology"/>
    <s v="Technology"/>
  </r>
  <r>
    <n v="6699"/>
    <x v="632"/>
    <x v="451"/>
    <s v="25/07/2018"/>
    <s v="Standard Class"/>
    <s v="SW-20455"/>
    <x v="632"/>
    <x v="0"/>
    <x v="0"/>
    <s v="San Diego"/>
    <x v="1"/>
    <n v="92024"/>
    <x v="1"/>
    <s v="OFF-PA-10003205"/>
    <s v="Office Supplies"/>
    <s v="Paper"/>
    <s v="Wirebound Message Forms, Four 2 3/4 x 5 Forms per Page, Pink Paper"/>
    <n v="16.34"/>
    <m/>
    <s v="Office Supplies"/>
    <s v="OS"/>
  </r>
  <r>
    <n v="6814"/>
    <x v="633"/>
    <x v="464"/>
    <s v="15/09/2018"/>
    <s v="First Class"/>
    <s v="PS-18760"/>
    <x v="633"/>
    <x v="0"/>
    <x v="0"/>
    <s v="Philadelphia"/>
    <x v="9"/>
    <n v="19140"/>
    <x v="3"/>
    <s v="FUR-FU-10001057"/>
    <s v="Furniture"/>
    <s v="Furnishings"/>
    <s v="Tensor Track Tree Floor Lamp"/>
    <n v="127.93600000000001"/>
    <m/>
    <s v="Cardbaord"/>
    <s v="cardbaord"/>
  </r>
  <r>
    <n v="6944"/>
    <x v="634"/>
    <x v="400"/>
    <s v="30/07/2016"/>
    <s v="Standard Class"/>
    <s v="RD-19930"/>
    <x v="634"/>
    <x v="0"/>
    <x v="0"/>
    <s v="Los Angeles"/>
    <x v="1"/>
    <n v="90032"/>
    <x v="1"/>
    <s v="TEC-PH-10004094"/>
    <s v="Technology"/>
    <s v="Phones"/>
    <s v="Motorola L703CM"/>
    <n v="623.96"/>
    <m/>
    <s v="Technology"/>
    <s v="Technology"/>
  </r>
  <r>
    <n v="7642"/>
    <x v="635"/>
    <x v="465"/>
    <s v="07/10/2017"/>
    <s v="First Class"/>
    <s v="LB-16795"/>
    <x v="635"/>
    <x v="2"/>
    <x v="0"/>
    <s v="Pueblo"/>
    <x v="21"/>
    <n v="81001"/>
    <x v="1"/>
    <s v="TEC-MA-10001695"/>
    <s v="Technology"/>
    <s v="Machines"/>
    <s v="Zebra GK420t Direct Thermal/Thermal Transfer Printer"/>
    <n v="703.71"/>
    <m/>
    <s v="Technology"/>
    <s v="Technology"/>
  </r>
  <r>
    <n v="7915"/>
    <x v="636"/>
    <x v="42"/>
    <s v="21/06/2018"/>
    <s v="Standard Class"/>
    <s v="SR-20740"/>
    <x v="636"/>
    <x v="2"/>
    <x v="0"/>
    <s v="New York City"/>
    <x v="15"/>
    <n v="10024"/>
    <x v="3"/>
    <s v="TEC-MA-10003673"/>
    <s v="Technology"/>
    <s v="Machines"/>
    <s v="Hewlett-Packard Desktjet 6988DT Refurbished Printer"/>
    <n v="3404.5"/>
    <m/>
    <s v="Technology"/>
    <s v="Technology"/>
  </r>
  <r>
    <n v="7968"/>
    <x v="637"/>
    <x v="466"/>
    <s v="12/10/2017"/>
    <s v="First Class"/>
    <s v="CC-12610"/>
    <x v="637"/>
    <x v="1"/>
    <x v="0"/>
    <s v="Denver"/>
    <x v="21"/>
    <n v="80219"/>
    <x v="1"/>
    <s v="FUR-BO-10001567"/>
    <s v="Furniture"/>
    <s v="Bookcases"/>
    <s v="Bush Westfield Collection Bookcases, Dark Cherry Finish, Fully Assembled"/>
    <n v="90.882000000000005"/>
    <m/>
    <s v="Cardbaord"/>
    <s v="cardbaord"/>
  </r>
  <r>
    <n v="8107"/>
    <x v="638"/>
    <x v="467"/>
    <s v="19/02/2018"/>
    <s v="First Class"/>
    <s v="CR-12820"/>
    <x v="638"/>
    <x v="2"/>
    <x v="0"/>
    <s v="Houston"/>
    <x v="5"/>
    <n v="77041"/>
    <x v="2"/>
    <s v="OFF-AR-10000937"/>
    <s v="Office Supplies"/>
    <s v="Art"/>
    <s v="Dixon Ticonderoga Core-Lock Colored Pencils, 48-Color Set"/>
    <n v="175.44"/>
    <m/>
    <s v="Office Supplies"/>
    <s v="OS"/>
  </r>
  <r>
    <n v="8367"/>
    <x v="639"/>
    <x v="396"/>
    <s v="12/09/2015"/>
    <s v="Second Class"/>
    <s v="LR-17035"/>
    <x v="639"/>
    <x v="1"/>
    <x v="0"/>
    <s v="Santa Clara"/>
    <x v="1"/>
    <n v="95051"/>
    <x v="1"/>
    <s v="OFF-SU-10004290"/>
    <s v="Office Supplies"/>
    <s v="Supplies"/>
    <s v="Acme Design Line 8&quot; Stainless Steel Bent Scissors w/Champagne Handles, 3-1/8&quot; Cut"/>
    <n v="27.36"/>
    <m/>
    <s v="Office Supplies"/>
    <s v="OS"/>
  </r>
  <r>
    <n v="8925"/>
    <x v="640"/>
    <x v="468"/>
    <s v="03/02/2017"/>
    <s v="Standard Class"/>
    <s v="DF-13135"/>
    <x v="640"/>
    <x v="0"/>
    <x v="0"/>
    <s v="Rockford"/>
    <x v="10"/>
    <n v="61107"/>
    <x v="2"/>
    <s v="TEC-PH-10004241"/>
    <s v="Technology"/>
    <s v="Phones"/>
    <s v="Nokia Lumia 1020"/>
    <n v="1439.9680000000001"/>
    <m/>
    <s v="Technology"/>
    <s v="Technology"/>
  </r>
  <r>
    <n v="9379"/>
    <x v="641"/>
    <x v="469"/>
    <s v="15/05/2017"/>
    <s v="Standard Class"/>
    <s v="GM-14500"/>
    <x v="641"/>
    <x v="0"/>
    <x v="0"/>
    <s v="Chicago"/>
    <x v="10"/>
    <n v="60610"/>
    <x v="2"/>
    <s v="OFF-EN-10001535"/>
    <s v="Office Supplies"/>
    <s v="Envelopes"/>
    <s v="Grip Seal Envelopes"/>
    <n v="7.0720000000000001"/>
    <m/>
    <s v="Office Supplies"/>
    <s v="OS"/>
  </r>
  <r>
    <n v="9563"/>
    <x v="642"/>
    <x v="441"/>
    <s v="05/05/2017"/>
    <s v="First Class"/>
    <s v="SM-20905"/>
    <x v="642"/>
    <x v="0"/>
    <x v="0"/>
    <s v="Newark"/>
    <x v="23"/>
    <n v="43055"/>
    <x v="3"/>
    <s v="TEC-MA-10003589"/>
    <s v="Technology"/>
    <s v="Machines"/>
    <s v="Cisco 8961 IP Phone Charcoal"/>
    <n v="224.93700000000001"/>
    <m/>
    <s v="Technology"/>
    <s v="Technolog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4">
  <r>
    <n v="1"/>
    <s v="CA-2017-152156"/>
    <s v="08/11/2017"/>
    <s v="11/11/2017"/>
    <s v="Second Class"/>
    <x v="0"/>
    <x v="0"/>
    <s v="Consumer"/>
    <x v="0"/>
    <s v="Henderson"/>
    <s v="Kentucky"/>
    <n v="42420"/>
    <s v="South"/>
    <s v="FUR-BO-10001798"/>
    <s v="Furniture"/>
    <s v="Bookcases"/>
    <x v="0"/>
    <n v="261.95999999999998"/>
    <n v="156017.70259999981"/>
    <s v="Cardbaord"/>
    <s v="cardbaord"/>
  </r>
  <r>
    <n v="3"/>
    <s v="CA-2017-138688"/>
    <s v="12/06/2017"/>
    <s v="16/06/2017"/>
    <s v="Second Class"/>
    <x v="1"/>
    <x v="1"/>
    <s v="Corporate"/>
    <x v="0"/>
    <s v="Los Angeles"/>
    <s v="California"/>
    <n v="90036"/>
    <s v="West"/>
    <s v="OFF-LA-10000240"/>
    <s v="Office Supplies"/>
    <s v="Labels"/>
    <x v="1"/>
    <n v="14.62"/>
    <n v="11199.968000000001"/>
    <s v="Office Supplies"/>
    <s v="OS"/>
  </r>
  <r>
    <n v="4"/>
    <s v="US-2016-108966"/>
    <s v="11/10/2016"/>
    <s v="18/10/2016"/>
    <s v="Standard Class"/>
    <x v="2"/>
    <x v="2"/>
    <s v="Consumer"/>
    <x v="0"/>
    <s v="Fort Lauderdale"/>
    <s v="Florida"/>
    <n v="33311"/>
    <s v="South"/>
    <s v="FUR-TA-10000577"/>
    <s v="Furniture"/>
    <s v="Tables"/>
    <x v="2"/>
    <n v="957.57749999999999"/>
    <n v="242.64028398133721"/>
    <s v="Cardbaord"/>
    <s v="cardbaord"/>
  </r>
  <r>
    <n v="6"/>
    <s v="CA-2015-115812"/>
    <s v="09/06/2015"/>
    <s v="14/06/2015"/>
    <s v="Standard Class"/>
    <x v="3"/>
    <x v="3"/>
    <s v="Consumer"/>
    <x v="0"/>
    <s v="Los Angeles"/>
    <s v="California"/>
    <n v="90032"/>
    <s v="West"/>
    <s v="FUR-FU-10001487"/>
    <s v="Furniture"/>
    <s v="Furnishings"/>
    <x v="3"/>
    <n v="48.86"/>
    <n v="1.1120000000000001"/>
    <s v="Cardbaord"/>
    <s v="cardbaord"/>
  </r>
  <r>
    <n v="13"/>
    <s v="CA-2018-114412"/>
    <s v="15/04/2018"/>
    <s v="20/04/2018"/>
    <s v="Standard Class"/>
    <x v="4"/>
    <x v="4"/>
    <s v="Consumer"/>
    <x v="0"/>
    <s v="Concord"/>
    <s v="North Carolina"/>
    <n v="28027"/>
    <s v="South"/>
    <s v="OFF-PA-10002365"/>
    <s v="Office Supplies"/>
    <s v="Paper"/>
    <x v="4"/>
    <n v="15.552"/>
    <n v="643"/>
    <s v="Office Supplies"/>
    <s v="OS"/>
  </r>
  <r>
    <n v="14"/>
    <s v="CA-2017-161389"/>
    <s v="05/12/2017"/>
    <s v="10/12/2017"/>
    <s v="Standard Class"/>
    <x v="5"/>
    <x v="5"/>
    <s v="Consumer"/>
    <x v="0"/>
    <s v="Seattle"/>
    <s v="Washington"/>
    <n v="98103"/>
    <s v="West"/>
    <s v="OFF-BI-10003656"/>
    <s v="Office Supplies"/>
    <s v="Binders"/>
    <x v="5"/>
    <n v="407.976"/>
    <n v="74"/>
    <s v="Office Supplies"/>
    <s v="OS"/>
  </r>
  <r>
    <n v="15"/>
    <s v="US-2016-118983"/>
    <s v="22/11/2016"/>
    <s v="26/11/2016"/>
    <s v="Standard Class"/>
    <x v="6"/>
    <x v="6"/>
    <s v="Home Office"/>
    <x v="0"/>
    <s v="Fort Worth"/>
    <s v="Texas"/>
    <n v="76106"/>
    <s v="Central"/>
    <s v="OFF-AP-10002311"/>
    <s v="Office Supplies"/>
    <s v="Appliances"/>
    <x v="6"/>
    <n v="68.81"/>
    <m/>
    <s v="Office Supplies"/>
    <s v="OS"/>
  </r>
  <r>
    <n v="17"/>
    <s v="CA-2015-105893"/>
    <s v="11/11/2015"/>
    <s v="18/11/2015"/>
    <s v="Standard Class"/>
    <x v="7"/>
    <x v="7"/>
    <s v="Consumer"/>
    <x v="0"/>
    <s v="Madison"/>
    <s v="Wisconsin"/>
    <n v="53711"/>
    <s v="Central"/>
    <s v="OFF-ST-10004186"/>
    <s v="Office Supplies"/>
    <s v="Storage"/>
    <x v="7"/>
    <n v="665.88"/>
    <m/>
    <s v="Office Supplies"/>
    <s v="OS"/>
  </r>
  <r>
    <n v="18"/>
    <s v="CA-2015-167164"/>
    <s v="13/05/2015"/>
    <s v="15/05/2015"/>
    <s v="Second Class"/>
    <x v="8"/>
    <x v="8"/>
    <s v="Consumer"/>
    <x v="0"/>
    <s v="West Jordan"/>
    <s v="Utah"/>
    <n v="84084"/>
    <s v="West"/>
    <s v="OFF-ST-10000107"/>
    <s v="Office Supplies"/>
    <s v="Storage"/>
    <x v="8"/>
    <n v="55.5"/>
    <m/>
    <s v="Office Supplies"/>
    <s v="OS"/>
  </r>
  <r>
    <n v="19"/>
    <s v="CA-2015-143336"/>
    <s v="27/08/2015"/>
    <s v="01/09/2015"/>
    <s v="Second Class"/>
    <x v="9"/>
    <x v="9"/>
    <s v="Consumer"/>
    <x v="0"/>
    <s v="San Francisco"/>
    <s v="California"/>
    <n v="94109"/>
    <s v="West"/>
    <s v="OFF-AR-10003056"/>
    <s v="Office Supplies"/>
    <s v="Art"/>
    <x v="9"/>
    <n v="8.56"/>
    <m/>
    <s v="Office Supplies"/>
    <s v="OS"/>
  </r>
  <r>
    <n v="22"/>
    <s v="CA-2017-137330"/>
    <s v="09/12/2017"/>
    <s v="13/12/2017"/>
    <s v="Standard Class"/>
    <x v="10"/>
    <x v="10"/>
    <s v="Corporate"/>
    <x v="0"/>
    <s v="Fremont"/>
    <s v="Nebraska"/>
    <n v="68025"/>
    <s v="Central"/>
    <s v="OFF-AR-10000246"/>
    <s v="Office Supplies"/>
    <s v="Art"/>
    <x v="10"/>
    <n v="19.46"/>
    <m/>
    <s v="Office Supplies"/>
    <s v="OS"/>
  </r>
  <r>
    <n v="24"/>
    <s v="US-2018-156909"/>
    <s v="16/07/2018"/>
    <s v="18/07/2018"/>
    <s v="Second Class"/>
    <x v="11"/>
    <x v="11"/>
    <s v="Consumer"/>
    <x v="0"/>
    <s v="Philadelphia"/>
    <s v="Pennsylvania"/>
    <n v="19140"/>
    <s v="East"/>
    <s v="FUR-CH-10002774"/>
    <s v="Furniture"/>
    <s v="Chairs"/>
    <x v="11"/>
    <n v="71.372"/>
    <m/>
    <s v="Cardbaord"/>
    <s v="cardbaord"/>
  </r>
  <r>
    <n v="26"/>
    <s v="CA-2017-121755"/>
    <s v="16/01/2017"/>
    <s v="20/01/2017"/>
    <s v="Second Class"/>
    <x v="12"/>
    <x v="12"/>
    <s v="Consumer"/>
    <x v="0"/>
    <s v="Los Angeles"/>
    <s v="California"/>
    <n v="90049"/>
    <s v="West"/>
    <s v="OFF-BI-10001634"/>
    <s v="Office Supplies"/>
    <s v="Binders"/>
    <x v="12"/>
    <n v="11.648"/>
    <m/>
    <s v="Office Supplies"/>
    <s v="OS"/>
  </r>
  <r>
    <n v="28"/>
    <s v="US-2016-150630"/>
    <s v="17/09/2016"/>
    <s v="21/09/2016"/>
    <s v="Standard Class"/>
    <x v="13"/>
    <x v="13"/>
    <s v="Consumer"/>
    <x v="0"/>
    <s v="Philadelphia"/>
    <s v="Pennsylvania"/>
    <n v="19140"/>
    <s v="East"/>
    <s v="FUR-BO-10004834"/>
    <s v="Furniture"/>
    <s v="Bookcases"/>
    <x v="13"/>
    <n v="3083.43"/>
    <m/>
    <s v="Cardbaord"/>
    <s v="cardbaord"/>
  </r>
  <r>
    <n v="35"/>
    <s v="CA-2018-107727"/>
    <s v="19/10/2018"/>
    <s v="23/10/2018"/>
    <s v="Second Class"/>
    <x v="14"/>
    <x v="14"/>
    <s v="Home Office"/>
    <x v="0"/>
    <s v="Houston"/>
    <s v="Texas"/>
    <n v="77095"/>
    <s v="Central"/>
    <s v="OFF-PA-10000249"/>
    <s v="Office Supplies"/>
    <s v="Paper"/>
    <x v="14"/>
    <n v="29.472000000000001"/>
    <m/>
    <s v="Office Supplies"/>
    <s v="OS"/>
  </r>
  <r>
    <n v="36"/>
    <s v="CA-2017-117590"/>
    <s v="08/12/2017"/>
    <s v="10/12/2017"/>
    <s v="First Class"/>
    <x v="15"/>
    <x v="15"/>
    <s v="Corporate"/>
    <x v="0"/>
    <s v="Richardson"/>
    <s v="Texas"/>
    <n v="75080"/>
    <s v="Central"/>
    <s v="TEC-PH-10004977"/>
    <s v="Technology"/>
    <s v="Phones"/>
    <x v="15"/>
    <n v="1097.5440000000001"/>
    <m/>
    <s v="Technology"/>
    <s v="Technology"/>
  </r>
  <r>
    <n v="38"/>
    <s v="CA-2016-117415"/>
    <s v="27/12/2016"/>
    <s v="31/12/2016"/>
    <s v="Standard Class"/>
    <x v="16"/>
    <x v="16"/>
    <s v="Home Office"/>
    <x v="0"/>
    <s v="Houston"/>
    <s v="Texas"/>
    <n v="77041"/>
    <s v="Central"/>
    <s v="OFF-EN-10002986"/>
    <s v="Office Supplies"/>
    <s v="Envelopes"/>
    <x v="16"/>
    <n v="113.328"/>
    <m/>
    <s v="Office Supplies"/>
    <s v="OS"/>
  </r>
  <r>
    <n v="42"/>
    <s v="CA-2018-120999"/>
    <s v="10/09/2018"/>
    <s v="15/09/2018"/>
    <s v="Standard Class"/>
    <x v="17"/>
    <x v="17"/>
    <s v="Corporate"/>
    <x v="0"/>
    <s v="Naperville"/>
    <s v="Illinois"/>
    <n v="60540"/>
    <s v="Central"/>
    <s v="TEC-PH-10004093"/>
    <s v="Technology"/>
    <s v="Phones"/>
    <x v="17"/>
    <n v="147.16800000000001"/>
    <m/>
    <s v="Technology"/>
    <s v="Technology"/>
  </r>
  <r>
    <n v="43"/>
    <s v="CA-2017-101343"/>
    <s v="17/07/2017"/>
    <s v="22/07/2017"/>
    <s v="Standard Class"/>
    <x v="18"/>
    <x v="18"/>
    <s v="Corporate"/>
    <x v="0"/>
    <s v="Los Angeles"/>
    <s v="California"/>
    <n v="90049"/>
    <s v="West"/>
    <s v="OFF-ST-10003479"/>
    <s v="Office Supplies"/>
    <s v="Storage"/>
    <x v="18"/>
    <n v="77.88"/>
    <m/>
    <s v="Office Supplies"/>
    <s v="OS"/>
  </r>
  <r>
    <n v="44"/>
    <s v="CA-2018-139619"/>
    <s v="19/09/2018"/>
    <s v="23/09/2018"/>
    <s v="Standard Class"/>
    <x v="19"/>
    <x v="19"/>
    <s v="Corporate"/>
    <x v="0"/>
    <s v="Melbourne"/>
    <s v="Florida"/>
    <n v="32935"/>
    <s v="South"/>
    <s v="OFF-ST-10003282"/>
    <s v="Office Supplies"/>
    <s v="Storage"/>
    <x v="19"/>
    <n v="95.616"/>
    <m/>
    <s v="Office Supplies"/>
    <s v="OS"/>
  </r>
  <r>
    <n v="45"/>
    <s v="CA-2017-118255"/>
    <s v="11/03/2017"/>
    <s v="13/03/2017"/>
    <s v="First Class"/>
    <x v="20"/>
    <x v="20"/>
    <s v="Corporate"/>
    <x v="0"/>
    <s v="Eagan"/>
    <s v="Minnesota"/>
    <n v="55122"/>
    <s v="Central"/>
    <s v="TEC-AC-10000171"/>
    <s v="Technology"/>
    <s v="Accessories"/>
    <x v="20"/>
    <n v="45.98"/>
    <m/>
    <s v="Technology"/>
    <s v="Technology"/>
  </r>
  <r>
    <n v="47"/>
    <s v="CA-2015-146703"/>
    <s v="20/10/2015"/>
    <s v="25/10/2015"/>
    <s v="Second Class"/>
    <x v="21"/>
    <x v="21"/>
    <s v="Consumer"/>
    <x v="0"/>
    <s v="Westland"/>
    <s v="Michigan"/>
    <n v="48185"/>
    <s v="Central"/>
    <s v="OFF-ST-10001713"/>
    <s v="Office Supplies"/>
    <s v="Storage"/>
    <x v="21"/>
    <n v="211.96"/>
    <m/>
    <s v="Office Supplies"/>
    <s v="OS"/>
  </r>
  <r>
    <n v="48"/>
    <s v="CA-2017-169194"/>
    <s v="20/06/2017"/>
    <s v="25/06/2017"/>
    <s v="Standard Class"/>
    <x v="22"/>
    <x v="22"/>
    <s v="Consumer"/>
    <x v="0"/>
    <s v="Dover"/>
    <s v="Delaware"/>
    <n v="19901"/>
    <s v="East"/>
    <s v="TEC-AC-10002167"/>
    <s v="Technology"/>
    <s v="Accessories"/>
    <x v="22"/>
    <n v="45"/>
    <m/>
    <s v="Technology"/>
    <s v="Technology"/>
  </r>
  <r>
    <n v="50"/>
    <s v="CA-2016-115742"/>
    <s v="18/04/2016"/>
    <s v="22/04/2016"/>
    <s v="Standard Class"/>
    <x v="23"/>
    <x v="23"/>
    <s v="Consumer"/>
    <x v="0"/>
    <s v="New Albany"/>
    <s v="Indiana"/>
    <n v="47150"/>
    <s v="Central"/>
    <s v="OFF-BI-10004410"/>
    <s v="Office Supplies"/>
    <s v="Binders"/>
    <x v="23"/>
    <n v="38.22"/>
    <m/>
    <s v="Office Supplies"/>
    <s v="OS"/>
  </r>
  <r>
    <n v="54"/>
    <s v="CA-2017-105816"/>
    <s v="11/12/2017"/>
    <s v="17/12/2017"/>
    <s v="Standard Class"/>
    <x v="24"/>
    <x v="24"/>
    <s v="Corporate"/>
    <x v="0"/>
    <s v="New York City"/>
    <s v="New York"/>
    <n v="10024"/>
    <s v="East"/>
    <s v="OFF-FA-10000304"/>
    <s v="Office Supplies"/>
    <s v="Fasteners"/>
    <x v="24"/>
    <n v="15.26"/>
    <m/>
    <s v="Office Supplies"/>
    <s v="OS"/>
  </r>
  <r>
    <n v="56"/>
    <s v="CA-2017-111682"/>
    <s v="17/06/2017"/>
    <s v="18/06/2017"/>
    <s v="First Class"/>
    <x v="25"/>
    <x v="25"/>
    <s v="Consumer"/>
    <x v="0"/>
    <s v="Troy"/>
    <s v="New York"/>
    <n v="12180"/>
    <s v="East"/>
    <s v="OFF-ST-10000604"/>
    <s v="Office Supplies"/>
    <s v="Storage"/>
    <x v="25"/>
    <n v="208.56"/>
    <m/>
    <s v="Office Supplies"/>
    <s v="OS"/>
  </r>
  <r>
    <n v="63"/>
    <s v="CA-2016-135545"/>
    <s v="24/11/2016"/>
    <s v="30/11/2016"/>
    <s v="Standard Class"/>
    <x v="26"/>
    <x v="26"/>
    <s v="Consumer"/>
    <x v="0"/>
    <s v="Los Angeles"/>
    <s v="California"/>
    <n v="90004"/>
    <s v="West"/>
    <s v="TEC-AC-10004633"/>
    <s v="Technology"/>
    <s v="Accessories"/>
    <x v="26"/>
    <n v="13.98"/>
    <m/>
    <s v="Technology"/>
    <s v="Technology"/>
  </r>
  <r>
    <n v="67"/>
    <s v="US-2016-164175"/>
    <s v="30/04/2016"/>
    <s v="05/05/2016"/>
    <s v="Standard Class"/>
    <x v="27"/>
    <x v="27"/>
    <s v="Home Office"/>
    <x v="0"/>
    <s v="Chicago"/>
    <s v="Illinois"/>
    <n v="60610"/>
    <s v="Central"/>
    <s v="FUR-CH-10001146"/>
    <s v="Furniture"/>
    <s v="Chairs"/>
    <x v="27"/>
    <n v="213.11500000000001"/>
    <m/>
    <s v="Cardbaord"/>
    <s v="cardbaord"/>
  </r>
  <r>
    <n v="68"/>
    <s v="CA-2015-106376"/>
    <s v="05/12/2015"/>
    <s v="10/12/2015"/>
    <s v="Standard Class"/>
    <x v="28"/>
    <x v="28"/>
    <s v="Corporate"/>
    <x v="0"/>
    <s v="Gilbert"/>
    <s v="Arizona"/>
    <n v="85234"/>
    <s v="West"/>
    <s v="OFF-AR-10002671"/>
    <s v="Office Supplies"/>
    <s v="Art"/>
    <x v="28"/>
    <n v="1113.0239999999999"/>
    <m/>
    <s v="Office Supplies"/>
    <s v="OS"/>
  </r>
  <r>
    <n v="70"/>
    <s v="CA-2017-119823"/>
    <s v="04/06/2017"/>
    <s v="06/06/2017"/>
    <s v="First Class"/>
    <x v="29"/>
    <x v="29"/>
    <s v="Consumer"/>
    <x v="0"/>
    <s v="Springfield"/>
    <s v="Virginia"/>
    <n v="22153"/>
    <s v="South"/>
    <s v="OFF-PA-10000482"/>
    <s v="Office Supplies"/>
    <s v="Paper"/>
    <x v="29"/>
    <n v="75.88"/>
    <m/>
    <s v="Office Supplies"/>
    <s v="OS"/>
  </r>
  <r>
    <n v="71"/>
    <s v="CA-2017-106075"/>
    <s v="18/09/2017"/>
    <s v="23/09/2017"/>
    <s v="Standard Class"/>
    <x v="30"/>
    <x v="30"/>
    <s v="Consumer"/>
    <x v="0"/>
    <s v="New York City"/>
    <s v="New York"/>
    <n v="10009"/>
    <s v="East"/>
    <s v="OFF-BI-10004654"/>
    <s v="Office Supplies"/>
    <s v="Binders"/>
    <x v="30"/>
    <n v="4.6159999999999997"/>
    <m/>
    <s v="Office Supplies"/>
    <s v="OS"/>
  </r>
  <r>
    <n v="73"/>
    <s v="US-2016-134026"/>
    <s v="26/04/2016"/>
    <s v="02/05/2016"/>
    <s v="Standard Class"/>
    <x v="31"/>
    <x v="31"/>
    <s v="Consumer"/>
    <x v="0"/>
    <s v="Memphis"/>
    <s v="Tennessee"/>
    <n v="38109"/>
    <s v="South"/>
    <s v="FUR-CH-10000513"/>
    <s v="Furniture"/>
    <s v="Chairs"/>
    <x v="31"/>
    <n v="831.93600000000004"/>
    <m/>
    <s v="Cardbaord"/>
    <s v="cardbaord"/>
  </r>
  <r>
    <n v="76"/>
    <s v="US-2018-118038"/>
    <s v="09/12/2018"/>
    <s v="11/12/2018"/>
    <s v="First Class"/>
    <x v="32"/>
    <x v="32"/>
    <s v="Corporate"/>
    <x v="0"/>
    <s v="Houston"/>
    <s v="Texas"/>
    <n v="77041"/>
    <s v="Central"/>
    <s v="OFF-BI-10004182"/>
    <s v="Office Supplies"/>
    <s v="Binders"/>
    <x v="32"/>
    <n v="1.248"/>
    <m/>
    <s v="Office Supplies"/>
    <s v="OS"/>
  </r>
  <r>
    <n v="80"/>
    <s v="CA-2017-127208"/>
    <s v="12/06/2017"/>
    <s v="15/06/2017"/>
    <s v="First Class"/>
    <x v="33"/>
    <x v="33"/>
    <s v="Corporate"/>
    <x v="0"/>
    <s v="Decatur"/>
    <s v="Alabama"/>
    <n v="35601"/>
    <s v="South"/>
    <s v="OFF-AP-10002118"/>
    <s v="Office Supplies"/>
    <s v="Appliances"/>
    <x v="33"/>
    <n v="208.16"/>
    <m/>
    <s v="Office Supplies"/>
    <s v="OS"/>
  </r>
  <r>
    <n v="82"/>
    <s v="CA-2015-139451"/>
    <s v="12/10/2015"/>
    <s v="16/10/2015"/>
    <s v="Standard Class"/>
    <x v="34"/>
    <x v="34"/>
    <s v="Consumer"/>
    <x v="0"/>
    <s v="San Francisco"/>
    <s v="California"/>
    <n v="94122"/>
    <s v="West"/>
    <s v="OFF-AR-10002053"/>
    <s v="Office Supplies"/>
    <s v="Art"/>
    <x v="34"/>
    <n v="14.9"/>
    <m/>
    <s v="Office Supplies"/>
    <s v="OS"/>
  </r>
  <r>
    <n v="84"/>
    <s v="CA-2016-149734"/>
    <s v="03/09/2016"/>
    <s v="08/09/2016"/>
    <s v="Standard Class"/>
    <x v="35"/>
    <x v="35"/>
    <s v="Corporate"/>
    <x v="0"/>
    <s v="Durham"/>
    <s v="North Carolina"/>
    <n v="27707"/>
    <s v="South"/>
    <s v="OFF-EN-10000927"/>
    <s v="Office Supplies"/>
    <s v="Envelopes"/>
    <x v="35"/>
    <n v="200.98400000000001"/>
    <m/>
    <s v="Office Supplies"/>
    <s v="OS"/>
  </r>
  <r>
    <n v="85"/>
    <s v="US-2018-119662"/>
    <s v="13/11/2018"/>
    <s v="16/11/2018"/>
    <s v="First Class"/>
    <x v="36"/>
    <x v="36"/>
    <s v="Home Office"/>
    <x v="0"/>
    <s v="Chicago"/>
    <s v="Illinois"/>
    <n v="60623"/>
    <s v="Central"/>
    <s v="OFF-ST-10003656"/>
    <s v="Office Supplies"/>
    <s v="Storage"/>
    <x v="36"/>
    <n v="230.376"/>
    <m/>
    <s v="Office Supplies"/>
    <s v="OS"/>
  </r>
  <r>
    <n v="87"/>
    <s v="CA-2018-155558"/>
    <s v="26/10/2018"/>
    <s v="02/11/2018"/>
    <s v="Standard Class"/>
    <x v="37"/>
    <x v="37"/>
    <s v="Consumer"/>
    <x v="0"/>
    <s v="Rochester"/>
    <s v="Minnesota"/>
    <n v="55901"/>
    <s v="Central"/>
    <s v="TEC-AC-10001998"/>
    <s v="Technology"/>
    <s v="Accessories"/>
    <x v="37"/>
    <n v="19.989999999999998"/>
    <m/>
    <s v="Technology"/>
    <s v="Technology"/>
  </r>
  <r>
    <n v="89"/>
    <s v="CA-2017-159695"/>
    <s v="05/04/2017"/>
    <s v="10/04/2017"/>
    <s v="Second Class"/>
    <x v="38"/>
    <x v="38"/>
    <s v="Home Office"/>
    <x v="0"/>
    <s v="Houston"/>
    <s v="Texas"/>
    <n v="77095"/>
    <s v="Central"/>
    <s v="OFF-ST-10003442"/>
    <s v="Office Supplies"/>
    <s v="Storage"/>
    <x v="38"/>
    <n v="158.36799999999999"/>
    <m/>
    <s v="Office Supplies"/>
    <s v="OS"/>
  </r>
  <r>
    <n v="90"/>
    <s v="CA-2017-109806"/>
    <s v="17/09/2017"/>
    <s v="22/09/2017"/>
    <s v="Standard Class"/>
    <x v="39"/>
    <x v="39"/>
    <s v="Corporate"/>
    <x v="0"/>
    <s v="Los Angeles"/>
    <s v="California"/>
    <n v="90036"/>
    <s v="West"/>
    <s v="OFF-AR-10004930"/>
    <s v="Office Supplies"/>
    <s v="Art"/>
    <x v="39"/>
    <n v="20.100000000000001"/>
    <m/>
    <s v="Office Supplies"/>
    <s v="OS"/>
  </r>
  <r>
    <n v="93"/>
    <s v="CA-2016-149587"/>
    <s v="31/01/2016"/>
    <s v="05/02/2016"/>
    <s v="Second Class"/>
    <x v="40"/>
    <x v="40"/>
    <s v="Consumer"/>
    <x v="0"/>
    <s v="Minneapolis"/>
    <s v="Minnesota"/>
    <n v="55407"/>
    <s v="Central"/>
    <s v="OFF-PA-10003177"/>
    <s v="Office Supplies"/>
    <s v="Paper"/>
    <x v="40"/>
    <n v="12.96"/>
    <m/>
    <s v="Office Supplies"/>
    <s v="OS"/>
  </r>
  <r>
    <n v="96"/>
    <s v="US-2018-109484"/>
    <s v="06/11/2018"/>
    <s v="12/11/2018"/>
    <s v="Standard Class"/>
    <x v="41"/>
    <x v="41"/>
    <s v="Home Office"/>
    <x v="0"/>
    <s v="Portland"/>
    <s v="Oregon"/>
    <n v="97206"/>
    <s v="West"/>
    <s v="OFF-BI-10004738"/>
    <s v="Office Supplies"/>
    <s v="Binders"/>
    <x v="41"/>
    <n v="5.6820000000000004"/>
    <m/>
    <s v="Office Supplies"/>
    <s v="OS"/>
  </r>
  <r>
    <n v="97"/>
    <s v="CA-2018-161018"/>
    <s v="09/11/2018"/>
    <s v="11/11/2018"/>
    <s v="Second Class"/>
    <x v="42"/>
    <x v="42"/>
    <s v="Home Office"/>
    <x v="0"/>
    <s v="New York City"/>
    <s v="New York"/>
    <n v="10009"/>
    <s v="East"/>
    <s v="FUR-FU-10000629"/>
    <s v="Furniture"/>
    <s v="Furnishings"/>
    <x v="42"/>
    <n v="96.53"/>
    <m/>
    <s v="Cardbaord"/>
    <s v="cardbaord"/>
  </r>
  <r>
    <n v="98"/>
    <s v="CA-2018-157833"/>
    <s v="17/06/2018"/>
    <s v="20/06/2018"/>
    <s v="First Class"/>
    <x v="43"/>
    <x v="43"/>
    <s v="Consumer"/>
    <x v="0"/>
    <s v="San Francisco"/>
    <s v="California"/>
    <n v="94122"/>
    <s v="West"/>
    <s v="OFF-BI-10001721"/>
    <s v="Office Supplies"/>
    <s v="Binders"/>
    <x v="43"/>
    <n v="51.311999999999998"/>
    <m/>
    <s v="Office Supplies"/>
    <s v="OS"/>
  </r>
  <r>
    <n v="99"/>
    <s v="CA-2017-149223"/>
    <s v="06/09/2017"/>
    <s v="11/09/2017"/>
    <s v="Standard Class"/>
    <x v="44"/>
    <x v="44"/>
    <s v="Corporate"/>
    <x v="0"/>
    <s v="Saint Paul"/>
    <s v="Minnesota"/>
    <n v="55106"/>
    <s v="Central"/>
    <s v="OFF-AP-10000358"/>
    <s v="Office Supplies"/>
    <s v="Appliances"/>
    <x v="44"/>
    <n v="77.88"/>
    <m/>
    <s v="Office Supplies"/>
    <s v="OS"/>
  </r>
  <r>
    <n v="100"/>
    <s v="CA-2017-158568"/>
    <s v="29/08/2017"/>
    <s v="02/09/2017"/>
    <s v="Standard Class"/>
    <x v="45"/>
    <x v="45"/>
    <s v="Home Office"/>
    <x v="0"/>
    <s v="Chicago"/>
    <s v="Illinois"/>
    <n v="60610"/>
    <s v="Central"/>
    <s v="OFF-PA-10003256"/>
    <s v="Office Supplies"/>
    <s v="Paper"/>
    <x v="45"/>
    <n v="64.623999999999995"/>
    <m/>
    <s v="Office Supplies"/>
    <s v="OS"/>
  </r>
  <r>
    <n v="103"/>
    <s v="CA-2017-129903"/>
    <s v="01/12/2017"/>
    <s v="04/12/2017"/>
    <s v="Second Class"/>
    <x v="46"/>
    <x v="46"/>
    <s v="Consumer"/>
    <x v="0"/>
    <s v="Rochester"/>
    <s v="Minnesota"/>
    <n v="55901"/>
    <s v="Central"/>
    <s v="OFF-PA-10004040"/>
    <s v="Office Supplies"/>
    <s v="Paper"/>
    <x v="46"/>
    <n v="23.92"/>
    <m/>
    <s v="Office Supplies"/>
    <s v="OS"/>
  </r>
  <r>
    <n v="104"/>
    <s v="US-2016-156867"/>
    <s v="13/11/2016"/>
    <s v="17/11/2016"/>
    <s v="Standard Class"/>
    <x v="47"/>
    <x v="47"/>
    <s v="Consumer"/>
    <x v="0"/>
    <s v="Aurora"/>
    <s v="Colorado"/>
    <n v="80013"/>
    <s v="West"/>
    <s v="TEC-AC-10001552"/>
    <s v="Technology"/>
    <s v="Accessories"/>
    <x v="47"/>
    <n v="238.89599999999999"/>
    <m/>
    <s v="Technology"/>
    <s v="Technology"/>
  </r>
  <r>
    <n v="107"/>
    <s v="CA-2018-119004"/>
    <s v="23/11/2018"/>
    <s v="28/11/2018"/>
    <s v="Standard Class"/>
    <x v="48"/>
    <x v="48"/>
    <s v="Consumer"/>
    <x v="0"/>
    <s v="Charlotte"/>
    <s v="North Carolina"/>
    <n v="28205"/>
    <s v="South"/>
    <s v="TEC-AC-10003499"/>
    <s v="Technology"/>
    <s v="Accessories"/>
    <x v="48"/>
    <n v="74.111999999999995"/>
    <m/>
    <s v="Technology"/>
    <s v="Technology"/>
  </r>
  <r>
    <n v="110"/>
    <s v="CA-2016-129476"/>
    <s v="15/10/2016"/>
    <s v="20/10/2016"/>
    <s v="Standard Class"/>
    <x v="49"/>
    <x v="49"/>
    <s v="Home Office"/>
    <x v="0"/>
    <s v="Orland Park"/>
    <s v="Illinois"/>
    <n v="60462"/>
    <s v="Central"/>
    <s v="TEC-AC-10000844"/>
    <s v="Technology"/>
    <s v="Accessories"/>
    <x v="49"/>
    <n v="339.96"/>
    <m/>
    <s v="Technology"/>
    <s v="Technology"/>
  </r>
  <r>
    <n v="111"/>
    <s v="CA-2018-146780"/>
    <s v="25/12/2018"/>
    <s v="30/12/2018"/>
    <s v="Standard Class"/>
    <x v="50"/>
    <x v="50"/>
    <s v="Corporate"/>
    <x v="0"/>
    <s v="New York City"/>
    <s v="New York"/>
    <n v="10035"/>
    <s v="East"/>
    <s v="FUR-FU-10001934"/>
    <s v="Furniture"/>
    <s v="Furnishings"/>
    <x v="50"/>
    <n v="41.96"/>
    <m/>
    <s v="Cardbaord"/>
    <s v="cardbaord"/>
  </r>
  <r>
    <n v="112"/>
    <s v="CA-2017-128867"/>
    <s v="03/11/2017"/>
    <s v="10/11/2017"/>
    <s v="Standard Class"/>
    <x v="51"/>
    <x v="51"/>
    <s v="Consumer"/>
    <x v="0"/>
    <s v="Urbandale"/>
    <s v="Iowa"/>
    <n v="50322"/>
    <s v="Central"/>
    <s v="OFF-AR-10000380"/>
    <s v="Office Supplies"/>
    <s v="Art"/>
    <x v="51"/>
    <n v="75.959999999999994"/>
    <m/>
    <s v="Office Supplies"/>
    <s v="OS"/>
  </r>
  <r>
    <n v="114"/>
    <s v="CA-2015-115259"/>
    <s v="25/08/2015"/>
    <s v="27/08/2015"/>
    <s v="Second Class"/>
    <x v="52"/>
    <x v="52"/>
    <s v="Consumer"/>
    <x v="0"/>
    <s v="Columbus"/>
    <s v="Ohio"/>
    <n v="43229"/>
    <s v="East"/>
    <s v="OFF-FA-10000621"/>
    <s v="Office Supplies"/>
    <s v="Fasteners"/>
    <x v="52"/>
    <n v="40.095999999999997"/>
    <m/>
    <s v="Office Supplies"/>
    <s v="OS"/>
  </r>
  <r>
    <n v="118"/>
    <s v="CA-2016-110457"/>
    <s v="02/03/2016"/>
    <s v="06/03/2016"/>
    <s v="Standard Class"/>
    <x v="53"/>
    <x v="53"/>
    <s v="Consumer"/>
    <x v="0"/>
    <s v="Seattle"/>
    <s v="Washington"/>
    <n v="98103"/>
    <s v="West"/>
    <s v="FUR-TA-10001768"/>
    <s v="Furniture"/>
    <s v="Tables"/>
    <x v="53"/>
    <n v="787.53"/>
    <m/>
    <s v="Cardbaord"/>
    <s v="cardbaord"/>
  </r>
  <r>
    <n v="119"/>
    <s v="US-2016-136476"/>
    <s v="05/04/2016"/>
    <s v="10/04/2016"/>
    <s v="Standard Class"/>
    <x v="54"/>
    <x v="54"/>
    <s v="Corporate"/>
    <x v="0"/>
    <s v="Bristol"/>
    <s v="Tennessee"/>
    <n v="37620"/>
    <s v="South"/>
    <s v="OFF-BI-10003650"/>
    <s v="Office Supplies"/>
    <s v="Binders"/>
    <x v="54"/>
    <n v="157.79400000000001"/>
    <m/>
    <s v="Office Supplies"/>
    <s v="OS"/>
  </r>
  <r>
    <n v="120"/>
    <s v="CA-2017-103730"/>
    <s v="12/06/2017"/>
    <s v="15/06/2017"/>
    <s v="First Class"/>
    <x v="55"/>
    <x v="55"/>
    <s v="Consumer"/>
    <x v="0"/>
    <s v="Wilmington"/>
    <s v="Delaware"/>
    <n v="19805"/>
    <s v="East"/>
    <s v="FUR-FU-10002157"/>
    <s v="Furniture"/>
    <s v="Furnishings"/>
    <x v="55"/>
    <n v="47.04"/>
    <m/>
    <s v="Cardbaord"/>
    <s v="cardbaord"/>
  </r>
  <r>
    <n v="125"/>
    <s v="US-2015-152030"/>
    <s v="26/12/2015"/>
    <s v="28/12/2015"/>
    <s v="Second Class"/>
    <x v="56"/>
    <x v="56"/>
    <s v="Home Office"/>
    <x v="0"/>
    <s v="Houston"/>
    <s v="Texas"/>
    <n v="77041"/>
    <s v="Central"/>
    <s v="FUR-CH-10004063"/>
    <s v="Furniture"/>
    <s v="Chairs"/>
    <x v="56"/>
    <n v="600.55799999999999"/>
    <m/>
    <s v="Cardbaord"/>
    <s v="cardbaord"/>
  </r>
  <r>
    <n v="126"/>
    <s v="US-2015-134614"/>
    <s v="20/09/2015"/>
    <s v="25/09/2015"/>
    <s v="Standard Class"/>
    <x v="57"/>
    <x v="57"/>
    <s v="Consumer"/>
    <x v="0"/>
    <s v="Bloomington"/>
    <s v="Illinois"/>
    <n v="61701"/>
    <s v="Central"/>
    <s v="FUR-TA-10004534"/>
    <s v="Furniture"/>
    <s v="Tables"/>
    <x v="57"/>
    <n v="617.70000000000005"/>
    <m/>
    <s v="Cardbaord"/>
    <s v="cardbaord"/>
  </r>
  <r>
    <n v="127"/>
    <s v="US-2018-107272"/>
    <s v="05/11/2018"/>
    <s v="12/11/2018"/>
    <s v="Standard Class"/>
    <x v="58"/>
    <x v="58"/>
    <s v="Consumer"/>
    <x v="0"/>
    <s v="Phoenix"/>
    <s v="Arizona"/>
    <n v="85023"/>
    <s v="West"/>
    <s v="OFF-BI-10003274"/>
    <s v="Office Supplies"/>
    <s v="Binders"/>
    <x v="58"/>
    <n v="2.3879999999999999"/>
    <m/>
    <s v="Office Supplies"/>
    <s v="OS"/>
  </r>
  <r>
    <n v="130"/>
    <s v="US-2017-125969"/>
    <s v="06/11/2017"/>
    <s v="10/11/2017"/>
    <s v="Second Class"/>
    <x v="59"/>
    <x v="59"/>
    <s v="Home Office"/>
    <x v="0"/>
    <s v="Los Angeles"/>
    <s v="California"/>
    <n v="90004"/>
    <s v="West"/>
    <s v="FUR-FU-10003773"/>
    <s v="Furniture"/>
    <s v="Furnishings"/>
    <x v="59"/>
    <n v="238.56"/>
    <m/>
    <s v="Cardbaord"/>
    <s v="cardbaord"/>
  </r>
  <r>
    <n v="131"/>
    <s v="US-2018-164147"/>
    <s v="02/02/2018"/>
    <s v="05/02/2018"/>
    <s v="First Class"/>
    <x v="60"/>
    <x v="60"/>
    <s v="Corporate"/>
    <x v="0"/>
    <s v="Columbus"/>
    <s v="Ohio"/>
    <n v="43229"/>
    <s v="East"/>
    <s v="TEC-PH-10002293"/>
    <s v="Technology"/>
    <s v="Phones"/>
    <x v="60"/>
    <n v="59.97"/>
    <m/>
    <s v="Technology"/>
    <s v="Technology"/>
  </r>
  <r>
    <n v="134"/>
    <s v="CA-2017-145583"/>
    <s v="13/10/2017"/>
    <s v="19/10/2017"/>
    <s v="Standard Class"/>
    <x v="61"/>
    <x v="61"/>
    <s v="Consumer"/>
    <x v="0"/>
    <s v="Roseville"/>
    <s v="California"/>
    <n v="95661"/>
    <s v="West"/>
    <s v="OFF-PA-10001804"/>
    <s v="Office Supplies"/>
    <s v="Paper"/>
    <x v="61"/>
    <n v="20.04"/>
    <m/>
    <s v="Office Supplies"/>
    <s v="OS"/>
  </r>
  <r>
    <n v="142"/>
    <s v="CA-2018-106180"/>
    <s v="18/09/2018"/>
    <s v="23/09/2018"/>
    <s v="Standard Class"/>
    <x v="62"/>
    <x v="62"/>
    <s v="Corporate"/>
    <x v="0"/>
    <s v="San Francisco"/>
    <s v="California"/>
    <n v="94122"/>
    <s v="West"/>
    <s v="OFF-AR-10000940"/>
    <s v="Office Supplies"/>
    <s v="Art"/>
    <x v="62"/>
    <n v="8.82"/>
    <m/>
    <s v="Office Supplies"/>
    <s v="OS"/>
  </r>
  <r>
    <n v="145"/>
    <s v="CA-2018-155376"/>
    <s v="22/12/2018"/>
    <s v="27/12/2018"/>
    <s v="Standard Class"/>
    <x v="63"/>
    <x v="63"/>
    <s v="Consumer"/>
    <x v="0"/>
    <s v="Independence"/>
    <s v="Missouri"/>
    <n v="64055"/>
    <s v="Central"/>
    <s v="OFF-AP-10001058"/>
    <s v="Office Supplies"/>
    <s v="Appliances"/>
    <x v="63"/>
    <n v="839.43"/>
    <m/>
    <s v="Office Supplies"/>
    <s v="OS"/>
  </r>
  <r>
    <n v="147"/>
    <s v="CA-2015-110072"/>
    <s v="22/10/2015"/>
    <s v="28/10/2015"/>
    <s v="Standard Class"/>
    <x v="64"/>
    <x v="64"/>
    <s v="Home Office"/>
    <x v="0"/>
    <s v="Newark"/>
    <s v="Ohio"/>
    <n v="43055"/>
    <s v="East"/>
    <s v="FUR-FU-10000521"/>
    <s v="Furniture"/>
    <s v="Furnishings"/>
    <x v="64"/>
    <n v="93.888000000000005"/>
    <m/>
    <s v="Cardbaord"/>
    <s v="cardbaord"/>
  </r>
  <r>
    <n v="148"/>
    <s v="CA-2017-114489"/>
    <s v="05/12/2017"/>
    <s v="09/12/2017"/>
    <s v="Standard Class"/>
    <x v="65"/>
    <x v="65"/>
    <s v="Corporate"/>
    <x v="0"/>
    <s v="Franklin"/>
    <s v="Wisconsin"/>
    <n v="53132"/>
    <s v="Central"/>
    <s v="TEC-PH-10000215"/>
    <s v="Technology"/>
    <s v="Phones"/>
    <x v="65"/>
    <n v="384.45"/>
    <m/>
    <s v="Technology"/>
    <s v="Technology"/>
  </r>
  <r>
    <n v="152"/>
    <s v="CA-2017-158834"/>
    <s v="13/03/2017"/>
    <s v="16/03/2017"/>
    <s v="First Class"/>
    <x v="66"/>
    <x v="66"/>
    <s v="Home Office"/>
    <x v="0"/>
    <s v="Scottsdale"/>
    <s v="Arizona"/>
    <n v="85254"/>
    <s v="West"/>
    <s v="OFF-AP-10000326"/>
    <s v="Office Supplies"/>
    <s v="Appliances"/>
    <x v="66"/>
    <n v="157.91999999999999"/>
    <m/>
    <s v="Office Supplies"/>
    <s v="OS"/>
  </r>
  <r>
    <n v="154"/>
    <s v="CA-2016-124919"/>
    <s v="31/05/2016"/>
    <s v="02/06/2016"/>
    <s v="First Class"/>
    <x v="67"/>
    <x v="67"/>
    <s v="Corporate"/>
    <x v="0"/>
    <s v="San Jose"/>
    <s v="California"/>
    <n v="95123"/>
    <s v="West"/>
    <s v="OFF-PA-10001950"/>
    <s v="Office Supplies"/>
    <s v="Paper"/>
    <x v="67"/>
    <n v="58.38"/>
    <m/>
    <s v="Office Supplies"/>
    <s v="OS"/>
  </r>
  <r>
    <n v="157"/>
    <s v="CA-2016-118948"/>
    <s v="28/05/2016"/>
    <s v="03/06/2016"/>
    <s v="Standard Class"/>
    <x v="68"/>
    <x v="68"/>
    <s v="Home Office"/>
    <x v="0"/>
    <s v="Seattle"/>
    <s v="Washington"/>
    <n v="98105"/>
    <s v="West"/>
    <s v="OFF-AR-10001547"/>
    <s v="Office Supplies"/>
    <s v="Art"/>
    <x v="68"/>
    <n v="6.63"/>
    <m/>
    <s v="Office Supplies"/>
    <s v="OS"/>
  </r>
  <r>
    <n v="159"/>
    <s v="CA-2017-114104"/>
    <s v="20/11/2017"/>
    <s v="24/11/2017"/>
    <s v="Standard Class"/>
    <x v="69"/>
    <x v="69"/>
    <s v="Consumer"/>
    <x v="0"/>
    <s v="Edmond"/>
    <s v="Oklahoma"/>
    <n v="73034"/>
    <s v="Central"/>
    <s v="OFF-LA-10002475"/>
    <s v="Office Supplies"/>
    <s v="Labels"/>
    <x v="69"/>
    <n v="14.62"/>
    <m/>
    <s v="Office Supplies"/>
    <s v="OS"/>
  </r>
  <r>
    <n v="161"/>
    <s v="CA-2017-162733"/>
    <s v="11/05/2017"/>
    <s v="12/05/2017"/>
    <s v="First Class"/>
    <x v="70"/>
    <x v="70"/>
    <s v="Consumer"/>
    <x v="0"/>
    <s v="Los Angeles"/>
    <s v="California"/>
    <n v="90045"/>
    <s v="West"/>
    <s v="OFF-PA-10002751"/>
    <s v="Office Supplies"/>
    <s v="Paper"/>
    <x v="70"/>
    <n v="5.98"/>
    <m/>
    <s v="Office Supplies"/>
    <s v="OS"/>
  </r>
  <r>
    <n v="162"/>
    <s v="CA-2016-119697"/>
    <s v="28/12/2016"/>
    <s v="31/12/2016"/>
    <s v="Second Class"/>
    <x v="71"/>
    <x v="71"/>
    <s v="Consumer"/>
    <x v="0"/>
    <s v="Philadelphia"/>
    <s v="Pennsylvania"/>
    <n v="19134"/>
    <s v="East"/>
    <s v="TEC-AC-10003657"/>
    <s v="Technology"/>
    <s v="Accessories"/>
    <x v="71"/>
    <n v="54.384"/>
    <m/>
    <s v="Technology"/>
    <s v="Technology"/>
  </r>
  <r>
    <n v="163"/>
    <s v="CA-2017-154508"/>
    <s v="16/11/2017"/>
    <s v="20/11/2017"/>
    <s v="Standard Class"/>
    <x v="72"/>
    <x v="72"/>
    <s v="Consumer"/>
    <x v="0"/>
    <s v="Carlsbad"/>
    <s v="New Mexico"/>
    <n v="88220"/>
    <s v="West"/>
    <s v="OFF-EN-10001990"/>
    <s v="Office Supplies"/>
    <s v="Envelopes"/>
    <x v="72"/>
    <n v="28.4"/>
    <m/>
    <s v="Office Supplies"/>
    <s v="OS"/>
  </r>
  <r>
    <n v="164"/>
    <s v="CA-2017-113817"/>
    <s v="07/11/2017"/>
    <s v="11/11/2017"/>
    <s v="Standard Class"/>
    <x v="73"/>
    <x v="73"/>
    <s v="Consumer"/>
    <x v="0"/>
    <s v="Seattle"/>
    <s v="Washington"/>
    <n v="98115"/>
    <s v="West"/>
    <s v="OFF-BI-10004002"/>
    <s v="Office Supplies"/>
    <s v="Binders"/>
    <x v="73"/>
    <n v="27.68"/>
    <m/>
    <s v="Office Supplies"/>
    <s v="OS"/>
  </r>
  <r>
    <n v="165"/>
    <s v="CA-2015-139892"/>
    <s v="08/09/2015"/>
    <s v="12/09/2015"/>
    <s v="Standard Class"/>
    <x v="74"/>
    <x v="74"/>
    <s v="Consumer"/>
    <x v="0"/>
    <s v="San Antonio"/>
    <s v="Texas"/>
    <n v="78207"/>
    <s v="Central"/>
    <s v="OFF-AR-10004441"/>
    <s v="Office Supplies"/>
    <s v="Art"/>
    <x v="74"/>
    <n v="9.9359999999999999"/>
    <m/>
    <s v="Office Supplies"/>
    <s v="OS"/>
  </r>
  <r>
    <n v="172"/>
    <s v="CA-2015-118962"/>
    <s v="05/08/2015"/>
    <s v="09/08/2015"/>
    <s v="Standard Class"/>
    <x v="75"/>
    <x v="75"/>
    <s v="Consumer"/>
    <x v="0"/>
    <s v="Los Angeles"/>
    <s v="California"/>
    <n v="90004"/>
    <s v="West"/>
    <s v="OFF-PA-10000659"/>
    <s v="Office Supplies"/>
    <s v="Paper"/>
    <x v="75"/>
    <n v="20.94"/>
    <m/>
    <s v="Office Supplies"/>
    <s v="OS"/>
  </r>
  <r>
    <n v="175"/>
    <s v="US-2015-100853"/>
    <s v="14/09/2015"/>
    <s v="19/09/2015"/>
    <s v="Standard Class"/>
    <x v="76"/>
    <x v="76"/>
    <s v="Corporate"/>
    <x v="0"/>
    <s v="Chicago"/>
    <s v="Illinois"/>
    <n v="60623"/>
    <s v="Central"/>
    <s v="OFF-AP-10000891"/>
    <s v="Office Supplies"/>
    <s v="Appliances"/>
    <x v="76"/>
    <n v="52.448"/>
    <m/>
    <s v="Office Supplies"/>
    <s v="OS"/>
  </r>
  <r>
    <n v="177"/>
    <s v="US-2018-152366"/>
    <s v="21/04/2018"/>
    <s v="25/04/2018"/>
    <s v="Second Class"/>
    <x v="77"/>
    <x v="77"/>
    <s v="Consumer"/>
    <x v="0"/>
    <s v="Houston"/>
    <s v="Texas"/>
    <n v="77036"/>
    <s v="Central"/>
    <s v="OFF-AP-10002684"/>
    <s v="Office Supplies"/>
    <s v="Appliances"/>
    <x v="77"/>
    <n v="97.263999999999996"/>
    <m/>
    <s v="Office Supplies"/>
    <s v="OS"/>
  </r>
  <r>
    <n v="180"/>
    <s v="CA-2016-137225"/>
    <s v="15/12/2016"/>
    <s v="19/12/2016"/>
    <s v="Standard Class"/>
    <x v="78"/>
    <x v="78"/>
    <s v="Home Office"/>
    <x v="0"/>
    <s v="New York City"/>
    <s v="New York"/>
    <n v="10009"/>
    <s v="East"/>
    <s v="OFF-AR-10001940"/>
    <s v="Office Supplies"/>
    <s v="Art"/>
    <x v="78"/>
    <n v="3.28"/>
    <m/>
    <s v="Office Supplies"/>
    <s v="OS"/>
  </r>
  <r>
    <n v="181"/>
    <s v="CA-2015-166191"/>
    <s v="05/12/2015"/>
    <s v="09/12/2015"/>
    <s v="Second Class"/>
    <x v="79"/>
    <x v="79"/>
    <s v="Corporate"/>
    <x v="0"/>
    <s v="Decatur"/>
    <s v="Illinois"/>
    <n v="62521"/>
    <s v="Central"/>
    <s v="OFF-ST-10003455"/>
    <s v="Office Supplies"/>
    <s v="Storage"/>
    <x v="79"/>
    <n v="24.815999999999999"/>
    <m/>
    <s v="Office Supplies"/>
    <s v="OS"/>
  </r>
  <r>
    <n v="183"/>
    <s v="CA-2015-158274"/>
    <s v="19/11/2015"/>
    <s v="24/11/2015"/>
    <s v="Second Class"/>
    <x v="80"/>
    <x v="80"/>
    <s v="Home Office"/>
    <x v="0"/>
    <s v="Monroe"/>
    <s v="Louisiana"/>
    <n v="71203"/>
    <s v="South"/>
    <s v="TEC-PH-10003273"/>
    <s v="Technology"/>
    <s v="Phones"/>
    <x v="80"/>
    <n v="503.96"/>
    <m/>
    <s v="Technology"/>
    <s v="Technology"/>
  </r>
  <r>
    <n v="186"/>
    <s v="CA-2017-105018"/>
    <s v="28/11/2017"/>
    <s v="02/12/2017"/>
    <s v="Standard Class"/>
    <x v="81"/>
    <x v="81"/>
    <s v="Consumer"/>
    <x v="0"/>
    <s v="Fairfield"/>
    <s v="Connecticut"/>
    <n v="6824"/>
    <s v="East"/>
    <s v="OFF-BI-10001890"/>
    <s v="Office Supplies"/>
    <s v="Binders"/>
    <x v="81"/>
    <n v="7.16"/>
    <m/>
    <s v="Office Supplies"/>
    <s v="OS"/>
  </r>
  <r>
    <n v="187"/>
    <s v="CA-2015-123260"/>
    <s v="26/08/2015"/>
    <s v="30/08/2015"/>
    <s v="Standard Class"/>
    <x v="82"/>
    <x v="82"/>
    <s v="Home Office"/>
    <x v="0"/>
    <s v="Los Angeles"/>
    <s v="California"/>
    <n v="90032"/>
    <s v="West"/>
    <s v="TEC-AC-10002323"/>
    <s v="Technology"/>
    <s v="Accessories"/>
    <x v="82"/>
    <n v="176.8"/>
    <m/>
    <s v="Technology"/>
    <s v="Technology"/>
  </r>
  <r>
    <n v="188"/>
    <s v="CA-2017-157000"/>
    <s v="16/07/2017"/>
    <s v="22/07/2017"/>
    <s v="Standard Class"/>
    <x v="83"/>
    <x v="83"/>
    <s v="Corporate"/>
    <x v="0"/>
    <s v="Grand Prairie"/>
    <s v="Texas"/>
    <n v="75051"/>
    <s v="Central"/>
    <s v="OFF-ST-10001328"/>
    <s v="Office Supplies"/>
    <s v="Storage"/>
    <x v="83"/>
    <n v="37.223999999999997"/>
    <m/>
    <s v="Office Supplies"/>
    <s v="OS"/>
  </r>
  <r>
    <n v="190"/>
    <s v="CA-2016-102281"/>
    <s v="12/10/2016"/>
    <s v="14/10/2016"/>
    <s v="First Class"/>
    <x v="84"/>
    <x v="84"/>
    <s v="Home Office"/>
    <x v="0"/>
    <s v="New York City"/>
    <s v="New York"/>
    <n v="10035"/>
    <s v="East"/>
    <s v="FUR-BO-10002613"/>
    <s v="Furniture"/>
    <s v="Bookcases"/>
    <x v="84"/>
    <n v="899.13599999999997"/>
    <m/>
    <s v="Cardbaord"/>
    <s v="cardbaord"/>
  </r>
  <r>
    <n v="196"/>
    <s v="CA-2015-140004"/>
    <s v="21/03/2015"/>
    <s v="25/03/2015"/>
    <s v="Standard Class"/>
    <x v="85"/>
    <x v="85"/>
    <s v="Consumer"/>
    <x v="0"/>
    <s v="Hamilton"/>
    <s v="Ohio"/>
    <n v="45011"/>
    <s v="East"/>
    <s v="OFF-AR-10004685"/>
    <s v="Office Supplies"/>
    <s v="Art"/>
    <x v="85"/>
    <n v="7.4080000000000004"/>
    <m/>
    <s v="Office Supplies"/>
    <s v="OS"/>
  </r>
  <r>
    <n v="198"/>
    <s v="CA-2018-107720"/>
    <s v="06/11/2018"/>
    <s v="13/11/2018"/>
    <s v="Standard Class"/>
    <x v="86"/>
    <x v="86"/>
    <s v="Home Office"/>
    <x v="0"/>
    <s v="Westfield"/>
    <s v="New Jersey"/>
    <n v="7090"/>
    <s v="East"/>
    <s v="OFF-ST-10001414"/>
    <s v="Office Supplies"/>
    <s v="Storage"/>
    <x v="86"/>
    <n v="46.26"/>
    <m/>
    <s v="Office Supplies"/>
    <s v="OS"/>
  </r>
  <r>
    <n v="199"/>
    <s v="US-2018-124303"/>
    <s v="06/07/2018"/>
    <s v="13/07/2018"/>
    <s v="Standard Class"/>
    <x v="87"/>
    <x v="87"/>
    <s v="Corporate"/>
    <x v="0"/>
    <s v="Philadelphia"/>
    <s v="Pennsylvania"/>
    <n v="19120"/>
    <s v="East"/>
    <s v="OFF-BI-10000343"/>
    <s v="Office Supplies"/>
    <s v="Binders"/>
    <x v="87"/>
    <n v="2.9460000000000002"/>
    <m/>
    <s v="Office Supplies"/>
    <s v="OS"/>
  </r>
  <r>
    <n v="201"/>
    <s v="CA-2018-105074"/>
    <s v="24/06/2018"/>
    <s v="29/06/2018"/>
    <s v="Standard Class"/>
    <x v="88"/>
    <x v="88"/>
    <s v="Consumer"/>
    <x v="0"/>
    <s v="Akron"/>
    <s v="Ohio"/>
    <n v="44312"/>
    <s v="East"/>
    <s v="OFF-PA-10002666"/>
    <s v="Office Supplies"/>
    <s v="Paper"/>
    <x v="88"/>
    <n v="21.744"/>
    <m/>
    <s v="Office Supplies"/>
    <s v="OS"/>
  </r>
  <r>
    <n v="202"/>
    <s v="CA-2015-133690"/>
    <s v="03/08/2015"/>
    <s v="05/08/2015"/>
    <s v="First Class"/>
    <x v="89"/>
    <x v="89"/>
    <s v="Consumer"/>
    <x v="0"/>
    <s v="Denver"/>
    <s v="Colorado"/>
    <n v="80219"/>
    <s v="West"/>
    <s v="FUR-TA-10004289"/>
    <s v="Furniture"/>
    <s v="Tables"/>
    <x v="89"/>
    <n v="218.75"/>
    <m/>
    <s v="Cardbaord"/>
    <s v="cardbaord"/>
  </r>
  <r>
    <n v="204"/>
    <s v="US-2018-116701"/>
    <s v="17/12/2018"/>
    <s v="21/12/2018"/>
    <s v="Second Class"/>
    <x v="90"/>
    <x v="90"/>
    <s v="Consumer"/>
    <x v="0"/>
    <s v="Dallas"/>
    <s v="Texas"/>
    <n v="75220"/>
    <s v="Central"/>
    <s v="OFF-AP-10003217"/>
    <s v="Office Supplies"/>
    <s v="Appliances"/>
    <x v="90"/>
    <n v="66.284000000000006"/>
    <m/>
    <s v="Office Supplies"/>
    <s v="OS"/>
  </r>
  <r>
    <n v="205"/>
    <s v="CA-2018-126382"/>
    <s v="03/06/2018"/>
    <s v="07/06/2018"/>
    <s v="Standard Class"/>
    <x v="91"/>
    <x v="91"/>
    <s v="Corporate"/>
    <x v="0"/>
    <s v="Franklin"/>
    <s v="Tennessee"/>
    <n v="37064"/>
    <s v="South"/>
    <s v="FUR-FU-10002960"/>
    <s v="Furniture"/>
    <s v="Furnishings"/>
    <x v="91"/>
    <n v="35.167999999999999"/>
    <m/>
    <s v="Cardbaord"/>
    <s v="cardbaord"/>
  </r>
  <r>
    <n v="206"/>
    <s v="CA-2018-108329"/>
    <s v="09/12/2018"/>
    <s v="14/12/2018"/>
    <s v="Standard Class"/>
    <x v="92"/>
    <x v="92"/>
    <s v="Consumer"/>
    <x v="0"/>
    <s v="Whittier"/>
    <s v="California"/>
    <n v="90604"/>
    <s v="West"/>
    <s v="TEC-PH-10001918"/>
    <s v="Technology"/>
    <s v="Phones"/>
    <x v="92"/>
    <n v="444.76799999999997"/>
    <m/>
    <s v="Technology"/>
    <s v="Technology"/>
  </r>
  <r>
    <n v="207"/>
    <s v="CA-2018-135860"/>
    <s v="01/12/2018"/>
    <s v="07/12/2018"/>
    <s v="Standard Class"/>
    <x v="93"/>
    <x v="93"/>
    <s v="Consumer"/>
    <x v="0"/>
    <s v="Saginaw"/>
    <s v="Michigan"/>
    <n v="48601"/>
    <s v="Central"/>
    <s v="OFF-ST-10000642"/>
    <s v="Office Supplies"/>
    <s v="Storage"/>
    <x v="93"/>
    <n v="83.92"/>
    <m/>
    <s v="Office Supplies"/>
    <s v="OS"/>
  </r>
  <r>
    <n v="212"/>
    <s v="CA-2016-101007"/>
    <s v="09/02/2016"/>
    <s v="13/02/2016"/>
    <s v="Second Class"/>
    <x v="94"/>
    <x v="94"/>
    <s v="Corporate"/>
    <x v="0"/>
    <s v="Dallas"/>
    <s v="Texas"/>
    <n v="75220"/>
    <s v="Central"/>
    <s v="TEC-AC-10001266"/>
    <s v="Technology"/>
    <s v="Accessories"/>
    <x v="94"/>
    <n v="20.8"/>
    <m/>
    <s v="Technology"/>
    <s v="Technology"/>
  </r>
  <r>
    <n v="213"/>
    <s v="CA-2016-146262"/>
    <s v="02/01/2016"/>
    <s v="09/01/2016"/>
    <s v="Standard Class"/>
    <x v="95"/>
    <x v="95"/>
    <s v="Corporate"/>
    <x v="0"/>
    <s v="Medina"/>
    <s v="Ohio"/>
    <n v="44256"/>
    <s v="East"/>
    <s v="OFF-LA-10004544"/>
    <s v="Office Supplies"/>
    <s v="Labels"/>
    <x v="95"/>
    <n v="23.68"/>
    <m/>
    <s v="Office Supplies"/>
    <s v="OS"/>
  </r>
  <r>
    <n v="219"/>
    <s v="CA-2017-130162"/>
    <s v="28/10/2017"/>
    <s v="01/11/2017"/>
    <s v="Standard Class"/>
    <x v="96"/>
    <x v="96"/>
    <s v="Consumer"/>
    <x v="0"/>
    <s v="Los Angeles"/>
    <s v="California"/>
    <n v="90032"/>
    <s v="West"/>
    <s v="TEC-PH-10002563"/>
    <s v="Technology"/>
    <s v="Phones"/>
    <x v="96"/>
    <n v="302.37599999999998"/>
    <m/>
    <s v="Technology"/>
    <s v="Technology"/>
  </r>
  <r>
    <n v="220"/>
    <s v="CA-2016-169397"/>
    <s v="24/12/2016"/>
    <s v="27/12/2016"/>
    <s v="First Class"/>
    <x v="97"/>
    <x v="97"/>
    <s v="Consumer"/>
    <x v="0"/>
    <s v="Dublin"/>
    <s v="Ohio"/>
    <n v="43017"/>
    <s v="East"/>
    <s v="OFF-FA-10000585"/>
    <s v="Office Supplies"/>
    <s v="Fasteners"/>
    <x v="97"/>
    <n v="5.5839999999999996"/>
    <m/>
    <s v="Office Supplies"/>
    <s v="OS"/>
  </r>
  <r>
    <n v="226"/>
    <s v="CA-2016-163055"/>
    <s v="09/08/2016"/>
    <s v="16/08/2016"/>
    <s v="Standard Class"/>
    <x v="98"/>
    <x v="98"/>
    <s v="Corporate"/>
    <x v="0"/>
    <s v="Detroit"/>
    <s v="Michigan"/>
    <n v="48227"/>
    <s v="Central"/>
    <s v="OFF-AR-10001026"/>
    <s v="Office Supplies"/>
    <s v="Art"/>
    <x v="98"/>
    <n v="2.2000000000000002"/>
    <m/>
    <s v="Office Supplies"/>
    <s v="OS"/>
  </r>
  <r>
    <n v="229"/>
    <s v="US-2016-145436"/>
    <s v="28/02/2016"/>
    <s v="04/03/2016"/>
    <s v="Standard Class"/>
    <x v="99"/>
    <x v="99"/>
    <s v="Consumer"/>
    <x v="0"/>
    <s v="Columbia"/>
    <s v="Tennessee"/>
    <n v="38401"/>
    <s v="South"/>
    <s v="FUR-CH-10004860"/>
    <s v="Furniture"/>
    <s v="Chairs"/>
    <x v="99"/>
    <n v="161.56800000000001"/>
    <m/>
    <s v="Cardbaord"/>
    <s v="cardbaord"/>
  </r>
  <r>
    <n v="231"/>
    <s v="US-2015-156216"/>
    <s v="13/09/2015"/>
    <s v="17/09/2015"/>
    <s v="Standard Class"/>
    <x v="100"/>
    <x v="100"/>
    <s v="Corporate"/>
    <x v="0"/>
    <s v="Charlotte"/>
    <s v="North Carolina"/>
    <n v="28205"/>
    <s v="South"/>
    <s v="OFF-BI-10001679"/>
    <s v="Office Supplies"/>
    <s v="Binders"/>
    <x v="100"/>
    <n v="18.648"/>
    <m/>
    <s v="Office Supplies"/>
    <s v="OS"/>
  </r>
  <r>
    <n v="237"/>
    <s v="CA-2018-160514"/>
    <s v="12/11/2018"/>
    <s v="16/11/2018"/>
    <s v="Standard Class"/>
    <x v="101"/>
    <x v="101"/>
    <s v="Corporate"/>
    <x v="0"/>
    <s v="Santa Clara"/>
    <s v="California"/>
    <n v="95051"/>
    <s v="West"/>
    <s v="OFF-PA-10002479"/>
    <s v="Office Supplies"/>
    <s v="Paper"/>
    <x v="101"/>
    <n v="10.56"/>
    <m/>
    <s v="Office Supplies"/>
    <s v="OS"/>
  </r>
  <r>
    <n v="238"/>
    <s v="CA-2017-157749"/>
    <s v="04/06/2017"/>
    <s v="09/06/2017"/>
    <s v="Second Class"/>
    <x v="102"/>
    <x v="102"/>
    <s v="Consumer"/>
    <x v="0"/>
    <s v="Chicago"/>
    <s v="Illinois"/>
    <n v="60610"/>
    <s v="Central"/>
    <s v="OFF-PA-10003349"/>
    <s v="Office Supplies"/>
    <s v="Paper"/>
    <x v="102"/>
    <n v="25.92"/>
    <m/>
    <s v="Office Supplies"/>
    <s v="OS"/>
  </r>
  <r>
    <n v="246"/>
    <s v="CA-2015-131926"/>
    <s v="01/06/2015"/>
    <s v="06/06/2015"/>
    <s v="Second Class"/>
    <x v="103"/>
    <x v="103"/>
    <s v="Home Office"/>
    <x v="0"/>
    <s v="Lakeville"/>
    <s v="Minnesota"/>
    <n v="55044"/>
    <s v="Central"/>
    <s v="OFF-ST-10002276"/>
    <s v="Office Supplies"/>
    <s v="Storage"/>
    <x v="103"/>
    <n v="166.72"/>
    <m/>
    <s v="Office Supplies"/>
    <s v="OS"/>
  </r>
  <r>
    <n v="250"/>
    <s v="CA-2017-154739"/>
    <s v="10/12/2017"/>
    <s v="15/12/2017"/>
    <s v="Second Class"/>
    <x v="104"/>
    <x v="104"/>
    <s v="Consumer"/>
    <x v="0"/>
    <s v="San Francisco"/>
    <s v="California"/>
    <n v="94109"/>
    <s v="West"/>
    <s v="FUR-CH-10002965"/>
    <s v="Furniture"/>
    <s v="Chairs"/>
    <x v="104"/>
    <n v="321.56799999999998"/>
    <m/>
    <s v="Cardbaord"/>
    <s v="cardbaord"/>
  </r>
  <r>
    <n v="251"/>
    <s v="CA-2017-145625"/>
    <s v="11/09/2017"/>
    <s v="17/09/2017"/>
    <s v="Standard Class"/>
    <x v="105"/>
    <x v="105"/>
    <s v="Consumer"/>
    <x v="0"/>
    <s v="San Diego"/>
    <s v="California"/>
    <n v="92037"/>
    <s v="West"/>
    <s v="OFF-PA-10004569"/>
    <s v="Office Supplies"/>
    <s v="Paper"/>
    <x v="105"/>
    <n v="7.61"/>
    <m/>
    <s v="Office Supplies"/>
    <s v="OS"/>
  </r>
  <r>
    <n v="253"/>
    <s v="CA-2017-146941"/>
    <s v="10/12/2017"/>
    <s v="13/12/2017"/>
    <s v="First Class"/>
    <x v="106"/>
    <x v="106"/>
    <s v="Consumer"/>
    <x v="0"/>
    <s v="New York City"/>
    <s v="New York"/>
    <n v="10024"/>
    <s v="East"/>
    <s v="OFF-ST-10001228"/>
    <s v="Office Supplies"/>
    <s v="Storage"/>
    <x v="106"/>
    <n v="80.58"/>
    <m/>
    <s v="Office Supplies"/>
    <s v="OS"/>
  </r>
  <r>
    <n v="256"/>
    <s v="US-2016-159982"/>
    <s v="28/11/2016"/>
    <s v="04/12/2016"/>
    <s v="Standard Class"/>
    <x v="107"/>
    <x v="107"/>
    <s v="Corporate"/>
    <x v="0"/>
    <s v="Chicago"/>
    <s v="Illinois"/>
    <n v="60623"/>
    <s v="Central"/>
    <s v="OFF-ST-10004804"/>
    <s v="Office Supplies"/>
    <s v="Storage"/>
    <x v="107"/>
    <n v="82.367999999999995"/>
    <m/>
    <s v="Office Supplies"/>
    <s v="OS"/>
  </r>
  <r>
    <n v="259"/>
    <s v="CA-2018-163139"/>
    <s v="01/12/2018"/>
    <s v="03/12/2018"/>
    <s v="Second Class"/>
    <x v="108"/>
    <x v="108"/>
    <s v="Consumer"/>
    <x v="0"/>
    <s v="New York City"/>
    <s v="New York"/>
    <n v="10009"/>
    <s v="East"/>
    <s v="TEC-AC-10000290"/>
    <s v="Technology"/>
    <s v="Accessories"/>
    <x v="108"/>
    <n v="20.37"/>
    <m/>
    <s v="Technology"/>
    <s v="Technology"/>
  </r>
  <r>
    <n v="262"/>
    <s v="US-2018-155299"/>
    <s v="08/06/2018"/>
    <s v="12/06/2018"/>
    <s v="Standard Class"/>
    <x v="109"/>
    <x v="109"/>
    <s v="Corporate"/>
    <x v="0"/>
    <s v="Pasadena"/>
    <s v="Texas"/>
    <n v="77506"/>
    <s v="Central"/>
    <s v="OFF-AP-10002203"/>
    <s v="Office Supplies"/>
    <s v="Appliances"/>
    <x v="109"/>
    <n v="1.6240000000000001"/>
    <m/>
    <s v="Office Supplies"/>
    <s v="OS"/>
  </r>
  <r>
    <n v="264"/>
    <s v="US-2015-106992"/>
    <s v="19/09/2015"/>
    <s v="21/09/2015"/>
    <s v="Second Class"/>
    <x v="110"/>
    <x v="110"/>
    <s v="Corporate"/>
    <x v="0"/>
    <s v="Houston"/>
    <s v="Texas"/>
    <n v="77036"/>
    <s v="Central"/>
    <s v="TEC-MA-10003353"/>
    <s v="Technology"/>
    <s v="Machines"/>
    <x v="110"/>
    <n v="2519.9580000000001"/>
    <m/>
    <s v="Technology"/>
    <s v="Technology"/>
  </r>
  <r>
    <n v="265"/>
    <s v="CA-2017-125318"/>
    <s v="06/06/2017"/>
    <s v="13/06/2017"/>
    <s v="Standard Class"/>
    <x v="111"/>
    <x v="111"/>
    <s v="Consumer"/>
    <x v="0"/>
    <s v="Chicago"/>
    <s v="Illinois"/>
    <n v="60610"/>
    <s v="Central"/>
    <s v="TEC-PH-10001433"/>
    <s v="Technology"/>
    <s v="Phones"/>
    <x v="111"/>
    <n v="328.22399999999999"/>
    <m/>
    <s v="Technology"/>
    <s v="Technology"/>
  </r>
  <r>
    <n v="266"/>
    <s v="CA-2016-155040"/>
    <s v="10/11/2016"/>
    <s v="15/11/2016"/>
    <s v="Standard Class"/>
    <x v="112"/>
    <x v="112"/>
    <s v="Consumer"/>
    <x v="0"/>
    <s v="Brentwood"/>
    <s v="California"/>
    <n v="94513"/>
    <s v="West"/>
    <s v="TEC-AC-10004469"/>
    <s v="Technology"/>
    <s v="Accessories"/>
    <x v="112"/>
    <n v="79.900000000000006"/>
    <m/>
    <s v="Technology"/>
    <s v="Technology"/>
  </r>
  <r>
    <n v="267"/>
    <s v="CA-2018-136826"/>
    <s v="16/06/2018"/>
    <s v="20/06/2018"/>
    <s v="Standard Class"/>
    <x v="113"/>
    <x v="113"/>
    <s v="Corporate"/>
    <x v="0"/>
    <s v="Chapel Hill"/>
    <s v="North Carolina"/>
    <n v="27514"/>
    <s v="South"/>
    <s v="OFF-AR-10003602"/>
    <s v="Office Supplies"/>
    <s v="Art"/>
    <x v="113"/>
    <n v="14.016"/>
    <m/>
    <s v="Office Supplies"/>
    <s v="OS"/>
  </r>
  <r>
    <n v="269"/>
    <s v="US-2018-145366"/>
    <s v="09/12/2018"/>
    <s v="13/12/2018"/>
    <s v="Standard Class"/>
    <x v="114"/>
    <x v="114"/>
    <s v="Corporate"/>
    <x v="0"/>
    <s v="Cincinnati"/>
    <s v="Ohio"/>
    <n v="45231"/>
    <s v="East"/>
    <s v="OFF-ST-10004180"/>
    <s v="Office Supplies"/>
    <s v="Storage"/>
    <x v="114"/>
    <n v="37.207999999999998"/>
    <m/>
    <s v="Office Supplies"/>
    <s v="OS"/>
  </r>
  <r>
    <n v="271"/>
    <s v="CA-2018-163979"/>
    <s v="28/12/2018"/>
    <s v="02/01/2019"/>
    <s v="Second Class"/>
    <x v="115"/>
    <x v="115"/>
    <s v="Corporate"/>
    <x v="0"/>
    <s v="San Francisco"/>
    <s v="California"/>
    <n v="94110"/>
    <s v="West"/>
    <s v="OFF-ST-10003208"/>
    <s v="Office Supplies"/>
    <s v="Storage"/>
    <x v="115"/>
    <n v="725.84"/>
    <m/>
    <s v="Office Supplies"/>
    <s v="OS"/>
  </r>
  <r>
    <n v="272"/>
    <s v="CA-2016-155334"/>
    <s v="30/07/2016"/>
    <s v="31/07/2016"/>
    <s v="First Class"/>
    <x v="116"/>
    <x v="116"/>
    <s v="Consumer"/>
    <x v="0"/>
    <s v="San Francisco"/>
    <s v="California"/>
    <n v="94109"/>
    <s v="West"/>
    <s v="TEC-AC-10003628"/>
    <s v="Technology"/>
    <s v="Accessories"/>
    <x v="116"/>
    <n v="209.93"/>
    <m/>
    <s v="Technology"/>
    <s v="Technology"/>
  </r>
  <r>
    <n v="275"/>
    <s v="CA-2018-118136"/>
    <s v="16/09/2018"/>
    <s v="17/09/2018"/>
    <s v="First Class"/>
    <x v="117"/>
    <x v="117"/>
    <s v="Corporate"/>
    <x v="0"/>
    <s v="Inglewood"/>
    <s v="California"/>
    <n v="90301"/>
    <s v="West"/>
    <s v="OFF-PA-10002615"/>
    <s v="Office Supplies"/>
    <s v="Paper"/>
    <x v="117"/>
    <n v="8.82"/>
    <m/>
    <s v="Office Supplies"/>
    <s v="OS"/>
  </r>
  <r>
    <n v="277"/>
    <s v="CA-2018-132976"/>
    <s v="13/10/2018"/>
    <s v="17/10/2018"/>
    <s v="Standard Class"/>
    <x v="118"/>
    <x v="118"/>
    <s v="Corporate"/>
    <x v="0"/>
    <s v="Philadelphia"/>
    <s v="Pennsylvania"/>
    <n v="19140"/>
    <s v="East"/>
    <s v="OFF-PA-10000673"/>
    <s v="Office Supplies"/>
    <s v="Paper"/>
    <x v="118"/>
    <n v="11.648"/>
    <m/>
    <s v="Office Supplies"/>
    <s v="OS"/>
  </r>
  <r>
    <n v="283"/>
    <s v="CA-2016-130890"/>
    <s v="02/11/2016"/>
    <s v="06/11/2016"/>
    <s v="Standard Class"/>
    <x v="119"/>
    <x v="119"/>
    <s v="Consumer"/>
    <x v="0"/>
    <s v="Los Angeles"/>
    <s v="California"/>
    <n v="90004"/>
    <s v="West"/>
    <s v="FUR-TA-10002903"/>
    <s v="Furniture"/>
    <s v="Tables"/>
    <x v="119"/>
    <n v="1038.8399999999999"/>
    <m/>
    <s v="Cardbaord"/>
    <s v="cardbaord"/>
  </r>
  <r>
    <n v="287"/>
    <s v="CA-2017-112697"/>
    <s v="18/12/2017"/>
    <s v="20/12/2017"/>
    <s v="Second Class"/>
    <x v="120"/>
    <x v="120"/>
    <s v="Corporate"/>
    <x v="0"/>
    <s v="Tamarac"/>
    <s v="Florida"/>
    <n v="33319"/>
    <s v="South"/>
    <s v="OFF-BI-10000778"/>
    <s v="Office Supplies"/>
    <s v="Binders"/>
    <x v="120"/>
    <n v="254.05799999999999"/>
    <m/>
    <s v="Office Supplies"/>
    <s v="OS"/>
  </r>
  <r>
    <n v="290"/>
    <s v="CA-2017-110772"/>
    <s v="20/11/2017"/>
    <s v="24/11/2017"/>
    <s v="Second Class"/>
    <x v="121"/>
    <x v="121"/>
    <s v="Home Office"/>
    <x v="0"/>
    <s v="Columbus"/>
    <s v="Ohio"/>
    <n v="43229"/>
    <s v="East"/>
    <s v="OFF-FA-10002983"/>
    <s v="Office Supplies"/>
    <s v="Fasteners"/>
    <x v="121"/>
    <n v="19.096"/>
    <m/>
    <s v="Office Supplies"/>
    <s v="OS"/>
  </r>
  <r>
    <n v="294"/>
    <s v="CA-2015-111451"/>
    <s v="26/12/2015"/>
    <s v="28/12/2015"/>
    <s v="First Class"/>
    <x v="122"/>
    <x v="122"/>
    <s v="Corporate"/>
    <x v="0"/>
    <s v="Colorado Springs"/>
    <s v="Colorado"/>
    <n v="80906"/>
    <s v="West"/>
    <s v="FUR-FU-10004091"/>
    <s v="Furniture"/>
    <s v="Furnishings"/>
    <x v="122"/>
    <n v="300.416"/>
    <m/>
    <s v="Cardbaord"/>
    <s v="cardbaord"/>
  </r>
  <r>
    <n v="299"/>
    <s v="CA-2017-142545"/>
    <s v="28/10/2017"/>
    <s v="03/11/2017"/>
    <s v="Standard Class"/>
    <x v="123"/>
    <x v="123"/>
    <s v="Corporate"/>
    <x v="0"/>
    <s v="Belleville"/>
    <s v="New Jersey"/>
    <n v="7109"/>
    <s v="East"/>
    <s v="OFF-PA-10002105"/>
    <s v="Office Supplies"/>
    <s v="Paper"/>
    <x v="123"/>
    <n v="32.4"/>
    <m/>
    <s v="Office Supplies"/>
    <s v="OS"/>
  </r>
  <r>
    <n v="305"/>
    <s v="CA-2016-144253"/>
    <s v="04/05/2016"/>
    <s v="09/05/2016"/>
    <s v="Second Class"/>
    <x v="124"/>
    <x v="124"/>
    <s v="Corporate"/>
    <x v="0"/>
    <s v="New York City"/>
    <s v="New York"/>
    <n v="10024"/>
    <s v="East"/>
    <s v="FUR-FU-10002671"/>
    <s v="Furniture"/>
    <s v="Furnishings"/>
    <x v="124"/>
    <n v="26.8"/>
    <m/>
    <s v="Cardbaord"/>
    <s v="cardbaord"/>
  </r>
  <r>
    <n v="307"/>
    <s v="CA-2015-111003"/>
    <s v="01/06/2015"/>
    <s v="06/06/2015"/>
    <s v="Standard Class"/>
    <x v="125"/>
    <x v="125"/>
    <s v="Home Office"/>
    <x v="0"/>
    <s v="Lakewood"/>
    <s v="New Jersey"/>
    <n v="8701"/>
    <s v="East"/>
    <s v="OFF-BI-10001072"/>
    <s v="Office Supplies"/>
    <s v="Binders"/>
    <x v="125"/>
    <n v="45.48"/>
    <m/>
    <s v="Office Supplies"/>
    <s v="OS"/>
  </r>
  <r>
    <n v="309"/>
    <s v="CA-2018-126774"/>
    <s v="15/04/2018"/>
    <s v="17/04/2018"/>
    <s v="First Class"/>
    <x v="126"/>
    <x v="126"/>
    <s v="Consumer"/>
    <x v="0"/>
    <s v="Arlington"/>
    <s v="Virginia"/>
    <n v="22204"/>
    <s v="South"/>
    <s v="OFF-AR-10002804"/>
    <s v="Office Supplies"/>
    <s v="Art"/>
    <x v="126"/>
    <n v="4.8899999999999997"/>
    <m/>
    <s v="Office Supplies"/>
    <s v="OS"/>
  </r>
  <r>
    <n v="310"/>
    <s v="CA-2017-142902"/>
    <s v="12/09/2017"/>
    <s v="14/09/2017"/>
    <s v="Second Class"/>
    <x v="127"/>
    <x v="127"/>
    <s v="Corporate"/>
    <x v="0"/>
    <s v="Arvada"/>
    <s v="Colorado"/>
    <n v="80004"/>
    <s v="West"/>
    <s v="FUR-FU-10001918"/>
    <s v="Furniture"/>
    <s v="Furnishings"/>
    <x v="127"/>
    <n v="15.135999999999999"/>
    <m/>
    <s v="Cardbaord"/>
    <s v="cardbaord"/>
  </r>
  <r>
    <n v="314"/>
    <s v="CA-2015-120887"/>
    <s v="27/09/2015"/>
    <s v="03/10/2015"/>
    <s v="Standard Class"/>
    <x v="128"/>
    <x v="128"/>
    <s v="Corporate"/>
    <x v="0"/>
    <s v="Hackensack"/>
    <s v="New Jersey"/>
    <n v="7601"/>
    <s v="East"/>
    <s v="FUR-FU-10001588"/>
    <s v="Furniture"/>
    <s v="Furnishings"/>
    <x v="128"/>
    <n v="87.54"/>
    <m/>
    <s v="Cardbaord"/>
    <s v="cardbaord"/>
  </r>
  <r>
    <n v="315"/>
    <s v="CA-2015-167850"/>
    <s v="09/08/2015"/>
    <s v="16/08/2015"/>
    <s v="Standard Class"/>
    <x v="129"/>
    <x v="129"/>
    <s v="Corporate"/>
    <x v="0"/>
    <s v="Saint Petersburg"/>
    <s v="Florida"/>
    <n v="33710"/>
    <s v="South"/>
    <s v="TEC-PH-10002398"/>
    <s v="Technology"/>
    <s v="Phones"/>
    <x v="129"/>
    <n v="178.38399999999999"/>
    <m/>
    <s v="Technology"/>
    <s v="Technology"/>
  </r>
  <r>
    <n v="317"/>
    <s v="CA-2015-164259"/>
    <s v="28/12/2015"/>
    <s v="30/12/2015"/>
    <s v="First Class"/>
    <x v="130"/>
    <x v="130"/>
    <s v="Corporate"/>
    <x v="0"/>
    <s v="Philadelphia"/>
    <s v="Pennsylvania"/>
    <n v="19143"/>
    <s v="East"/>
    <s v="OFF-AR-10003373"/>
    <s v="Office Supplies"/>
    <s v="Art"/>
    <x v="130"/>
    <n v="99.135999999999996"/>
    <m/>
    <s v="Office Supplies"/>
    <s v="OS"/>
  </r>
  <r>
    <n v="318"/>
    <s v="CA-2015-164973"/>
    <s v="04/11/2015"/>
    <s v="09/11/2015"/>
    <s v="Standard Class"/>
    <x v="131"/>
    <x v="131"/>
    <s v="Home Office"/>
    <x v="0"/>
    <s v="New York City"/>
    <s v="New York"/>
    <n v="10024"/>
    <s v="East"/>
    <s v="FUR-CH-10002602"/>
    <s v="Furniture"/>
    <s v="Chairs"/>
    <x v="131"/>
    <n v="135.88200000000001"/>
    <m/>
    <s v="Cardbaord"/>
    <s v="cardbaord"/>
  </r>
  <r>
    <n v="323"/>
    <s v="CA-2015-156601"/>
    <s v="19/09/2015"/>
    <s v="24/09/2015"/>
    <s v="Standard Class"/>
    <x v="132"/>
    <x v="132"/>
    <s v="Corporate"/>
    <x v="0"/>
    <s v="Long Beach"/>
    <s v="California"/>
    <n v="90805"/>
    <s v="West"/>
    <s v="OFF-FA-10000624"/>
    <s v="Office Supplies"/>
    <s v="Fasteners"/>
    <x v="132"/>
    <n v="7.16"/>
    <m/>
    <s v="Office Supplies"/>
    <s v="OS"/>
  </r>
  <r>
    <n v="325"/>
    <s v="CA-2017-162138"/>
    <s v="23/04/2017"/>
    <s v="27/04/2017"/>
    <s v="Standard Class"/>
    <x v="133"/>
    <x v="133"/>
    <s v="Corporate"/>
    <x v="0"/>
    <s v="Hesperia"/>
    <s v="California"/>
    <n v="92345"/>
    <s v="West"/>
    <s v="TEC-AC-10001908"/>
    <s v="Technology"/>
    <s v="Accessories"/>
    <x v="133"/>
    <n v="99.99"/>
    <m/>
    <s v="Technology"/>
    <s v="Technology"/>
  </r>
  <r>
    <n v="326"/>
    <s v="CA-2018-153339"/>
    <s v="03/11/2018"/>
    <s v="05/11/2018"/>
    <s v="Second Class"/>
    <x v="134"/>
    <x v="134"/>
    <s v="Corporate"/>
    <x v="0"/>
    <s v="Murfreesboro"/>
    <s v="Tennessee"/>
    <n v="37130"/>
    <s v="South"/>
    <s v="FUR-FU-10001967"/>
    <s v="Furniture"/>
    <s v="Furnishings"/>
    <x v="134"/>
    <n v="15.992000000000001"/>
    <m/>
    <s v="Cardbaord"/>
    <s v="cardbaord"/>
  </r>
  <r>
    <n v="327"/>
    <s v="US-2017-141544"/>
    <s v="30/08/2017"/>
    <s v="01/09/2017"/>
    <s v="First Class"/>
    <x v="135"/>
    <x v="135"/>
    <s v="Consumer"/>
    <x v="0"/>
    <s v="Philadelphia"/>
    <s v="Pennsylvania"/>
    <n v="19143"/>
    <s v="East"/>
    <s v="TEC-PH-10003645"/>
    <s v="Technology"/>
    <s v="Phones"/>
    <x v="135"/>
    <n v="290.89800000000002"/>
    <m/>
    <s v="Technology"/>
    <s v="Technology"/>
  </r>
  <r>
    <n v="332"/>
    <s v="US-2017-150147"/>
    <s v="25/04/2017"/>
    <s v="29/04/2017"/>
    <s v="Second Class"/>
    <x v="136"/>
    <x v="136"/>
    <s v="Consumer"/>
    <x v="0"/>
    <s v="Philadelphia"/>
    <s v="Pennsylvania"/>
    <n v="19134"/>
    <s v="East"/>
    <s v="TEC-PH-10004614"/>
    <s v="Technology"/>
    <s v="Phones"/>
    <x v="136"/>
    <n v="82.8"/>
    <m/>
    <s v="Technology"/>
    <s v="Technology"/>
  </r>
  <r>
    <n v="335"/>
    <s v="CA-2016-137946"/>
    <s v="01/09/2016"/>
    <s v="04/09/2016"/>
    <s v="Second Class"/>
    <x v="137"/>
    <x v="137"/>
    <s v="Consumer"/>
    <x v="0"/>
    <s v="Los Angeles"/>
    <s v="California"/>
    <n v="90045"/>
    <s v="West"/>
    <s v="OFF-BI-10001922"/>
    <s v="Office Supplies"/>
    <s v="Binders"/>
    <x v="137"/>
    <n v="4.7519999999999998"/>
    <m/>
    <s v="Office Supplies"/>
    <s v="OS"/>
  </r>
  <r>
    <n v="338"/>
    <s v="CA-2015-129924"/>
    <s v="12/07/2015"/>
    <s v="17/07/2015"/>
    <s v="Standard Class"/>
    <x v="138"/>
    <x v="138"/>
    <s v="Corporate"/>
    <x v="0"/>
    <s v="San Francisco"/>
    <s v="California"/>
    <n v="94122"/>
    <s v="West"/>
    <s v="OFF-BI-10003314"/>
    <s v="Office Supplies"/>
    <s v="Binders"/>
    <x v="138"/>
    <n v="7.7119999999999997"/>
    <m/>
    <s v="Office Supplies"/>
    <s v="OS"/>
  </r>
  <r>
    <n v="349"/>
    <s v="CA-2018-134306"/>
    <s v="08/07/2018"/>
    <s v="12/07/2018"/>
    <s v="Standard Class"/>
    <x v="139"/>
    <x v="139"/>
    <s v="Consumer"/>
    <x v="0"/>
    <s v="Lowell"/>
    <s v="Massachusetts"/>
    <n v="1852"/>
    <s v="East"/>
    <s v="OFF-AR-10001374"/>
    <s v="Office Supplies"/>
    <s v="Art"/>
    <x v="139"/>
    <n v="12.96"/>
    <m/>
    <s v="Office Supplies"/>
    <s v="OS"/>
  </r>
  <r>
    <n v="351"/>
    <s v="CA-2017-129714"/>
    <s v="01/09/2017"/>
    <s v="03/09/2017"/>
    <s v="First Class"/>
    <x v="140"/>
    <x v="140"/>
    <s v="Home Office"/>
    <x v="0"/>
    <s v="New York City"/>
    <s v="New York"/>
    <n v="10009"/>
    <s v="East"/>
    <s v="OFF-PA-10001970"/>
    <s v="Office Supplies"/>
    <s v="Paper"/>
    <x v="140"/>
    <n v="24.56"/>
    <m/>
    <s v="Office Supplies"/>
    <s v="OS"/>
  </r>
  <r>
    <n v="355"/>
    <s v="CA-2017-138520"/>
    <s v="08/04/2017"/>
    <s v="13/04/2017"/>
    <s v="Standard Class"/>
    <x v="141"/>
    <x v="141"/>
    <s v="Consumer"/>
    <x v="0"/>
    <s v="New York City"/>
    <s v="New York"/>
    <n v="10035"/>
    <s v="East"/>
    <s v="FUR-BO-10002268"/>
    <s v="Furniture"/>
    <s v="Bookcases"/>
    <x v="141"/>
    <n v="388.70400000000001"/>
    <m/>
    <s v="Cardbaord"/>
    <s v="cardbaord"/>
  </r>
  <r>
    <n v="360"/>
    <s v="CA-2018-155698"/>
    <s v="08/03/2018"/>
    <s v="11/03/2018"/>
    <s v="First Class"/>
    <x v="142"/>
    <x v="142"/>
    <s v="Corporate"/>
    <x v="0"/>
    <s v="Columbus"/>
    <s v="Georgia"/>
    <n v="31907"/>
    <s v="South"/>
    <s v="OFF-AP-10001124"/>
    <s v="Office Supplies"/>
    <s v="Appliances"/>
    <x v="142"/>
    <n v="647.84"/>
    <m/>
    <s v="Office Supplies"/>
    <s v="OS"/>
  </r>
  <r>
    <n v="363"/>
    <s v="CA-2018-144904"/>
    <s v="25/09/2018"/>
    <s v="01/10/2018"/>
    <s v="Standard Class"/>
    <x v="143"/>
    <x v="143"/>
    <s v="Consumer"/>
    <x v="0"/>
    <s v="New York City"/>
    <s v="New York"/>
    <n v="10009"/>
    <s v="East"/>
    <s v="FUR-CH-10000785"/>
    <s v="Furniture"/>
    <s v="Chairs"/>
    <x v="143"/>
    <n v="488.64600000000002"/>
    <m/>
    <s v="Cardbaord"/>
    <s v="cardbaord"/>
  </r>
  <r>
    <n v="367"/>
    <s v="CA-2017-155516"/>
    <s v="21/10/2017"/>
    <s v="21/10/2017"/>
    <s v="Same Day"/>
    <x v="144"/>
    <x v="144"/>
    <s v="Corporate"/>
    <x v="0"/>
    <s v="Manchester"/>
    <s v="Connecticut"/>
    <n v="6040"/>
    <s v="East"/>
    <s v="OFF-BI-10002412"/>
    <s v="Office Supplies"/>
    <s v="Binders"/>
    <x v="144"/>
    <n v="23.2"/>
    <m/>
    <s v="Office Supplies"/>
    <s v="OS"/>
  </r>
  <r>
    <n v="371"/>
    <s v="CA-2018-104745"/>
    <s v="29/05/2018"/>
    <s v="04/06/2018"/>
    <s v="Standard Class"/>
    <x v="145"/>
    <x v="145"/>
    <s v="Consumer"/>
    <x v="0"/>
    <s v="Harlingen"/>
    <s v="Texas"/>
    <n v="78550"/>
    <s v="Central"/>
    <s v="OFF-PA-10002036"/>
    <s v="Office Supplies"/>
    <s v="Paper"/>
    <x v="145"/>
    <n v="25.92"/>
    <m/>
    <s v="Office Supplies"/>
    <s v="OS"/>
  </r>
  <r>
    <n v="374"/>
    <s v="US-2015-119137"/>
    <s v="23/07/2015"/>
    <s v="27/07/2015"/>
    <s v="Standard Class"/>
    <x v="146"/>
    <x v="146"/>
    <s v="Consumer"/>
    <x v="0"/>
    <s v="Tucson"/>
    <s v="Arizona"/>
    <n v="85705"/>
    <s v="West"/>
    <s v="TEC-AC-10003911"/>
    <s v="Technology"/>
    <s v="Accessories"/>
    <x v="146"/>
    <n v="1023.936"/>
    <m/>
    <s v="Technology"/>
    <s v="Technology"/>
  </r>
  <r>
    <n v="377"/>
    <s v="US-2017-134656"/>
    <s v="28/09/2017"/>
    <s v="01/10/2017"/>
    <s v="First Class"/>
    <x v="147"/>
    <x v="147"/>
    <s v="Corporate"/>
    <x v="0"/>
    <s v="Quincy"/>
    <s v="Illinois"/>
    <n v="62301"/>
    <s v="Central"/>
    <s v="OFF-PA-10003039"/>
    <s v="Office Supplies"/>
    <s v="Paper"/>
    <x v="147"/>
    <n v="99.135999999999996"/>
    <m/>
    <s v="Office Supplies"/>
    <s v="OS"/>
  </r>
  <r>
    <n v="378"/>
    <s v="US-2018-134481"/>
    <s v="27/08/2018"/>
    <s v="01/09/2018"/>
    <s v="Standard Class"/>
    <x v="148"/>
    <x v="148"/>
    <s v="Corporate"/>
    <x v="0"/>
    <s v="Franklin"/>
    <s v="Massachusetts"/>
    <n v="2038"/>
    <s v="East"/>
    <s v="FUR-TA-10004915"/>
    <s v="Furniture"/>
    <s v="Tables"/>
    <x v="148"/>
    <n v="1488.424"/>
    <m/>
    <s v="Cardbaord"/>
    <s v="cardbaord"/>
  </r>
  <r>
    <n v="379"/>
    <s v="CA-2016-130792"/>
    <s v="28/04/2016"/>
    <s v="05/05/2016"/>
    <s v="Standard Class"/>
    <x v="149"/>
    <x v="149"/>
    <s v="Consumer"/>
    <x v="0"/>
    <s v="Houston"/>
    <s v="Texas"/>
    <n v="77095"/>
    <s v="Central"/>
    <s v="OFF-AP-10000696"/>
    <s v="Office Supplies"/>
    <s v="Appliances"/>
    <x v="149"/>
    <n v="8.6519999999999992"/>
    <m/>
    <s v="Office Supplies"/>
    <s v="OS"/>
  </r>
  <r>
    <n v="382"/>
    <s v="CA-2017-134775"/>
    <s v="28/10/2017"/>
    <s v="29/10/2017"/>
    <s v="First Class"/>
    <x v="150"/>
    <x v="150"/>
    <s v="Corporate"/>
    <x v="0"/>
    <s v="San Francisco"/>
    <s v="California"/>
    <n v="94109"/>
    <s v="West"/>
    <s v="OFF-PA-10004734"/>
    <s v="Office Supplies"/>
    <s v="Paper"/>
    <x v="150"/>
    <n v="50.96"/>
    <m/>
    <s v="Office Supplies"/>
    <s v="OS"/>
  </r>
  <r>
    <n v="384"/>
    <s v="CA-2016-125395"/>
    <s v="26/06/2016"/>
    <s v="29/06/2016"/>
    <s v="Second Class"/>
    <x v="151"/>
    <x v="151"/>
    <s v="Corporate"/>
    <x v="0"/>
    <s v="Taylor"/>
    <s v="Michigan"/>
    <n v="48180"/>
    <s v="Central"/>
    <s v="TEC-AC-10004708"/>
    <s v="Technology"/>
    <s v="Accessories"/>
    <x v="151"/>
    <n v="41.9"/>
    <m/>
    <s v="Technology"/>
    <s v="Technology"/>
  </r>
  <r>
    <n v="385"/>
    <s v="US-2016-168935"/>
    <s v="27/11/2016"/>
    <s v="02/12/2016"/>
    <s v="Standard Class"/>
    <x v="152"/>
    <x v="152"/>
    <s v="Consumer"/>
    <x v="0"/>
    <s v="Pembroke Pines"/>
    <s v="Florida"/>
    <n v="33024"/>
    <s v="South"/>
    <s v="FUR-TA-10000617"/>
    <s v="Furniture"/>
    <s v="Tables"/>
    <x v="152"/>
    <n v="375.45749999999998"/>
    <m/>
    <s v="Cardbaord"/>
    <s v="cardbaord"/>
  </r>
  <r>
    <n v="387"/>
    <s v="CA-2016-122756"/>
    <s v="03/12/2016"/>
    <s v="07/12/2016"/>
    <s v="Standard Class"/>
    <x v="153"/>
    <x v="153"/>
    <s v="Corporate"/>
    <x v="0"/>
    <s v="Philadelphia"/>
    <s v="Pennsylvania"/>
    <n v="19140"/>
    <s v="East"/>
    <s v="TEC-MA-10001681"/>
    <s v="Technology"/>
    <s v="Machines"/>
    <x v="153"/>
    <n v="482.34"/>
    <m/>
    <s v="Technology"/>
    <s v="Technology"/>
  </r>
  <r>
    <n v="389"/>
    <s v="CA-2015-115973"/>
    <s v="24/11/2015"/>
    <s v="26/11/2015"/>
    <s v="First Class"/>
    <x v="154"/>
    <x v="154"/>
    <s v="Consumer"/>
    <x v="0"/>
    <s v="Cincinnati"/>
    <s v="Ohio"/>
    <n v="45231"/>
    <s v="East"/>
    <s v="OFF-AR-10004757"/>
    <s v="Office Supplies"/>
    <s v="Art"/>
    <x v="154"/>
    <n v="2.6240000000000001"/>
    <m/>
    <s v="Office Supplies"/>
    <s v="OS"/>
  </r>
  <r>
    <n v="390"/>
    <s v="CA-2018-101798"/>
    <s v="11/12/2018"/>
    <s v="15/12/2018"/>
    <s v="Standard Class"/>
    <x v="155"/>
    <x v="155"/>
    <s v="Consumer"/>
    <x v="0"/>
    <s v="New York City"/>
    <s v="New York"/>
    <n v="10009"/>
    <s v="East"/>
    <s v="OFF-BI-10000050"/>
    <s v="Office Supplies"/>
    <s v="Binders"/>
    <x v="155"/>
    <n v="23.36"/>
    <m/>
    <s v="Office Supplies"/>
    <s v="OS"/>
  </r>
  <r>
    <n v="392"/>
    <s v="US-2015-135972"/>
    <s v="21/09/2015"/>
    <s v="23/09/2015"/>
    <s v="Second Class"/>
    <x v="156"/>
    <x v="156"/>
    <s v="Consumer"/>
    <x v="0"/>
    <s v="Des Moines"/>
    <s v="Washington"/>
    <n v="98198"/>
    <s v="West"/>
    <s v="TEC-PH-10003012"/>
    <s v="Technology"/>
    <s v="Phones"/>
    <x v="156"/>
    <n v="246.38399999999999"/>
    <m/>
    <s v="Technology"/>
    <s v="Technology"/>
  </r>
  <r>
    <n v="394"/>
    <s v="US-2015-134971"/>
    <s v="07/06/2015"/>
    <s v="10/06/2015"/>
    <s v="Second Class"/>
    <x v="157"/>
    <x v="157"/>
    <s v="Corporate"/>
    <x v="0"/>
    <s v="Peoria"/>
    <s v="Illinois"/>
    <n v="61604"/>
    <s v="Central"/>
    <s v="OFF-BI-10003982"/>
    <s v="Office Supplies"/>
    <s v="Binders"/>
    <x v="157"/>
    <n v="12.462"/>
    <m/>
    <s v="Office Supplies"/>
    <s v="OS"/>
  </r>
  <r>
    <n v="395"/>
    <s v="CA-2018-102946"/>
    <s v="30/06/2018"/>
    <s v="05/07/2018"/>
    <s v="Standard Class"/>
    <x v="158"/>
    <x v="158"/>
    <s v="Home Office"/>
    <x v="0"/>
    <s v="Las Vegas"/>
    <s v="Nevada"/>
    <n v="89115"/>
    <s v="West"/>
    <s v="OFF-BI-10004492"/>
    <s v="Office Supplies"/>
    <s v="Binders"/>
    <x v="158"/>
    <n v="75.792000000000002"/>
    <m/>
    <s v="Office Supplies"/>
    <s v="OS"/>
  </r>
  <r>
    <n v="396"/>
    <s v="CA-2018-165603"/>
    <s v="17/10/2018"/>
    <s v="19/10/2018"/>
    <s v="Second Class"/>
    <x v="159"/>
    <x v="159"/>
    <s v="Corporate"/>
    <x v="0"/>
    <s v="Warwick"/>
    <s v="Rhode Island"/>
    <n v="2886"/>
    <s v="East"/>
    <s v="OFF-ST-10000798"/>
    <s v="Office Supplies"/>
    <s v="Storage"/>
    <x v="159"/>
    <n v="49.96"/>
    <m/>
    <s v="Office Supplies"/>
    <s v="OS"/>
  </r>
  <r>
    <n v="399"/>
    <s v="CA-2017-108987"/>
    <s v="08/09/2017"/>
    <s v="10/09/2017"/>
    <s v="Second Class"/>
    <x v="160"/>
    <x v="160"/>
    <s v="Consumer"/>
    <x v="0"/>
    <s v="Houston"/>
    <s v="Texas"/>
    <n v="77036"/>
    <s v="Central"/>
    <s v="OFF-ST-10001580"/>
    <s v="Office Supplies"/>
    <s v="Storage"/>
    <x v="160"/>
    <n v="35.951999999999998"/>
    <m/>
    <s v="Office Supplies"/>
    <s v="OS"/>
  </r>
  <r>
    <n v="403"/>
    <s v="CA-2015-113166"/>
    <s v="24/12/2015"/>
    <s v="26/12/2015"/>
    <s v="First Class"/>
    <x v="161"/>
    <x v="161"/>
    <s v="Consumer"/>
    <x v="0"/>
    <s v="Miami"/>
    <s v="Florida"/>
    <n v="33180"/>
    <s v="South"/>
    <s v="OFF-PA-10001947"/>
    <s v="Office Supplies"/>
    <s v="Paper"/>
    <x v="161"/>
    <n v="9.5679999999999996"/>
    <m/>
    <s v="Office Supplies"/>
    <s v="OS"/>
  </r>
  <r>
    <n v="405"/>
    <s v="CA-2018-117933"/>
    <s v="24/12/2018"/>
    <s v="29/12/2018"/>
    <s v="Standard Class"/>
    <x v="162"/>
    <x v="162"/>
    <s v="Consumer"/>
    <x v="0"/>
    <s v="New York City"/>
    <s v="New York"/>
    <n v="10024"/>
    <s v="East"/>
    <s v="OFF-AP-10004249"/>
    <s v="Office Supplies"/>
    <s v="Appliances"/>
    <x v="162"/>
    <n v="35.909999999999997"/>
    <m/>
    <s v="Office Supplies"/>
    <s v="OS"/>
  </r>
  <r>
    <n v="407"/>
    <s v="CA-2018-117457"/>
    <s v="08/12/2018"/>
    <s v="12/12/2018"/>
    <s v="Standard Class"/>
    <x v="163"/>
    <x v="163"/>
    <s v="Consumer"/>
    <x v="0"/>
    <s v="San Francisco"/>
    <s v="California"/>
    <n v="94110"/>
    <s v="West"/>
    <s v="TEC-CO-10004115"/>
    <s v="Technology"/>
    <s v="Copiers"/>
    <x v="163"/>
    <n v="1199.9760000000001"/>
    <m/>
    <s v="Technology"/>
    <s v="Technology"/>
  </r>
  <r>
    <n v="415"/>
    <s v="CA-2018-142636"/>
    <s v="03/11/2018"/>
    <s v="07/11/2018"/>
    <s v="Standard Class"/>
    <x v="164"/>
    <x v="164"/>
    <s v="Corporate"/>
    <x v="0"/>
    <s v="Seattle"/>
    <s v="Washington"/>
    <n v="98105"/>
    <s v="West"/>
    <s v="OFF-PA-10000157"/>
    <s v="Office Supplies"/>
    <s v="Paper"/>
    <x v="164"/>
    <n v="139.86000000000001"/>
    <m/>
    <s v="Office Supplies"/>
    <s v="OS"/>
  </r>
  <r>
    <n v="417"/>
    <s v="CA-2018-122105"/>
    <s v="24/06/2018"/>
    <s v="28/06/2018"/>
    <s v="Standard Class"/>
    <x v="165"/>
    <x v="165"/>
    <s v="Consumer"/>
    <x v="0"/>
    <s v="Huntington Beach"/>
    <s v="California"/>
    <n v="92646"/>
    <s v="West"/>
    <s v="OFF-AR-10004344"/>
    <s v="Office Supplies"/>
    <s v="Art"/>
    <x v="165"/>
    <n v="95.92"/>
    <m/>
    <s v="Office Supplies"/>
    <s v="OS"/>
  </r>
  <r>
    <n v="418"/>
    <s v="CA-2017-148796"/>
    <s v="14/04/2017"/>
    <s v="18/04/2017"/>
    <s v="Standard Class"/>
    <x v="166"/>
    <x v="166"/>
    <s v="Consumer"/>
    <x v="0"/>
    <s v="Los Angeles"/>
    <s v="California"/>
    <n v="90004"/>
    <s v="West"/>
    <s v="FUR-CH-10004886"/>
    <s v="Furniture"/>
    <s v="Chairs"/>
    <x v="166"/>
    <n v="383.8"/>
    <m/>
    <s v="Cardbaord"/>
    <s v="cardbaord"/>
  </r>
  <r>
    <n v="423"/>
    <s v="CA-2018-125388"/>
    <s v="19/10/2018"/>
    <s v="23/10/2018"/>
    <s v="Standard Class"/>
    <x v="167"/>
    <x v="167"/>
    <s v="Corporate"/>
    <x v="0"/>
    <s v="Lawrence"/>
    <s v="Massachusetts"/>
    <n v="1841"/>
    <s v="East"/>
    <s v="FUR-FU-10004712"/>
    <s v="Furniture"/>
    <s v="Furnishings"/>
    <x v="167"/>
    <n v="56.56"/>
    <m/>
    <s v="Cardbaord"/>
    <s v="cardbaord"/>
  </r>
  <r>
    <n v="425"/>
    <s v="CA-2018-155705"/>
    <s v="21/08/2018"/>
    <s v="23/08/2018"/>
    <s v="Second Class"/>
    <x v="168"/>
    <x v="168"/>
    <s v="Consumer"/>
    <x v="0"/>
    <s v="Jackson"/>
    <s v="Mississippi"/>
    <n v="39212"/>
    <s v="South"/>
    <s v="FUR-CH-10000015"/>
    <s v="Furniture"/>
    <s v="Chairs"/>
    <x v="168"/>
    <n v="866.4"/>
    <m/>
    <s v="Cardbaord"/>
    <s v="cardbaord"/>
  </r>
  <r>
    <n v="428"/>
    <s v="CA-2015-101476"/>
    <s v="12/09/2015"/>
    <s v="13/09/2015"/>
    <s v="First Class"/>
    <x v="169"/>
    <x v="169"/>
    <s v="Home Office"/>
    <x v="0"/>
    <s v="New Rochelle"/>
    <s v="New York"/>
    <n v="10801"/>
    <s v="East"/>
    <s v="TEC-MA-10000029"/>
    <s v="Technology"/>
    <s v="Machines"/>
    <x v="169"/>
    <n v="69.989999999999995"/>
    <m/>
    <s v="Technology"/>
    <s v="Technology"/>
  </r>
  <r>
    <n v="429"/>
    <s v="CA-2018-152275"/>
    <s v="01/10/2018"/>
    <s v="08/10/2018"/>
    <s v="Standard Class"/>
    <x v="170"/>
    <x v="170"/>
    <s v="Corporate"/>
    <x v="0"/>
    <s v="San Antonio"/>
    <s v="Texas"/>
    <n v="78207"/>
    <s v="Central"/>
    <s v="OFF-AR-10000369"/>
    <s v="Office Supplies"/>
    <s v="Art"/>
    <x v="170"/>
    <n v="6.6719999999999997"/>
    <m/>
    <s v="Office Supplies"/>
    <s v="OS"/>
  </r>
  <r>
    <n v="430"/>
    <s v="US-2017-123750"/>
    <s v="15/04/2017"/>
    <s v="21/04/2017"/>
    <s v="Standard Class"/>
    <x v="171"/>
    <x v="171"/>
    <s v="Home Office"/>
    <x v="0"/>
    <s v="Gastonia"/>
    <s v="North Carolina"/>
    <n v="28052"/>
    <s v="South"/>
    <s v="OFF-BI-10004584"/>
    <s v="Office Supplies"/>
    <s v="Binders"/>
    <x v="171"/>
    <n v="189.58799999999999"/>
    <m/>
    <s v="Office Supplies"/>
    <s v="OS"/>
  </r>
  <r>
    <n v="434"/>
    <s v="CA-2017-127369"/>
    <s v="06/06/2017"/>
    <s v="07/06/2017"/>
    <s v="First Class"/>
    <x v="172"/>
    <x v="172"/>
    <s v="Consumer"/>
    <x v="0"/>
    <s v="Lowell"/>
    <s v="Massachusetts"/>
    <n v="1852"/>
    <s v="East"/>
    <s v="OFF-ST-10003306"/>
    <s v="Office Supplies"/>
    <s v="Storage"/>
    <x v="172"/>
    <n v="714.3"/>
    <m/>
    <s v="Office Supplies"/>
    <s v="OS"/>
  </r>
  <r>
    <n v="435"/>
    <s v="US-2015-150574"/>
    <s v="19/12/2015"/>
    <s v="25/12/2015"/>
    <s v="Standard Class"/>
    <x v="173"/>
    <x v="173"/>
    <s v="Consumer"/>
    <x v="0"/>
    <s v="Jacksonville"/>
    <s v="Florida"/>
    <n v="32216"/>
    <s v="South"/>
    <s v="OFF-BI-10000773"/>
    <s v="Office Supplies"/>
    <s v="Binders"/>
    <x v="173"/>
    <n v="4.8120000000000003"/>
    <m/>
    <s v="Office Supplies"/>
    <s v="OS"/>
  </r>
  <r>
    <n v="437"/>
    <s v="CA-2017-147375"/>
    <s v="12/06/2017"/>
    <s v="14/06/2017"/>
    <s v="Second Class"/>
    <x v="174"/>
    <x v="174"/>
    <s v="Home Office"/>
    <x v="0"/>
    <s v="Chicago"/>
    <s v="Illinois"/>
    <n v="60623"/>
    <s v="Central"/>
    <s v="TEC-MA-10002937"/>
    <s v="Technology"/>
    <s v="Machines"/>
    <x v="174"/>
    <n v="1007.979"/>
    <m/>
    <s v="Technology"/>
    <s v="Technology"/>
  </r>
  <r>
    <n v="439"/>
    <s v="CA-2018-130043"/>
    <s v="15/09/2018"/>
    <s v="19/09/2018"/>
    <s v="Standard Class"/>
    <x v="175"/>
    <x v="175"/>
    <s v="Corporate"/>
    <x v="0"/>
    <s v="Houston"/>
    <s v="Texas"/>
    <n v="77070"/>
    <s v="Central"/>
    <s v="OFF-PA-10002230"/>
    <s v="Office Supplies"/>
    <s v="Paper"/>
    <x v="175"/>
    <n v="31.872"/>
    <m/>
    <s v="Office Supplies"/>
    <s v="OS"/>
  </r>
  <r>
    <n v="447"/>
    <s v="CA-2018-154214"/>
    <s v="20/03/2018"/>
    <s v="25/03/2018"/>
    <s v="Second Class"/>
    <x v="176"/>
    <x v="176"/>
    <s v="Consumer"/>
    <x v="0"/>
    <s v="Columbus"/>
    <s v="Indiana"/>
    <n v="47201"/>
    <s v="Central"/>
    <s v="FUR-FU-10000206"/>
    <s v="Furniture"/>
    <s v="Furnishings"/>
    <x v="176"/>
    <n v="2.91"/>
    <m/>
    <s v="Cardbaord"/>
    <s v="cardbaord"/>
  </r>
  <r>
    <n v="448"/>
    <s v="CA-2017-166674"/>
    <s v="01/04/2017"/>
    <s v="03/04/2017"/>
    <s v="Second Class"/>
    <x v="177"/>
    <x v="177"/>
    <s v="Consumer"/>
    <x v="0"/>
    <s v="Auburn"/>
    <s v="New York"/>
    <n v="13021"/>
    <s v="East"/>
    <s v="OFF-AR-10000588"/>
    <s v="Office Supplies"/>
    <s v="Art"/>
    <x v="177"/>
    <n v="59.52"/>
    <m/>
    <s v="Office Supplies"/>
    <s v="OS"/>
  </r>
  <r>
    <n v="455"/>
    <s v="CA-2018-147277"/>
    <s v="20/10/2018"/>
    <s v="24/10/2018"/>
    <s v="Standard Class"/>
    <x v="178"/>
    <x v="178"/>
    <s v="Corporate"/>
    <x v="0"/>
    <s v="Akron"/>
    <s v="Ohio"/>
    <n v="44312"/>
    <s v="East"/>
    <s v="OFF-ST-10000142"/>
    <s v="Office Supplies"/>
    <s v="Storage"/>
    <x v="178"/>
    <n v="665.40800000000002"/>
    <m/>
    <s v="Office Supplies"/>
    <s v="OS"/>
  </r>
  <r>
    <n v="457"/>
    <s v="US-2015-110674"/>
    <s v="12/02/2015"/>
    <s v="18/02/2015"/>
    <s v="Standard Class"/>
    <x v="179"/>
    <x v="179"/>
    <s v="Consumer"/>
    <x v="0"/>
    <s v="Concord"/>
    <s v="California"/>
    <n v="94521"/>
    <s v="West"/>
    <s v="FUR-CH-10000225"/>
    <s v="Furniture"/>
    <s v="Chairs"/>
    <x v="179"/>
    <n v="129.56800000000001"/>
    <m/>
    <s v="Cardbaord"/>
    <s v="cardbaord"/>
  </r>
  <r>
    <n v="464"/>
    <s v="CA-2017-109869"/>
    <s v="22/04/2017"/>
    <s v="29/04/2017"/>
    <s v="Standard Class"/>
    <x v="180"/>
    <x v="180"/>
    <s v="Home Office"/>
    <x v="0"/>
    <s v="Phoenix"/>
    <s v="Arizona"/>
    <n v="85023"/>
    <s v="West"/>
    <s v="FUR-TA-10001889"/>
    <s v="Furniture"/>
    <s v="Tables"/>
    <x v="180"/>
    <n v="1272.6300000000001"/>
    <m/>
    <s v="Cardbaord"/>
    <s v="cardbaord"/>
  </r>
  <r>
    <n v="471"/>
    <s v="CA-2016-154144"/>
    <s v="20/12/2016"/>
    <s v="24/12/2016"/>
    <s v="Standard Class"/>
    <x v="181"/>
    <x v="181"/>
    <s v="Corporate"/>
    <x v="0"/>
    <s v="Lindenhurst"/>
    <s v="New York"/>
    <n v="11757"/>
    <s v="East"/>
    <s v="OFF-PA-10004071"/>
    <s v="Office Supplies"/>
    <s v="Paper"/>
    <x v="181"/>
    <n v="55.48"/>
    <m/>
    <s v="Office Supplies"/>
    <s v="OS"/>
  </r>
  <r>
    <n v="472"/>
    <s v="CA-2015-144666"/>
    <s v="09/11/2015"/>
    <s v="11/11/2015"/>
    <s v="Second Class"/>
    <x v="182"/>
    <x v="182"/>
    <s v="Consumer"/>
    <x v="0"/>
    <s v="San Francisco"/>
    <s v="California"/>
    <n v="94110"/>
    <s v="West"/>
    <s v="OFF-ST-10002743"/>
    <s v="Office Supplies"/>
    <s v="Storage"/>
    <x v="182"/>
    <n v="340.92"/>
    <m/>
    <s v="Office Supplies"/>
    <s v="OS"/>
  </r>
  <r>
    <n v="480"/>
    <s v="CA-2017-100790"/>
    <s v="26/06/2017"/>
    <s v="02/07/2017"/>
    <s v="Standard Class"/>
    <x v="183"/>
    <x v="183"/>
    <s v="Corporate"/>
    <x v="0"/>
    <s v="New York City"/>
    <s v="New York"/>
    <n v="10024"/>
    <s v="East"/>
    <s v="OFF-AR-10003045"/>
    <s v="Office Supplies"/>
    <s v="Art"/>
    <x v="183"/>
    <n v="14.7"/>
    <m/>
    <s v="Office Supplies"/>
    <s v="OS"/>
  </r>
  <r>
    <n v="482"/>
    <s v="CA-2015-134677"/>
    <s v="06/10/2015"/>
    <s v="10/10/2015"/>
    <s v="Standard Class"/>
    <x v="184"/>
    <x v="184"/>
    <s v="Consumer"/>
    <x v="0"/>
    <s v="San Diego"/>
    <s v="California"/>
    <n v="92024"/>
    <s v="West"/>
    <s v="TEC-AC-10001445"/>
    <s v="Technology"/>
    <s v="Accessories"/>
    <x v="184"/>
    <n v="9.09"/>
    <m/>
    <s v="Technology"/>
    <s v="Technology"/>
  </r>
  <r>
    <n v="484"/>
    <s v="CA-2015-127691"/>
    <s v="22/07/2015"/>
    <s v="27/07/2015"/>
    <s v="Standard Class"/>
    <x v="185"/>
    <x v="185"/>
    <s v="Consumer"/>
    <x v="0"/>
    <s v="New York City"/>
    <s v="New York"/>
    <n v="10024"/>
    <s v="East"/>
    <s v="TEC-AC-10002567"/>
    <s v="Technology"/>
    <s v="Accessories"/>
    <x v="185"/>
    <n v="159.97999999999999"/>
    <m/>
    <s v="Technology"/>
    <s v="Technology"/>
  </r>
  <r>
    <n v="485"/>
    <s v="CA-2018-140963"/>
    <s v="10/06/2018"/>
    <s v="13/06/2018"/>
    <s v="First Class"/>
    <x v="186"/>
    <x v="186"/>
    <s v="Home Office"/>
    <x v="0"/>
    <s v="Los Angeles"/>
    <s v="California"/>
    <n v="90045"/>
    <s v="West"/>
    <s v="OFF-LA-10003923"/>
    <s v="Office Supplies"/>
    <s v="Labels"/>
    <x v="186"/>
    <n v="29.6"/>
    <m/>
    <s v="Office Supplies"/>
    <s v="OS"/>
  </r>
  <r>
    <n v="488"/>
    <s v="CA-2015-154627"/>
    <s v="29/10/2015"/>
    <s v="31/10/2015"/>
    <s v="First Class"/>
    <x v="187"/>
    <x v="187"/>
    <s v="Consumer"/>
    <x v="0"/>
    <s v="Chicago"/>
    <s v="Illinois"/>
    <n v="60610"/>
    <s v="Central"/>
    <s v="TEC-PH-10001363"/>
    <s v="Technology"/>
    <s v="Phones"/>
    <x v="187"/>
    <n v="2735.9520000000002"/>
    <m/>
    <s v="Technology"/>
    <s v="Technology"/>
  </r>
  <r>
    <n v="489"/>
    <s v="CA-2015-133753"/>
    <s v="09/06/2015"/>
    <s v="13/06/2015"/>
    <s v="Second Class"/>
    <x v="188"/>
    <x v="188"/>
    <s v="Home Office"/>
    <x v="0"/>
    <s v="Huntsville"/>
    <s v="Texas"/>
    <n v="77340"/>
    <s v="Central"/>
    <s v="TEC-PH-10000376"/>
    <s v="Technology"/>
    <s v="Phones"/>
    <x v="188"/>
    <n v="7.992"/>
    <m/>
    <s v="Technology"/>
    <s v="Technology"/>
  </r>
  <r>
    <n v="492"/>
    <s v="CA-2015-113362"/>
    <s v="14/09/2015"/>
    <s v="19/09/2015"/>
    <s v="Standard Class"/>
    <x v="189"/>
    <x v="189"/>
    <s v="Consumer"/>
    <x v="0"/>
    <s v="Rochester"/>
    <s v="New York"/>
    <n v="14609"/>
    <s v="East"/>
    <s v="OFF-ST-10001809"/>
    <s v="Office Supplies"/>
    <s v="Storage"/>
    <x v="189"/>
    <n v="449.15"/>
    <m/>
    <s v="Office Supplies"/>
    <s v="OS"/>
  </r>
  <r>
    <n v="494"/>
    <s v="CA-2017-169166"/>
    <s v="09/05/2017"/>
    <s v="14/05/2017"/>
    <s v="Standard Class"/>
    <x v="190"/>
    <x v="190"/>
    <s v="Consumer"/>
    <x v="0"/>
    <s v="Seattle"/>
    <s v="Washington"/>
    <n v="98115"/>
    <s v="West"/>
    <s v="TEC-AC-10000991"/>
    <s v="Technology"/>
    <s v="Accessories"/>
    <x v="190"/>
    <n v="93.98"/>
    <m/>
    <s v="Technology"/>
    <s v="Technology"/>
  </r>
  <r>
    <n v="495"/>
    <s v="US-2017-120929"/>
    <s v="18/03/2017"/>
    <s v="21/03/2017"/>
    <s v="Second Class"/>
    <x v="191"/>
    <x v="191"/>
    <s v="Consumer"/>
    <x v="0"/>
    <s v="Memphis"/>
    <s v="Tennessee"/>
    <n v="38109"/>
    <s v="South"/>
    <s v="FUR-TA-10001857"/>
    <s v="Furniture"/>
    <s v="Tables"/>
    <x v="191"/>
    <n v="189.88200000000001"/>
    <m/>
    <s v="Cardbaord"/>
    <s v="cardbaord"/>
  </r>
  <r>
    <n v="496"/>
    <s v="CA-2016-134782"/>
    <s v="27/12/2016"/>
    <s v="31/12/2016"/>
    <s v="Standard Class"/>
    <x v="192"/>
    <x v="192"/>
    <s v="Consumer"/>
    <x v="0"/>
    <s v="Fayetteville"/>
    <s v="Arkansas"/>
    <n v="72701"/>
    <s v="South"/>
    <s v="OFF-EN-10001434"/>
    <s v="Office Supplies"/>
    <s v="Envelopes"/>
    <x v="192"/>
    <n v="105.42"/>
    <m/>
    <s v="Office Supplies"/>
    <s v="OS"/>
  </r>
  <r>
    <n v="501"/>
    <s v="US-2017-105578"/>
    <s v="30/05/2017"/>
    <s v="04/06/2017"/>
    <s v="Standard Class"/>
    <x v="193"/>
    <x v="193"/>
    <s v="Corporate"/>
    <x v="0"/>
    <s v="Parker"/>
    <s v="Colorado"/>
    <n v="80134"/>
    <s v="West"/>
    <s v="OFF-BI-10001670"/>
    <s v="Office Supplies"/>
    <s v="Binders"/>
    <x v="193"/>
    <n v="22.62"/>
    <m/>
    <s v="Office Supplies"/>
    <s v="OS"/>
  </r>
  <r>
    <n v="507"/>
    <s v="CA-2016-145352"/>
    <s v="16/03/2016"/>
    <s v="22/03/2016"/>
    <s v="Standard Class"/>
    <x v="194"/>
    <x v="194"/>
    <s v="Consumer"/>
    <x v="0"/>
    <s v="Atlanta"/>
    <s v="Georgia"/>
    <n v="30318"/>
    <s v="South"/>
    <s v="OFF-AR-10001662"/>
    <s v="Office Supplies"/>
    <s v="Art"/>
    <x v="194"/>
    <n v="2.74"/>
    <m/>
    <s v="Office Supplies"/>
    <s v="OS"/>
  </r>
  <r>
    <n v="511"/>
    <s v="CA-2018-135307"/>
    <s v="26/11/2018"/>
    <s v="27/11/2018"/>
    <s v="First Class"/>
    <x v="195"/>
    <x v="195"/>
    <s v="Consumer"/>
    <x v="0"/>
    <s v="Gladstone"/>
    <s v="Missouri"/>
    <n v="64118"/>
    <s v="Central"/>
    <s v="FUR-FU-10001290"/>
    <s v="Furniture"/>
    <s v="Furnishings"/>
    <x v="195"/>
    <n v="126.3"/>
    <m/>
    <s v="Cardbaord"/>
    <s v="cardbaord"/>
  </r>
  <r>
    <n v="514"/>
    <s v="CA-2018-163405"/>
    <s v="21/12/2018"/>
    <s v="25/12/2018"/>
    <s v="Standard Class"/>
    <x v="196"/>
    <x v="196"/>
    <s v="Consumer"/>
    <x v="0"/>
    <s v="Los Angeles"/>
    <s v="California"/>
    <n v="90049"/>
    <s v="West"/>
    <s v="OFF-AR-10003811"/>
    <s v="Office Supplies"/>
    <s v="Art"/>
    <x v="196"/>
    <n v="6.63"/>
    <m/>
    <s v="Office Supplies"/>
    <s v="OS"/>
  </r>
  <r>
    <n v="521"/>
    <s v="CA-2016-157812"/>
    <s v="22/03/2016"/>
    <s v="26/03/2016"/>
    <s v="Standard Class"/>
    <x v="197"/>
    <x v="197"/>
    <s v="Consumer"/>
    <x v="0"/>
    <s v="Houston"/>
    <s v="Texas"/>
    <n v="77041"/>
    <s v="Central"/>
    <s v="OFF-ST-10000736"/>
    <s v="Office Supplies"/>
    <s v="Storage"/>
    <x v="197"/>
    <n v="129.56800000000001"/>
    <m/>
    <s v="Office Supplies"/>
    <s v="OS"/>
  </r>
  <r>
    <n v="526"/>
    <s v="CA-2016-158792"/>
    <s v="26/12/2016"/>
    <s v="02/01/2017"/>
    <s v="Standard Class"/>
    <x v="198"/>
    <x v="198"/>
    <s v="Consumer"/>
    <x v="0"/>
    <s v="Lawrence"/>
    <s v="Massachusetts"/>
    <n v="1841"/>
    <s v="East"/>
    <s v="OFF-FA-10002815"/>
    <s v="Office Supplies"/>
    <s v="Fasteners"/>
    <x v="198"/>
    <n v="22.2"/>
    <m/>
    <s v="Office Supplies"/>
    <s v="OS"/>
  </r>
  <r>
    <n v="527"/>
    <s v="CA-2018-113558"/>
    <s v="21/10/2018"/>
    <s v="26/10/2018"/>
    <s v="Standard Class"/>
    <x v="199"/>
    <x v="199"/>
    <s v="Home Office"/>
    <x v="0"/>
    <s v="Lakeland"/>
    <s v="Florida"/>
    <n v="33801"/>
    <s v="South"/>
    <s v="FUR-CH-10003379"/>
    <s v="Furniture"/>
    <s v="Chairs"/>
    <x v="199"/>
    <n v="683.952"/>
    <m/>
    <s v="Cardbaord"/>
    <s v="cardbaord"/>
  </r>
  <r>
    <n v="529"/>
    <s v="US-2016-138303"/>
    <s v="03/09/2016"/>
    <s v="07/09/2016"/>
    <s v="Standard Class"/>
    <x v="200"/>
    <x v="200"/>
    <s v="Consumer"/>
    <x v="0"/>
    <s v="Philadelphia"/>
    <s v="Pennsylvania"/>
    <n v="19134"/>
    <s v="East"/>
    <s v="OFF-ST-10004963"/>
    <s v="Office Supplies"/>
    <s v="Storage"/>
    <x v="200"/>
    <n v="36.335999999999999"/>
    <m/>
    <s v="Office Supplies"/>
    <s v="OS"/>
  </r>
  <r>
    <n v="532"/>
    <s v="CA-2016-102848"/>
    <s v="07/11/2016"/>
    <s v="09/11/2016"/>
    <s v="Second Class"/>
    <x v="201"/>
    <x v="201"/>
    <s v="Corporate"/>
    <x v="0"/>
    <s v="Los Angeles"/>
    <s v="California"/>
    <n v="90036"/>
    <s v="West"/>
    <s v="FUR-CH-10000595"/>
    <s v="Furniture"/>
    <s v="Chairs"/>
    <x v="201"/>
    <n v="190.72"/>
    <m/>
    <s v="Cardbaord"/>
    <s v="cardbaord"/>
  </r>
  <r>
    <n v="533"/>
    <s v="US-2018-129441"/>
    <s v="07/09/2018"/>
    <s v="11/09/2018"/>
    <s v="Standard Class"/>
    <x v="202"/>
    <x v="202"/>
    <s v="Consumer"/>
    <x v="0"/>
    <s v="Los Angeles"/>
    <s v="California"/>
    <n v="90032"/>
    <s v="West"/>
    <s v="FUR-FU-10000448"/>
    <s v="Furniture"/>
    <s v="Furnishings"/>
    <x v="202"/>
    <n v="47.94"/>
    <m/>
    <s v="Cardbaord"/>
    <s v="cardbaord"/>
  </r>
  <r>
    <n v="534"/>
    <s v="CA-2017-168753"/>
    <s v="29/05/2017"/>
    <s v="01/06/2017"/>
    <s v="Second Class"/>
    <x v="203"/>
    <x v="203"/>
    <s v="Consumer"/>
    <x v="0"/>
    <s v="Montgomery"/>
    <s v="Alabama"/>
    <n v="36116"/>
    <s v="South"/>
    <s v="TEC-PH-10000984"/>
    <s v="Technology"/>
    <s v="Phones"/>
    <x v="203"/>
    <n v="979.95"/>
    <m/>
    <s v="Technology"/>
    <s v="Technology"/>
  </r>
  <r>
    <n v="536"/>
    <s v="CA-2017-126613"/>
    <s v="10/07/2017"/>
    <s v="16/07/2017"/>
    <s v="Standard Class"/>
    <x v="204"/>
    <x v="204"/>
    <s v="Consumer"/>
    <x v="0"/>
    <s v="Mesa"/>
    <s v="Arizona"/>
    <n v="85204"/>
    <s v="West"/>
    <s v="OFF-ST-10001325"/>
    <s v="Office Supplies"/>
    <s v="Storage"/>
    <x v="204"/>
    <n v="16.768000000000001"/>
    <m/>
    <s v="Office Supplies"/>
    <s v="OS"/>
  </r>
  <r>
    <n v="537"/>
    <s v="US-2018-122637"/>
    <s v="03/09/2018"/>
    <s v="08/09/2018"/>
    <s v="Second Class"/>
    <x v="205"/>
    <x v="205"/>
    <s v="Consumer"/>
    <x v="0"/>
    <s v="Chicago"/>
    <s v="Illinois"/>
    <n v="60653"/>
    <s v="Central"/>
    <s v="OFF-BI-10002429"/>
    <s v="Office Supplies"/>
    <s v="Binders"/>
    <x v="205"/>
    <n v="42.616"/>
    <m/>
    <s v="Office Supplies"/>
    <s v="OS"/>
  </r>
  <r>
    <n v="539"/>
    <s v="CA-2016-134894"/>
    <s v="07/12/2016"/>
    <s v="11/12/2016"/>
    <s v="Standard Class"/>
    <x v="206"/>
    <x v="206"/>
    <s v="Consumer"/>
    <x v="0"/>
    <s v="Henderson"/>
    <s v="Kentucky"/>
    <n v="42420"/>
    <s v="South"/>
    <s v="OFF-AP-10001271"/>
    <s v="Office Supplies"/>
    <s v="Appliances"/>
    <x v="206"/>
    <n v="152.94"/>
    <m/>
    <s v="Office Supplies"/>
    <s v="OS"/>
  </r>
  <r>
    <n v="541"/>
    <s v="CA-2015-140795"/>
    <s v="01/02/2015"/>
    <s v="03/02/2015"/>
    <s v="First Class"/>
    <x v="207"/>
    <x v="207"/>
    <s v="Consumer"/>
    <x v="0"/>
    <s v="Green Bay"/>
    <s v="Wisconsin"/>
    <n v="54302"/>
    <s v="Central"/>
    <s v="TEC-AC-10001432"/>
    <s v="Technology"/>
    <s v="Accessories"/>
    <x v="207"/>
    <n v="468.9"/>
    <m/>
    <s v="Technology"/>
    <s v="Technology"/>
  </r>
  <r>
    <n v="547"/>
    <s v="CA-2018-162929"/>
    <s v="19/11/2018"/>
    <s v="22/11/2018"/>
    <s v="First Class"/>
    <x v="208"/>
    <x v="208"/>
    <s v="Home Office"/>
    <x v="0"/>
    <s v="New York City"/>
    <s v="New York"/>
    <n v="10035"/>
    <s v="East"/>
    <s v="OFF-BI-10000404"/>
    <s v="Office Supplies"/>
    <s v="Binders"/>
    <x v="208"/>
    <n v="41.28"/>
    <m/>
    <s v="Office Supplies"/>
    <s v="OS"/>
  </r>
  <r>
    <n v="552"/>
    <s v="CA-2017-136406"/>
    <s v="15/04/2017"/>
    <s v="17/04/2017"/>
    <s v="Second Class"/>
    <x v="209"/>
    <x v="209"/>
    <s v="Consumer"/>
    <x v="0"/>
    <s v="San Francisco"/>
    <s v="California"/>
    <n v="94110"/>
    <s v="West"/>
    <s v="FUR-CH-10002024"/>
    <s v="Furniture"/>
    <s v="Chairs"/>
    <x v="209"/>
    <n v="1121.568"/>
    <m/>
    <s v="Cardbaord"/>
    <s v="cardbaord"/>
  </r>
  <r>
    <n v="554"/>
    <s v="CA-2018-101945"/>
    <s v="24/11/2018"/>
    <s v="28/11/2018"/>
    <s v="Standard Class"/>
    <x v="210"/>
    <x v="210"/>
    <s v="Consumer"/>
    <x v="0"/>
    <s v="Houston"/>
    <s v="Texas"/>
    <n v="77070"/>
    <s v="Central"/>
    <s v="OFF-FA-10004248"/>
    <s v="Office Supplies"/>
    <s v="Fasteners"/>
    <x v="210"/>
    <n v="10.824"/>
    <m/>
    <s v="Office Supplies"/>
    <s v="OS"/>
  </r>
  <r>
    <n v="556"/>
    <s v="CA-2015-155852"/>
    <s v="03/03/2015"/>
    <s v="07/03/2015"/>
    <s v="Second Class"/>
    <x v="211"/>
    <x v="211"/>
    <s v="Consumer"/>
    <x v="0"/>
    <s v="Wilmington"/>
    <s v="North Carolina"/>
    <n v="28403"/>
    <s v="South"/>
    <s v="OFF-AR-10003560"/>
    <s v="Office Supplies"/>
    <s v="Art"/>
    <x v="211"/>
    <n v="19.456"/>
    <m/>
    <s v="Office Supplies"/>
    <s v="OS"/>
  </r>
  <r>
    <n v="557"/>
    <s v="CA-2017-113243"/>
    <s v="10/06/2017"/>
    <s v="15/06/2017"/>
    <s v="Standard Class"/>
    <x v="212"/>
    <x v="212"/>
    <s v="Consumer"/>
    <x v="0"/>
    <s v="Los Angeles"/>
    <s v="California"/>
    <n v="90045"/>
    <s v="West"/>
    <s v="OFF-LA-10001297"/>
    <s v="Office Supplies"/>
    <s v="Labels"/>
    <x v="212"/>
    <n v="20.7"/>
    <m/>
    <s v="Office Supplies"/>
    <s v="OS"/>
  </r>
  <r>
    <n v="561"/>
    <s v="CA-2018-118731"/>
    <s v="20/11/2018"/>
    <s v="22/11/2018"/>
    <s v="Second Class"/>
    <x v="213"/>
    <x v="213"/>
    <s v="Consumer"/>
    <x v="0"/>
    <s v="San Francisco"/>
    <s v="California"/>
    <n v="94110"/>
    <s v="West"/>
    <s v="OFF-BI-10000069"/>
    <s v="Office Supplies"/>
    <s v="Binders"/>
    <x v="213"/>
    <n v="84.055999999999997"/>
    <m/>
    <s v="Office Supplies"/>
    <s v="OS"/>
  </r>
  <r>
    <n v="562"/>
    <s v="CA-2015-145576"/>
    <s v="14/09/2015"/>
    <s v="18/09/2015"/>
    <s v="Second Class"/>
    <x v="214"/>
    <x v="214"/>
    <s v="Consumer"/>
    <x v="0"/>
    <s v="Tampa"/>
    <s v="Florida"/>
    <n v="33614"/>
    <s v="South"/>
    <s v="OFF-AP-10003914"/>
    <s v="Office Supplies"/>
    <s v="Appliances"/>
    <x v="214"/>
    <n v="13"/>
    <m/>
    <s v="Office Supplies"/>
    <s v="OS"/>
  </r>
  <r>
    <n v="564"/>
    <s v="CA-2016-130736"/>
    <s v="07/12/2016"/>
    <s v="09/12/2016"/>
    <s v="First Class"/>
    <x v="215"/>
    <x v="215"/>
    <s v="Consumer"/>
    <x v="0"/>
    <s v="Seattle"/>
    <s v="Washington"/>
    <n v="98105"/>
    <s v="West"/>
    <s v="OFF-FA-10003467"/>
    <s v="Office Supplies"/>
    <s v="Fasteners"/>
    <x v="215"/>
    <n v="3.96"/>
    <m/>
    <s v="Office Supplies"/>
    <s v="OS"/>
  </r>
  <r>
    <n v="566"/>
    <s v="CA-2018-137099"/>
    <s v="07/12/2018"/>
    <s v="10/12/2018"/>
    <s v="First Class"/>
    <x v="216"/>
    <x v="216"/>
    <s v="Consumer"/>
    <x v="0"/>
    <s v="Los Angeles"/>
    <s v="California"/>
    <n v="90008"/>
    <s v="West"/>
    <s v="TEC-PH-10002496"/>
    <s v="Technology"/>
    <s v="Phones"/>
    <x v="216"/>
    <n v="374.37599999999998"/>
    <m/>
    <s v="Technology"/>
    <s v="Technology"/>
  </r>
  <r>
    <n v="567"/>
    <s v="CA-2018-156951"/>
    <s v="01/10/2018"/>
    <s v="08/10/2018"/>
    <s v="Standard Class"/>
    <x v="217"/>
    <x v="217"/>
    <s v="Corporate"/>
    <x v="0"/>
    <s v="Seattle"/>
    <s v="Washington"/>
    <n v="98105"/>
    <s v="West"/>
    <s v="OFF-PA-10004530"/>
    <s v="Office Supplies"/>
    <s v="Paper"/>
    <x v="217"/>
    <n v="91.84"/>
    <m/>
    <s v="Office Supplies"/>
    <s v="OS"/>
  </r>
  <r>
    <n v="574"/>
    <s v="CA-2018-164826"/>
    <s v="28/12/2018"/>
    <s v="04/01/2019"/>
    <s v="Standard Class"/>
    <x v="218"/>
    <x v="218"/>
    <s v="Consumer"/>
    <x v="0"/>
    <s v="New York City"/>
    <s v="New York"/>
    <n v="10024"/>
    <s v="East"/>
    <s v="TEC-PH-10000347"/>
    <s v="Technology"/>
    <s v="Phones"/>
    <x v="218"/>
    <n v="14.85"/>
    <m/>
    <s v="Technology"/>
    <s v="Technology"/>
  </r>
  <r>
    <n v="575"/>
    <s v="CA-2017-127250"/>
    <s v="03/11/2017"/>
    <s v="07/11/2017"/>
    <s v="Standard Class"/>
    <x v="219"/>
    <x v="219"/>
    <s v="Consumer"/>
    <x v="0"/>
    <s v="Marysville"/>
    <s v="Washington"/>
    <n v="98270"/>
    <s v="West"/>
    <s v="OFF-AR-10003394"/>
    <s v="Office Supplies"/>
    <s v="Art"/>
    <x v="219"/>
    <n v="8.82"/>
    <m/>
    <s v="Office Supplies"/>
    <s v="OS"/>
  </r>
  <r>
    <n v="577"/>
    <s v="CA-2016-149713"/>
    <s v="18/09/2016"/>
    <s v="22/09/2016"/>
    <s v="Second Class"/>
    <x v="220"/>
    <x v="220"/>
    <s v="Consumer"/>
    <x v="0"/>
    <s v="Long Beach"/>
    <s v="California"/>
    <n v="90805"/>
    <s v="West"/>
    <s v="OFF-PA-10001450"/>
    <s v="Office Supplies"/>
    <s v="Paper"/>
    <x v="220"/>
    <n v="19.920000000000002"/>
    <m/>
    <s v="Office Supplies"/>
    <s v="OS"/>
  </r>
  <r>
    <n v="580"/>
    <s v="CA-2018-118640"/>
    <s v="20/07/2018"/>
    <s v="26/07/2018"/>
    <s v="Standard Class"/>
    <x v="221"/>
    <x v="221"/>
    <s v="Consumer"/>
    <x v="0"/>
    <s v="Chicago"/>
    <s v="Illinois"/>
    <n v="60610"/>
    <s v="Central"/>
    <s v="FUR-FU-10001475"/>
    <s v="Furniture"/>
    <s v="Furnishings"/>
    <x v="221"/>
    <n v="8.7919999999999998"/>
    <m/>
    <s v="Cardbaord"/>
    <s v="cardbaord"/>
  </r>
  <r>
    <n v="581"/>
    <s v="CA-2016-132906"/>
    <s v="10/09/2016"/>
    <s v="14/09/2016"/>
    <s v="Standard Class"/>
    <x v="222"/>
    <x v="222"/>
    <s v="Consumer"/>
    <x v="0"/>
    <s v="Los Angeles"/>
    <s v="California"/>
    <n v="90004"/>
    <s v="West"/>
    <s v="OFF-SU-10004498"/>
    <s v="Office Supplies"/>
    <s v="Supplies"/>
    <x v="222"/>
    <n v="51.52"/>
    <m/>
    <s v="Office Supplies"/>
    <s v="OS"/>
  </r>
  <r>
    <n v="583"/>
    <s v="CA-2018-145233"/>
    <s v="01/12/2018"/>
    <s v="05/12/2018"/>
    <s v="Standard Class"/>
    <x v="223"/>
    <x v="223"/>
    <s v="Consumer"/>
    <x v="0"/>
    <s v="Denver"/>
    <s v="Colorado"/>
    <n v="80219"/>
    <s v="West"/>
    <s v="TEC-PH-10000586"/>
    <s v="Technology"/>
    <s v="Phones"/>
    <x v="223"/>
    <n v="105.584"/>
    <m/>
    <s v="Technology"/>
    <s v="Technology"/>
  </r>
  <r>
    <n v="588"/>
    <s v="CA-2016-128139"/>
    <s v="03/07/2016"/>
    <s v="09/07/2016"/>
    <s v="Standard Class"/>
    <x v="224"/>
    <x v="224"/>
    <s v="Consumer"/>
    <x v="0"/>
    <s v="Richmond"/>
    <s v="Kentucky"/>
    <n v="40475"/>
    <s v="South"/>
    <s v="OFF-LA-10003930"/>
    <s v="Office Supplies"/>
    <s v="Labels"/>
    <x v="224"/>
    <n v="294.93"/>
    <m/>
    <s v="Office Supplies"/>
    <s v="OS"/>
  </r>
  <r>
    <n v="589"/>
    <s v="US-2017-156986"/>
    <s v="20/03/2017"/>
    <s v="24/03/2017"/>
    <s v="Standard Class"/>
    <x v="225"/>
    <x v="225"/>
    <s v="Consumer"/>
    <x v="0"/>
    <s v="Salem"/>
    <s v="Oregon"/>
    <n v="97301"/>
    <s v="West"/>
    <s v="TEC-PH-10003800"/>
    <s v="Technology"/>
    <s v="Phones"/>
    <x v="225"/>
    <n v="84.784000000000006"/>
    <m/>
    <s v="Technology"/>
    <s v="Technology"/>
  </r>
  <r>
    <n v="593"/>
    <s v="CA-2015-135405"/>
    <s v="09/01/2015"/>
    <s v="13/01/2015"/>
    <s v="Standard Class"/>
    <x v="226"/>
    <x v="226"/>
    <s v="Consumer"/>
    <x v="0"/>
    <s v="Laredo"/>
    <s v="Texas"/>
    <n v="78041"/>
    <s v="Central"/>
    <s v="OFF-AR-10004078"/>
    <s v="Office Supplies"/>
    <s v="Art"/>
    <x v="226"/>
    <n v="9.3439999999999994"/>
    <m/>
    <s v="Office Supplies"/>
    <s v="OS"/>
  </r>
  <r>
    <n v="595"/>
    <s v="CA-2015-131450"/>
    <s v="08/08/2015"/>
    <s v="15/08/2015"/>
    <s v="Standard Class"/>
    <x v="227"/>
    <x v="227"/>
    <s v="Consumer"/>
    <x v="0"/>
    <s v="San Diego"/>
    <s v="California"/>
    <n v="92024"/>
    <s v="West"/>
    <s v="OFF-AP-10004708"/>
    <s v="Office Supplies"/>
    <s v="Appliances"/>
    <x v="227"/>
    <n v="76.12"/>
    <m/>
    <s v="Office Supplies"/>
    <s v="OS"/>
  </r>
  <r>
    <n v="599"/>
    <s v="CA-2017-120180"/>
    <s v="14/07/2017"/>
    <s v="16/07/2017"/>
    <s v="First Class"/>
    <x v="228"/>
    <x v="228"/>
    <s v="Consumer"/>
    <x v="0"/>
    <s v="Philadelphia"/>
    <s v="Pennsylvania"/>
    <n v="19134"/>
    <s v="East"/>
    <s v="OFF-SU-10004115"/>
    <s v="Office Supplies"/>
    <s v="Supplies"/>
    <x v="228"/>
    <n v="11.632"/>
    <m/>
    <s v="Office Supplies"/>
    <s v="OS"/>
  </r>
  <r>
    <n v="600"/>
    <s v="US-2017-100720"/>
    <s v="16/07/2017"/>
    <s v="21/07/2017"/>
    <s v="Standard Class"/>
    <x v="229"/>
    <x v="229"/>
    <s v="Consumer"/>
    <x v="0"/>
    <s v="Philadelphia"/>
    <s v="Pennsylvania"/>
    <n v="19120"/>
    <s v="East"/>
    <s v="TEC-PH-10001425"/>
    <s v="Technology"/>
    <s v="Phones"/>
    <x v="229"/>
    <n v="143.982"/>
    <m/>
    <s v="Technology"/>
    <s v="Technology"/>
  </r>
  <r>
    <n v="603"/>
    <s v="CA-2015-149958"/>
    <s v="15/03/2015"/>
    <s v="19/03/2015"/>
    <s v="Standard Class"/>
    <x v="230"/>
    <x v="230"/>
    <s v="Consumer"/>
    <x v="0"/>
    <s v="Tampa"/>
    <s v="Florida"/>
    <n v="33614"/>
    <s v="South"/>
    <s v="OFF-ST-10001490"/>
    <s v="Office Supplies"/>
    <s v="Storage"/>
    <x v="230"/>
    <n v="142.77600000000001"/>
    <m/>
    <s v="Office Supplies"/>
    <s v="OS"/>
  </r>
  <r>
    <n v="608"/>
    <s v="US-2015-105767"/>
    <s v="23/05/2015"/>
    <s v="27/05/2015"/>
    <s v="Standard Class"/>
    <x v="231"/>
    <x v="231"/>
    <s v="Consumer"/>
    <x v="0"/>
    <s v="Philadelphia"/>
    <s v="Pennsylvania"/>
    <n v="19134"/>
    <s v="East"/>
    <s v="OFF-BI-10000848"/>
    <s v="Office Supplies"/>
    <s v="Binders"/>
    <x v="231"/>
    <n v="3.282"/>
    <m/>
    <s v="Office Supplies"/>
    <s v="OS"/>
  </r>
  <r>
    <n v="612"/>
    <s v="CA-2017-161816"/>
    <s v="28/04/2017"/>
    <s v="01/05/2017"/>
    <s v="First Class"/>
    <x v="232"/>
    <x v="232"/>
    <s v="Corporate"/>
    <x v="0"/>
    <s v="Dallas"/>
    <s v="Texas"/>
    <n v="75217"/>
    <s v="Central"/>
    <s v="OFF-LA-10004345"/>
    <s v="Office Supplies"/>
    <s v="Labels"/>
    <x v="232"/>
    <n v="15.712"/>
    <m/>
    <s v="Office Supplies"/>
    <s v="OS"/>
  </r>
  <r>
    <n v="613"/>
    <s v="CA-2017-121223"/>
    <s v="11/09/2017"/>
    <s v="13/09/2017"/>
    <s v="Second Class"/>
    <x v="233"/>
    <x v="233"/>
    <s v="Corporate"/>
    <x v="0"/>
    <s v="Philadelphia"/>
    <s v="Pennsylvania"/>
    <n v="19143"/>
    <s v="East"/>
    <s v="OFF-PA-10001204"/>
    <s v="Office Supplies"/>
    <s v="Paper"/>
    <x v="233"/>
    <n v="8.4480000000000004"/>
    <m/>
    <s v="Office Supplies"/>
    <s v="OS"/>
  </r>
  <r>
    <n v="616"/>
    <s v="CA-2018-138611"/>
    <s v="14/11/2018"/>
    <s v="17/11/2018"/>
    <s v="Second Class"/>
    <x v="234"/>
    <x v="234"/>
    <s v="Consumer"/>
    <x v="0"/>
    <s v="Grove City"/>
    <s v="Ohio"/>
    <n v="43123"/>
    <s v="East"/>
    <s v="OFF-BI-10002949"/>
    <s v="Office Supplies"/>
    <s v="Binders"/>
    <x v="234"/>
    <n v="3.6480000000000001"/>
    <m/>
    <s v="Office Supplies"/>
    <s v="OS"/>
  </r>
  <r>
    <n v="617"/>
    <s v="CA-2018-117947"/>
    <s v="18/08/2018"/>
    <s v="23/08/2018"/>
    <s v="Second Class"/>
    <x v="235"/>
    <x v="235"/>
    <s v="Corporate"/>
    <x v="0"/>
    <s v="New York City"/>
    <s v="New York"/>
    <n v="10011"/>
    <s v="East"/>
    <s v="FUR-FU-10003849"/>
    <s v="Furniture"/>
    <s v="Furnishings"/>
    <x v="235"/>
    <n v="40.479999999999997"/>
    <m/>
    <s v="Cardbaord"/>
    <s v="cardbaord"/>
  </r>
  <r>
    <n v="622"/>
    <s v="US-2015-111171"/>
    <s v="26/12/2015"/>
    <s v="31/12/2015"/>
    <s v="Standard Class"/>
    <x v="236"/>
    <x v="236"/>
    <s v="Consumer"/>
    <x v="0"/>
    <s v="Chicago"/>
    <s v="Illinois"/>
    <n v="60610"/>
    <s v="Central"/>
    <s v="OFF-BI-10002103"/>
    <s v="Office Supplies"/>
    <s v="Binders"/>
    <x v="236"/>
    <n v="8.69"/>
    <m/>
    <s v="Office Supplies"/>
    <s v="OS"/>
  </r>
  <r>
    <n v="623"/>
    <s v="CA-2016-138009"/>
    <s v="29/11/2016"/>
    <s v="03/12/2016"/>
    <s v="Standard Class"/>
    <x v="237"/>
    <x v="237"/>
    <s v="Corporate"/>
    <x v="0"/>
    <s v="Dearborn"/>
    <s v="Michigan"/>
    <n v="48126"/>
    <s v="Central"/>
    <s v="FUR-CH-10004853"/>
    <s v="Furniture"/>
    <s v="Chairs"/>
    <x v="237"/>
    <n v="301.95999999999998"/>
    <m/>
    <s v="Cardbaord"/>
    <s v="cardbaord"/>
  </r>
  <r>
    <n v="627"/>
    <s v="CA-2018-163020"/>
    <s v="15/09/2018"/>
    <s v="19/09/2018"/>
    <s v="Standard Class"/>
    <x v="238"/>
    <x v="238"/>
    <s v="Home Office"/>
    <x v="0"/>
    <s v="New York City"/>
    <s v="New York"/>
    <n v="10009"/>
    <s v="East"/>
    <s v="FUR-FU-10000221"/>
    <s v="Furniture"/>
    <s v="Furnishings"/>
    <x v="238"/>
    <n v="35.56"/>
    <m/>
    <s v="Cardbaord"/>
    <s v="cardbaord"/>
  </r>
  <r>
    <n v="628"/>
    <s v="CA-2018-153787"/>
    <s v="19/05/2018"/>
    <s v="23/05/2018"/>
    <s v="Standard Class"/>
    <x v="239"/>
    <x v="239"/>
    <s v="Consumer"/>
    <x v="0"/>
    <s v="Seattle"/>
    <s v="Washington"/>
    <n v="98115"/>
    <s v="West"/>
    <s v="OFF-AP-10001563"/>
    <s v="Office Supplies"/>
    <s v="Appliances"/>
    <x v="239"/>
    <n v="97.16"/>
    <m/>
    <s v="Office Supplies"/>
    <s v="OS"/>
  </r>
  <r>
    <n v="631"/>
    <s v="US-2017-135720"/>
    <s v="11/12/2017"/>
    <s v="13/12/2017"/>
    <s v="Second Class"/>
    <x v="240"/>
    <x v="240"/>
    <s v="Consumer"/>
    <x v="0"/>
    <s v="Aurora"/>
    <s v="Colorado"/>
    <n v="80013"/>
    <s v="West"/>
    <s v="OFF-ST-10001963"/>
    <s v="Office Supplies"/>
    <s v="Storage"/>
    <x v="240"/>
    <n v="243.38399999999999"/>
    <m/>
    <s v="Office Supplies"/>
    <s v="OS"/>
  </r>
  <r>
    <n v="636"/>
    <s v="CA-2016-168004"/>
    <s v="04/10/2016"/>
    <s v="09/10/2016"/>
    <s v="Second Class"/>
    <x v="241"/>
    <x v="241"/>
    <s v="Corporate"/>
    <x v="0"/>
    <s v="Warner Robins"/>
    <s v="Georgia"/>
    <n v="31088"/>
    <s v="South"/>
    <s v="FUR-CH-10001482"/>
    <s v="Furniture"/>
    <s v="Chairs"/>
    <x v="241"/>
    <n v="392.94"/>
    <m/>
    <s v="Cardbaord"/>
    <s v="cardbaord"/>
  </r>
  <r>
    <n v="637"/>
    <s v="US-2017-123470"/>
    <s v="15/08/2017"/>
    <s v="21/08/2017"/>
    <s v="Standard Class"/>
    <x v="242"/>
    <x v="242"/>
    <s v="Consumer"/>
    <x v="0"/>
    <s v="Aurora"/>
    <s v="Colorado"/>
    <n v="80013"/>
    <s v="West"/>
    <s v="OFF-BI-10001989"/>
    <s v="Office Supplies"/>
    <s v="Binders"/>
    <x v="242"/>
    <n v="18.882000000000001"/>
    <m/>
    <s v="Office Supplies"/>
    <s v="OS"/>
  </r>
  <r>
    <n v="641"/>
    <s v="CA-2017-147067"/>
    <s v="18/12/2017"/>
    <s v="22/12/2017"/>
    <s v="Standard Class"/>
    <x v="243"/>
    <x v="243"/>
    <s v="Corporate"/>
    <x v="0"/>
    <s v="Minneapolis"/>
    <s v="Minnesota"/>
    <n v="55407"/>
    <s v="Central"/>
    <s v="FUR-FU-10000732"/>
    <s v="Furniture"/>
    <s v="Furnishings"/>
    <x v="243"/>
    <n v="18.84"/>
    <m/>
    <s v="Cardbaord"/>
    <s v="cardbaord"/>
  </r>
  <r>
    <n v="642"/>
    <s v="CA-2018-167913"/>
    <s v="30/07/2018"/>
    <s v="03/08/2018"/>
    <s v="Second Class"/>
    <x v="244"/>
    <x v="244"/>
    <s v="Consumer"/>
    <x v="0"/>
    <s v="Mission Viejo"/>
    <s v="California"/>
    <n v="92691"/>
    <s v="West"/>
    <s v="OFF-ST-10000585"/>
    <s v="Office Supplies"/>
    <s v="Storage"/>
    <x v="244"/>
    <n v="330.4"/>
    <m/>
    <s v="Office Supplies"/>
    <s v="OS"/>
  </r>
  <r>
    <n v="646"/>
    <s v="CA-2018-126221"/>
    <s v="30/12/2018"/>
    <s v="05/01/2019"/>
    <s v="Standard Class"/>
    <x v="245"/>
    <x v="245"/>
    <s v="Home Office"/>
    <x v="0"/>
    <s v="Columbus"/>
    <s v="Indiana"/>
    <n v="47201"/>
    <s v="Central"/>
    <s v="OFF-AP-10002457"/>
    <s v="Office Supplies"/>
    <s v="Appliances"/>
    <x v="245"/>
    <n v="209.3"/>
    <m/>
    <s v="Office Supplies"/>
    <s v="OS"/>
  </r>
  <r>
    <n v="651"/>
    <s v="CA-2017-160745"/>
    <s v="11/12/2017"/>
    <s v="16/12/2017"/>
    <s v="Second Class"/>
    <x v="246"/>
    <x v="246"/>
    <s v="Corporate"/>
    <x v="0"/>
    <s v="Vancouver"/>
    <s v="Washington"/>
    <n v="98661"/>
    <s v="West"/>
    <s v="TEC-AC-10001142"/>
    <s v="Technology"/>
    <s v="Accessories"/>
    <x v="246"/>
    <n v="316"/>
    <m/>
    <s v="Technology"/>
    <s v="Technology"/>
  </r>
  <r>
    <n v="655"/>
    <s v="CA-2017-137239"/>
    <s v="22/08/2017"/>
    <s v="28/08/2017"/>
    <s v="Standard Class"/>
    <x v="247"/>
    <x v="247"/>
    <s v="Consumer"/>
    <x v="0"/>
    <s v="Columbus"/>
    <s v="Ohio"/>
    <n v="43229"/>
    <s v="East"/>
    <s v="OFF-AP-10002439"/>
    <s v="Office Supplies"/>
    <s v="Appliances"/>
    <x v="247"/>
    <n v="113.55200000000001"/>
    <m/>
    <s v="Office Supplies"/>
    <s v="OS"/>
  </r>
  <r>
    <n v="666"/>
    <s v="CA-2018-132682"/>
    <s v="08/06/2018"/>
    <s v="10/06/2018"/>
    <s v="Second Class"/>
    <x v="248"/>
    <x v="248"/>
    <s v="Corporate"/>
    <x v="0"/>
    <s v="Dallas"/>
    <s v="Texas"/>
    <n v="75081"/>
    <s v="Central"/>
    <s v="OFF-SU-10004231"/>
    <s v="Office Supplies"/>
    <s v="Supplies"/>
    <x v="248"/>
    <n v="23.76"/>
    <m/>
    <s v="Office Supplies"/>
    <s v="OS"/>
  </r>
  <r>
    <n v="669"/>
    <s v="CA-2015-156314"/>
    <s v="24/12/2015"/>
    <s v="26/12/2015"/>
    <s v="First Class"/>
    <x v="249"/>
    <x v="249"/>
    <s v="Consumer"/>
    <x v="0"/>
    <s v="Cleveland"/>
    <s v="Ohio"/>
    <n v="44105"/>
    <s v="East"/>
    <s v="FUR-FU-10003096"/>
    <s v="Furniture"/>
    <s v="Furnishings"/>
    <x v="249"/>
    <n v="30.36"/>
    <m/>
    <s v="Cardbaord"/>
    <s v="cardbaord"/>
  </r>
  <r>
    <n v="674"/>
    <s v="CA-2018-130351"/>
    <s v="05/12/2018"/>
    <s v="08/12/2018"/>
    <s v="First Class"/>
    <x v="250"/>
    <x v="250"/>
    <s v="Consumer"/>
    <x v="0"/>
    <s v="Columbus"/>
    <s v="Indiana"/>
    <n v="47201"/>
    <s v="Central"/>
    <s v="OFF-AP-10004532"/>
    <s v="Office Supplies"/>
    <s v="Appliances"/>
    <x v="250"/>
    <n v="61.44"/>
    <m/>
    <s v="Office Supplies"/>
    <s v="OS"/>
  </r>
  <r>
    <n v="677"/>
    <s v="US-2018-119438"/>
    <s v="18/03/2018"/>
    <s v="23/03/2018"/>
    <s v="Standard Class"/>
    <x v="251"/>
    <x v="251"/>
    <s v="Consumer"/>
    <x v="0"/>
    <s v="Tyler"/>
    <s v="Texas"/>
    <n v="75701"/>
    <s v="Central"/>
    <s v="OFF-AP-10000804"/>
    <s v="Office Supplies"/>
    <s v="Appliances"/>
    <x v="251"/>
    <n v="2.6880000000000002"/>
    <m/>
    <s v="Office Supplies"/>
    <s v="OS"/>
  </r>
  <r>
    <n v="681"/>
    <s v="CA-2017-164511"/>
    <s v="19/11/2017"/>
    <s v="24/11/2017"/>
    <s v="Standard Class"/>
    <x v="252"/>
    <x v="252"/>
    <s v="Consumer"/>
    <x v="0"/>
    <s v="New York City"/>
    <s v="New York"/>
    <n v="10024"/>
    <s v="East"/>
    <s v="OFF-BI-10003305"/>
    <s v="Office Supplies"/>
    <s v="Binders"/>
    <x v="252"/>
    <n v="14.352"/>
    <m/>
    <s v="Office Supplies"/>
    <s v="OS"/>
  </r>
  <r>
    <n v="684"/>
    <s v="US-2018-168116"/>
    <s v="04/11/2018"/>
    <s v="04/11/2018"/>
    <s v="Same Day"/>
    <x v="253"/>
    <x v="253"/>
    <s v="Corporate"/>
    <x v="0"/>
    <s v="Burlington"/>
    <s v="North Carolina"/>
    <n v="27217"/>
    <s v="South"/>
    <s v="TEC-MA-10004125"/>
    <s v="Technology"/>
    <s v="Machines"/>
    <x v="253"/>
    <n v="7999.98"/>
    <m/>
    <s v="Technology"/>
    <s v="Technology"/>
  </r>
  <r>
    <n v="687"/>
    <s v="CA-2015-157784"/>
    <s v="05/07/2015"/>
    <s v="08/07/2015"/>
    <s v="First Class"/>
    <x v="254"/>
    <x v="254"/>
    <s v="Consumer"/>
    <x v="0"/>
    <s v="Jackson"/>
    <s v="Mississippi"/>
    <n v="39212"/>
    <s v="South"/>
    <s v="OFF-LA-10001934"/>
    <s v="Office Supplies"/>
    <s v="Labels"/>
    <x v="254"/>
    <n v="14.62"/>
    <m/>
    <s v="Office Supplies"/>
    <s v="OS"/>
  </r>
  <r>
    <n v="689"/>
    <s v="CA-2018-161480"/>
    <s v="25/12/2018"/>
    <s v="29/12/2018"/>
    <s v="Standard Class"/>
    <x v="255"/>
    <x v="255"/>
    <s v="Consumer"/>
    <x v="0"/>
    <s v="New York City"/>
    <s v="New York"/>
    <n v="10035"/>
    <s v="East"/>
    <s v="FUR-BO-10004015"/>
    <s v="Furniture"/>
    <s v="Bookcases"/>
    <x v="255"/>
    <n v="191.98400000000001"/>
    <m/>
    <s v="Cardbaord"/>
    <s v="cardbaord"/>
  </r>
  <r>
    <n v="690"/>
    <s v="US-2015-117135"/>
    <s v="21/06/2015"/>
    <s v="23/06/2015"/>
    <s v="Second Class"/>
    <x v="256"/>
    <x v="256"/>
    <s v="Consumer"/>
    <x v="0"/>
    <s v="Waynesboro"/>
    <s v="Virginia"/>
    <n v="22980"/>
    <s v="South"/>
    <s v="FUR-FU-10004071"/>
    <s v="Furniture"/>
    <s v="Furnishings"/>
    <x v="256"/>
    <n v="104.01"/>
    <m/>
    <s v="Cardbaord"/>
    <s v="cardbaord"/>
  </r>
  <r>
    <n v="693"/>
    <s v="CA-2016-131534"/>
    <s v="28/03/2016"/>
    <s v="02/04/2016"/>
    <s v="Standard Class"/>
    <x v="257"/>
    <x v="257"/>
    <s v="Consumer"/>
    <x v="0"/>
    <s v="Los Angeles"/>
    <s v="California"/>
    <n v="90036"/>
    <s v="West"/>
    <s v="TEC-AC-10002253"/>
    <s v="Technology"/>
    <s v="Accessories"/>
    <x v="257"/>
    <n v="166.24"/>
    <m/>
    <s v="Technology"/>
    <s v="Technology"/>
  </r>
  <r>
    <n v="696"/>
    <s v="CA-2016-119291"/>
    <s v="14/05/2016"/>
    <s v="17/05/2016"/>
    <s v="First Class"/>
    <x v="258"/>
    <x v="258"/>
    <s v="Home Office"/>
    <x v="0"/>
    <s v="Chester"/>
    <s v="Pennsylvania"/>
    <n v="19013"/>
    <s v="East"/>
    <s v="OFF-LA-10002312"/>
    <s v="Office Supplies"/>
    <s v="Labels"/>
    <x v="258"/>
    <n v="47.36"/>
    <m/>
    <s v="Office Supplies"/>
    <s v="OS"/>
  </r>
  <r>
    <n v="704"/>
    <s v="CA-2016-142027"/>
    <s v="09/04/2016"/>
    <s v="14/04/2016"/>
    <s v="Standard Class"/>
    <x v="259"/>
    <x v="259"/>
    <s v="Consumer"/>
    <x v="0"/>
    <s v="Long Beach"/>
    <s v="California"/>
    <n v="90805"/>
    <s v="West"/>
    <s v="FUR-TA-10002774"/>
    <s v="Furniture"/>
    <s v="Tables"/>
    <x v="259"/>
    <n v="369.91199999999998"/>
    <m/>
    <s v="Cardbaord"/>
    <s v="cardbaord"/>
  </r>
  <r>
    <n v="705"/>
    <s v="CA-2015-138527"/>
    <s v="12/09/2015"/>
    <s v="17/09/2015"/>
    <s v="Standard Class"/>
    <x v="260"/>
    <x v="260"/>
    <s v="Corporate"/>
    <x v="0"/>
    <s v="Cary"/>
    <s v="North Carolina"/>
    <n v="27511"/>
    <s v="South"/>
    <s v="OFF-PA-10001800"/>
    <s v="Office Supplies"/>
    <s v="Paper"/>
    <x v="260"/>
    <n v="10.368"/>
    <m/>
    <s v="Office Supplies"/>
    <s v="OS"/>
  </r>
  <r>
    <n v="709"/>
    <s v="CA-2015-112158"/>
    <s v="02/12/2015"/>
    <s v="04/12/2015"/>
    <s v="First Class"/>
    <x v="261"/>
    <x v="261"/>
    <s v="Consumer"/>
    <x v="0"/>
    <s v="New York City"/>
    <s v="New York"/>
    <n v="10035"/>
    <s v="East"/>
    <s v="FUR-BO-10003272"/>
    <s v="Furniture"/>
    <s v="Bookcases"/>
    <x v="261"/>
    <n v="883.92"/>
    <m/>
    <s v="Cardbaord"/>
    <s v="cardbaord"/>
  </r>
  <r>
    <n v="712"/>
    <s v="CA-2018-146136"/>
    <s v="03/09/2018"/>
    <s v="07/09/2018"/>
    <s v="Standard Class"/>
    <x v="262"/>
    <x v="262"/>
    <s v="Consumer"/>
    <x v="0"/>
    <s v="Palm Coast"/>
    <s v="Florida"/>
    <n v="32137"/>
    <s v="South"/>
    <s v="OFF-EN-10001219"/>
    <s v="Office Supplies"/>
    <s v="Envelopes"/>
    <x v="262"/>
    <n v="24.448"/>
    <m/>
    <s v="Office Supplies"/>
    <s v="OS"/>
  </r>
  <r>
    <n v="713"/>
    <s v="US-2018-100048"/>
    <s v="19/05/2018"/>
    <s v="24/05/2018"/>
    <s v="Standard Class"/>
    <x v="263"/>
    <x v="263"/>
    <s v="Corporate"/>
    <x v="0"/>
    <s v="Mount Vernon"/>
    <s v="New York"/>
    <n v="10550"/>
    <s v="East"/>
    <s v="OFF-AP-10001154"/>
    <s v="Office Supplies"/>
    <s v="Appliances"/>
    <x v="263"/>
    <n v="281.33999999999997"/>
    <m/>
    <s v="Office Supplies"/>
    <s v="OS"/>
  </r>
  <r>
    <n v="721"/>
    <s v="CA-2017-112942"/>
    <s v="13/02/2017"/>
    <s v="18/02/2017"/>
    <s v="Standard Class"/>
    <x v="264"/>
    <x v="264"/>
    <s v="Home Office"/>
    <x v="0"/>
    <s v="Los Angeles"/>
    <s v="California"/>
    <n v="90045"/>
    <s v="West"/>
    <s v="OFF-PA-10004092"/>
    <s v="Office Supplies"/>
    <s v="Paper"/>
    <x v="264"/>
    <n v="146.82"/>
    <m/>
    <s v="Office Supplies"/>
    <s v="OS"/>
  </r>
  <r>
    <n v="724"/>
    <s v="CA-2015-117429"/>
    <s v="07/10/2015"/>
    <s v="13/10/2015"/>
    <s v="Standard Class"/>
    <x v="265"/>
    <x v="265"/>
    <s v="Home Office"/>
    <x v="0"/>
    <s v="Philadelphia"/>
    <s v="Pennsylvania"/>
    <n v="19140"/>
    <s v="East"/>
    <s v="FUR-FU-10000222"/>
    <s v="Furniture"/>
    <s v="Furnishings"/>
    <x v="265"/>
    <n v="129.91999999999999"/>
    <m/>
    <s v="Cardbaord"/>
    <s v="cardbaord"/>
  </r>
  <r>
    <n v="725"/>
    <s v="CA-2017-114713"/>
    <s v="07/07/2017"/>
    <s v="12/07/2017"/>
    <s v="Standard Class"/>
    <x v="266"/>
    <x v="266"/>
    <s v="Corporate"/>
    <x v="0"/>
    <s v="Hialeah"/>
    <s v="Florida"/>
    <n v="33012"/>
    <s v="South"/>
    <s v="OFF-SU-10004664"/>
    <s v="Office Supplies"/>
    <s v="Supplies"/>
    <x v="266"/>
    <n v="45.584000000000003"/>
    <m/>
    <s v="Office Supplies"/>
    <s v="OS"/>
  </r>
  <r>
    <n v="726"/>
    <s v="CA-2018-144113"/>
    <s v="16/09/2018"/>
    <s v="20/09/2018"/>
    <s v="Standard Class"/>
    <x v="267"/>
    <x v="267"/>
    <s v="Consumer"/>
    <x v="0"/>
    <s v="Austin"/>
    <s v="Texas"/>
    <n v="78745"/>
    <s v="Central"/>
    <s v="OFF-EN-10001141"/>
    <s v="Office Supplies"/>
    <s v="Envelopes"/>
    <x v="267"/>
    <n v="17.568000000000001"/>
    <m/>
    <s v="Office Supplies"/>
    <s v="OS"/>
  </r>
  <r>
    <n v="728"/>
    <s v="US-2017-150861"/>
    <s v="03/12/2017"/>
    <s v="06/12/2017"/>
    <s v="First Class"/>
    <x v="268"/>
    <x v="268"/>
    <s v="Consumer"/>
    <x v="0"/>
    <s v="Oceanside"/>
    <s v="New York"/>
    <n v="11572"/>
    <s v="East"/>
    <s v="OFF-PA-10001954"/>
    <s v="Office Supplies"/>
    <s v="Paper"/>
    <x v="268"/>
    <n v="182.72"/>
    <m/>
    <s v="Office Supplies"/>
    <s v="OS"/>
  </r>
  <r>
    <n v="734"/>
    <s v="CA-2018-131954"/>
    <s v="21/01/2018"/>
    <s v="25/01/2018"/>
    <s v="Standard Class"/>
    <x v="269"/>
    <x v="269"/>
    <s v="Home Office"/>
    <x v="0"/>
    <s v="Seattle"/>
    <s v="Washington"/>
    <n v="98115"/>
    <s v="West"/>
    <s v="TEC-AC-10003610"/>
    <s v="Technology"/>
    <s v="Accessories"/>
    <x v="269"/>
    <n v="179.97"/>
    <m/>
    <s v="Technology"/>
    <s v="Technology"/>
  </r>
  <r>
    <n v="740"/>
    <s v="CA-2015-112326"/>
    <s v="04/01/2015"/>
    <s v="08/01/2015"/>
    <s v="Standard Class"/>
    <x v="270"/>
    <x v="270"/>
    <s v="Home Office"/>
    <x v="0"/>
    <s v="Naperville"/>
    <s v="Illinois"/>
    <n v="60540"/>
    <s v="Central"/>
    <s v="OFF-LA-10003223"/>
    <s v="Office Supplies"/>
    <s v="Labels"/>
    <x v="270"/>
    <n v="11.784000000000001"/>
    <m/>
    <s v="Office Supplies"/>
    <s v="OS"/>
  </r>
  <r>
    <n v="745"/>
    <s v="US-2017-146710"/>
    <s v="27/08/2017"/>
    <s v="01/09/2017"/>
    <s v="Standard Class"/>
    <x v="271"/>
    <x v="271"/>
    <s v="Consumer"/>
    <x v="0"/>
    <s v="Dallas"/>
    <s v="Texas"/>
    <n v="75220"/>
    <s v="Central"/>
    <s v="OFF-PA-10004971"/>
    <s v="Office Supplies"/>
    <s v="Paper"/>
    <x v="271"/>
    <n v="4.6239999999999997"/>
    <m/>
    <s v="Office Supplies"/>
    <s v="OS"/>
  </r>
  <r>
    <n v="749"/>
    <s v="CA-2017-150889"/>
    <s v="20/03/2017"/>
    <s v="22/03/2017"/>
    <s v="Second Class"/>
    <x v="272"/>
    <x v="272"/>
    <s v="Consumer"/>
    <x v="0"/>
    <s v="Evanston"/>
    <s v="Illinois"/>
    <n v="60201"/>
    <s v="Central"/>
    <s v="TEC-PH-10000004"/>
    <s v="Technology"/>
    <s v="Phones"/>
    <x v="272"/>
    <n v="11.992000000000001"/>
    <m/>
    <s v="Technology"/>
    <s v="Technology"/>
  </r>
  <r>
    <n v="750"/>
    <s v="CA-2018-126074"/>
    <s v="02/10/2018"/>
    <s v="06/10/2018"/>
    <s v="Standard Class"/>
    <x v="273"/>
    <x v="273"/>
    <s v="Consumer"/>
    <x v="0"/>
    <s v="Trenton"/>
    <s v="Michigan"/>
    <n v="48183"/>
    <s v="Central"/>
    <s v="OFF-BI-10003638"/>
    <s v="Office Supplies"/>
    <s v="Binders"/>
    <x v="273"/>
    <n v="58.05"/>
    <m/>
    <s v="Office Supplies"/>
    <s v="OS"/>
  </r>
  <r>
    <n v="754"/>
    <s v="CA-2017-110499"/>
    <s v="07/04/2017"/>
    <s v="09/04/2017"/>
    <s v="First Class"/>
    <x v="274"/>
    <x v="274"/>
    <s v="Corporate"/>
    <x v="0"/>
    <s v="San Francisco"/>
    <s v="California"/>
    <n v="94110"/>
    <s v="West"/>
    <s v="TEC-CO-10002095"/>
    <s v="Technology"/>
    <s v="Copiers"/>
    <x v="274"/>
    <n v="1199.9760000000001"/>
    <m/>
    <s v="Technology"/>
    <s v="Technology"/>
  </r>
  <r>
    <n v="765"/>
    <s v="CA-2015-162775"/>
    <s v="13/01/2015"/>
    <s v="15/01/2015"/>
    <s v="Second Class"/>
    <x v="275"/>
    <x v="275"/>
    <s v="Corporate"/>
    <x v="0"/>
    <s v="Bossier City"/>
    <s v="Louisiana"/>
    <n v="71111"/>
    <s v="South"/>
    <s v="OFF-EN-10001532"/>
    <s v="Office Supplies"/>
    <s v="Envelopes"/>
    <x v="275"/>
    <n v="50.94"/>
    <m/>
    <s v="Office Supplies"/>
    <s v="OS"/>
  </r>
  <r>
    <n v="769"/>
    <s v="CA-2015-106810"/>
    <s v="14/05/2015"/>
    <s v="20/05/2015"/>
    <s v="Standard Class"/>
    <x v="276"/>
    <x v="276"/>
    <s v="Corporate"/>
    <x v="0"/>
    <s v="Saint Petersburg"/>
    <s v="Florida"/>
    <n v="33710"/>
    <s v="South"/>
    <s v="FUR-FU-10004306"/>
    <s v="Furniture"/>
    <s v="Furnishings"/>
    <x v="276"/>
    <n v="310.88"/>
    <m/>
    <s v="Cardbaord"/>
    <s v="cardbaord"/>
  </r>
  <r>
    <n v="771"/>
    <s v="CA-2018-104220"/>
    <s v="30/01/2018"/>
    <s v="05/02/2018"/>
    <s v="Standard Class"/>
    <x v="277"/>
    <x v="277"/>
    <s v="Corporate"/>
    <x v="0"/>
    <s v="Des Moines"/>
    <s v="Iowa"/>
    <n v="50315"/>
    <s v="Central"/>
    <s v="OFF-BI-10001036"/>
    <s v="Office Supplies"/>
    <s v="Binders"/>
    <x v="277"/>
    <n v="18.28"/>
    <m/>
    <s v="Office Supplies"/>
    <s v="OS"/>
  </r>
  <r>
    <n v="777"/>
    <s v="CA-2015-165974"/>
    <s v="29/06/2015"/>
    <s v="06/07/2015"/>
    <s v="Standard Class"/>
    <x v="278"/>
    <x v="278"/>
    <s v="Consumer"/>
    <x v="0"/>
    <s v="Cincinnati"/>
    <s v="Ohio"/>
    <n v="45231"/>
    <s v="East"/>
    <s v="OFF-AR-10003405"/>
    <s v="Office Supplies"/>
    <s v="Art"/>
    <x v="278"/>
    <n v="32.76"/>
    <m/>
    <s v="Office Supplies"/>
    <s v="OS"/>
  </r>
  <r>
    <n v="784"/>
    <s v="US-2016-157014"/>
    <s v="03/10/2016"/>
    <s v="06/10/2016"/>
    <s v="Second Class"/>
    <x v="279"/>
    <x v="279"/>
    <s v="Consumer"/>
    <x v="0"/>
    <s v="Columbus"/>
    <s v="Ohio"/>
    <n v="43229"/>
    <s v="East"/>
    <s v="FUR-BO-10004409"/>
    <s v="Furniture"/>
    <s v="Bookcases"/>
    <x v="279"/>
    <n v="35.49"/>
    <m/>
    <s v="Cardbaord"/>
    <s v="cardbaord"/>
  </r>
  <r>
    <n v="788"/>
    <s v="CA-2016-154620"/>
    <s v="12/12/2016"/>
    <s v="16/12/2016"/>
    <s v="Standard Class"/>
    <x v="280"/>
    <x v="280"/>
    <s v="Consumer"/>
    <x v="0"/>
    <s v="Lancaster"/>
    <s v="California"/>
    <n v="93534"/>
    <s v="West"/>
    <s v="FUR-CH-10004675"/>
    <s v="Furniture"/>
    <s v="Chairs"/>
    <x v="280"/>
    <n v="348.928"/>
    <m/>
    <s v="Cardbaord"/>
    <s v="cardbaord"/>
  </r>
  <r>
    <n v="793"/>
    <s v="CA-2017-105256"/>
    <s v="20/05/2017"/>
    <s v="20/05/2017"/>
    <s v="Same Day"/>
    <x v="281"/>
    <x v="281"/>
    <s v="Consumer"/>
    <x v="0"/>
    <s v="Asheville"/>
    <s v="North Carolina"/>
    <n v="28806"/>
    <s v="South"/>
    <s v="TEC-PH-10001530"/>
    <s v="Technology"/>
    <s v="Phones"/>
    <x v="281"/>
    <n v="1363.96"/>
    <m/>
    <s v="Technology"/>
    <s v="Technology"/>
  </r>
  <r>
    <n v="794"/>
    <s v="CA-2015-156433"/>
    <s v="20/09/2015"/>
    <s v="26/09/2015"/>
    <s v="Standard Class"/>
    <x v="282"/>
    <x v="282"/>
    <s v="Consumer"/>
    <x v="0"/>
    <s v="San Francisco"/>
    <s v="California"/>
    <n v="94110"/>
    <s v="West"/>
    <s v="OFF-LA-10001569"/>
    <s v="Office Supplies"/>
    <s v="Labels"/>
    <x v="282"/>
    <n v="9.9600000000000009"/>
    <m/>
    <s v="Office Supplies"/>
    <s v="OS"/>
  </r>
  <r>
    <n v="801"/>
    <s v="CA-2018-105809"/>
    <s v="20/02/2018"/>
    <s v="23/02/2018"/>
    <s v="First Class"/>
    <x v="283"/>
    <x v="283"/>
    <s v="Corporate"/>
    <x v="0"/>
    <s v="San Diego"/>
    <s v="California"/>
    <n v="92105"/>
    <s v="West"/>
    <s v="FUR-FU-10004090"/>
    <s v="Furniture"/>
    <s v="Furnishings"/>
    <x v="283"/>
    <n v="22.23"/>
    <m/>
    <s v="Cardbaord"/>
    <s v="cardbaord"/>
  </r>
  <r>
    <n v="804"/>
    <s v="CA-2017-115504"/>
    <s v="12/03/2017"/>
    <s v="17/03/2017"/>
    <s v="Standard Class"/>
    <x v="284"/>
    <x v="284"/>
    <s v="Corporate"/>
    <x v="0"/>
    <s v="Monroe"/>
    <s v="Louisiana"/>
    <n v="71203"/>
    <s v="South"/>
    <s v="OFF-PA-10003953"/>
    <s v="Office Supplies"/>
    <s v="Paper"/>
    <x v="284"/>
    <n v="12.96"/>
    <m/>
    <s v="Office Supplies"/>
    <s v="OS"/>
  </r>
  <r>
    <n v="805"/>
    <s v="CA-2018-135783"/>
    <s v="22/04/2018"/>
    <s v="24/04/2018"/>
    <s v="First Class"/>
    <x v="285"/>
    <x v="285"/>
    <s v="Consumer"/>
    <x v="0"/>
    <s v="San Francisco"/>
    <s v="California"/>
    <n v="94122"/>
    <s v="West"/>
    <s v="FUR-FU-10000794"/>
    <s v="Furniture"/>
    <s v="Furnishings"/>
    <x v="285"/>
    <n v="18.28"/>
    <m/>
    <s v="Cardbaord"/>
    <s v="cardbaord"/>
  </r>
  <r>
    <n v="815"/>
    <s v="CA-2018-143686"/>
    <s v="14/05/2018"/>
    <s v="14/05/2018"/>
    <s v="Same Day"/>
    <x v="286"/>
    <x v="286"/>
    <s v="Consumer"/>
    <x v="0"/>
    <s v="Santa Ana"/>
    <s v="California"/>
    <n v="92704"/>
    <s v="West"/>
    <s v="TEC-AC-10001838"/>
    <s v="Technology"/>
    <s v="Accessories"/>
    <x v="286"/>
    <n v="1399.93"/>
    <m/>
    <s v="Technology"/>
    <s v="Technology"/>
  </r>
  <r>
    <n v="823"/>
    <s v="CA-2018-101434"/>
    <s v="20/06/2018"/>
    <s v="27/06/2018"/>
    <s v="Standard Class"/>
    <x v="287"/>
    <x v="287"/>
    <s v="Consumer"/>
    <x v="0"/>
    <s v="Belleville"/>
    <s v="New Jersey"/>
    <n v="7109"/>
    <s v="East"/>
    <s v="TEC-AC-10002402"/>
    <s v="Technology"/>
    <s v="Accessories"/>
    <x v="287"/>
    <n v="239.97"/>
    <m/>
    <s v="Technology"/>
    <s v="Technology"/>
  </r>
  <r>
    <n v="825"/>
    <s v="US-2015-102071"/>
    <s v="09/05/2015"/>
    <s v="15/05/2015"/>
    <s v="Standard Class"/>
    <x v="288"/>
    <x v="288"/>
    <s v="Consumer"/>
    <x v="0"/>
    <s v="San Francisco"/>
    <s v="California"/>
    <n v="94110"/>
    <s v="West"/>
    <s v="TEC-AC-10003441"/>
    <s v="Technology"/>
    <s v="Accessories"/>
    <x v="288"/>
    <n v="67.8"/>
    <m/>
    <s v="Technology"/>
    <s v="Technology"/>
  </r>
  <r>
    <n v="837"/>
    <s v="US-2015-115987"/>
    <s v="08/09/2015"/>
    <s v="13/09/2015"/>
    <s v="Second Class"/>
    <x v="289"/>
    <x v="289"/>
    <s v="Consumer"/>
    <x v="0"/>
    <s v="Tyler"/>
    <s v="Texas"/>
    <n v="75701"/>
    <s v="Central"/>
    <s v="OFF-BI-10001071"/>
    <s v="Office Supplies"/>
    <s v="Binders"/>
    <x v="289"/>
    <n v="51.183999999999997"/>
    <m/>
    <s v="Office Supplies"/>
    <s v="OS"/>
  </r>
  <r>
    <n v="838"/>
    <s v="US-2018-156083"/>
    <s v="04/11/2018"/>
    <s v="11/11/2018"/>
    <s v="Standard Class"/>
    <x v="290"/>
    <x v="290"/>
    <s v="Home Office"/>
    <x v="0"/>
    <s v="Columbia"/>
    <s v="Tennessee"/>
    <n v="38401"/>
    <s v="South"/>
    <s v="OFF-PA-10001560"/>
    <s v="Office Supplies"/>
    <s v="Paper"/>
    <x v="290"/>
    <n v="9.6639999999999997"/>
    <m/>
    <s v="Office Supplies"/>
    <s v="OS"/>
  </r>
  <r>
    <n v="841"/>
    <s v="CA-2016-100454"/>
    <s v="20/11/2016"/>
    <s v="25/11/2016"/>
    <s v="Standard Class"/>
    <x v="291"/>
    <x v="291"/>
    <s v="Corporate"/>
    <x v="0"/>
    <s v="New York City"/>
    <s v="New York"/>
    <n v="10035"/>
    <s v="East"/>
    <s v="OFF-AR-10002578"/>
    <s v="Office Supplies"/>
    <s v="Art"/>
    <x v="291"/>
    <n v="11.52"/>
    <m/>
    <s v="Office Supplies"/>
    <s v="OS"/>
  </r>
  <r>
    <n v="843"/>
    <s v="CA-2017-161669"/>
    <s v="07/11/2017"/>
    <s v="09/11/2017"/>
    <s v="First Class"/>
    <x v="292"/>
    <x v="292"/>
    <s v="Corporate"/>
    <x v="0"/>
    <s v="Los Angeles"/>
    <s v="California"/>
    <n v="90036"/>
    <s v="West"/>
    <s v="OFF-BI-10001294"/>
    <s v="Office Supplies"/>
    <s v="Binders"/>
    <x v="292"/>
    <n v="37.44"/>
    <m/>
    <s v="Office Supplies"/>
    <s v="OS"/>
  </r>
  <r>
    <n v="849"/>
    <s v="CA-2018-107503"/>
    <s v="01/01/2018"/>
    <s v="06/01/2018"/>
    <s v="Standard Class"/>
    <x v="293"/>
    <x v="293"/>
    <s v="Consumer"/>
    <x v="0"/>
    <s v="Lorain"/>
    <s v="Ohio"/>
    <n v="44052"/>
    <s v="East"/>
    <s v="FUR-FU-10003878"/>
    <s v="Furniture"/>
    <s v="Furnishings"/>
    <x v="293"/>
    <n v="48.896000000000001"/>
    <m/>
    <s v="Cardbaord"/>
    <s v="cardbaord"/>
  </r>
  <r>
    <n v="850"/>
    <s v="CA-2015-107755"/>
    <s v="07/02/2015"/>
    <s v="12/02/2015"/>
    <s v="Standard Class"/>
    <x v="294"/>
    <x v="294"/>
    <s v="Corporate"/>
    <x v="0"/>
    <s v="Linden"/>
    <s v="New Jersey"/>
    <n v="7036"/>
    <s v="East"/>
    <s v="TEC-AC-10000710"/>
    <s v="Technology"/>
    <s v="Accessories"/>
    <x v="294"/>
    <n v="115.36"/>
    <m/>
    <s v="Technology"/>
    <s v="Technology"/>
  </r>
  <r>
    <n v="851"/>
    <s v="CA-2017-152534"/>
    <s v="20/06/2017"/>
    <s v="25/06/2017"/>
    <s v="Second Class"/>
    <x v="295"/>
    <x v="295"/>
    <s v="Corporate"/>
    <x v="0"/>
    <s v="Salinas"/>
    <s v="California"/>
    <n v="93905"/>
    <s v="West"/>
    <s v="OFF-AR-10002335"/>
    <s v="Office Supplies"/>
    <s v="Art"/>
    <x v="295"/>
    <n v="5.16"/>
    <m/>
    <s v="Office Supplies"/>
    <s v="OS"/>
  </r>
  <r>
    <n v="856"/>
    <s v="CA-2015-125612"/>
    <s v="03/08/2015"/>
    <s v="08/08/2015"/>
    <s v="Standard Class"/>
    <x v="296"/>
    <x v="296"/>
    <s v="Consumer"/>
    <x v="0"/>
    <s v="New York City"/>
    <s v="New York"/>
    <n v="10035"/>
    <s v="East"/>
    <s v="OFF-PA-10001019"/>
    <s v="Office Supplies"/>
    <s v="Paper"/>
    <x v="296"/>
    <n v="39.96"/>
    <m/>
    <s v="Office Supplies"/>
    <s v="OS"/>
  </r>
  <r>
    <n v="862"/>
    <s v="CA-2015-133851"/>
    <s v="09/06/2015"/>
    <s v="16/06/2015"/>
    <s v="Standard Class"/>
    <x v="297"/>
    <x v="297"/>
    <s v="Consumer"/>
    <x v="0"/>
    <s v="San Francisco"/>
    <s v="California"/>
    <n v="94122"/>
    <s v="West"/>
    <s v="OFF-AR-10003752"/>
    <s v="Office Supplies"/>
    <s v="Art"/>
    <x v="297"/>
    <n v="23.1"/>
    <m/>
    <s v="Office Supplies"/>
    <s v="OS"/>
  </r>
  <r>
    <n v="866"/>
    <s v="CA-2015-149020"/>
    <s v="10/01/2015"/>
    <s v="15/01/2015"/>
    <s v="Standard Class"/>
    <x v="298"/>
    <x v="298"/>
    <s v="Corporate"/>
    <x v="0"/>
    <s v="Springfield"/>
    <s v="Virginia"/>
    <n v="22153"/>
    <s v="South"/>
    <s v="OFF-LA-10004272"/>
    <s v="Office Supplies"/>
    <s v="Labels"/>
    <x v="298"/>
    <n v="2.89"/>
    <m/>
    <s v="Office Supplies"/>
    <s v="OS"/>
  </r>
  <r>
    <n v="868"/>
    <s v="CA-2017-134362"/>
    <s v="29/09/2017"/>
    <s v="02/10/2017"/>
    <s v="First Class"/>
    <x v="299"/>
    <x v="299"/>
    <s v="Corporate"/>
    <x v="0"/>
    <s v="Philadelphia"/>
    <s v="Pennsylvania"/>
    <n v="19140"/>
    <s v="East"/>
    <s v="OFF-LA-10004853"/>
    <s v="Office Supplies"/>
    <s v="Labels"/>
    <x v="299"/>
    <n v="15.936"/>
    <m/>
    <s v="Office Supplies"/>
    <s v="OS"/>
  </r>
  <r>
    <n v="869"/>
    <s v="CA-2015-136742"/>
    <s v="06/04/2015"/>
    <s v="10/04/2015"/>
    <s v="Standard Class"/>
    <x v="300"/>
    <x v="300"/>
    <s v="Corporate"/>
    <x v="0"/>
    <s v="Lancaster"/>
    <s v="Pennsylvania"/>
    <n v="17602"/>
    <s v="East"/>
    <s v="OFF-BI-10003719"/>
    <s v="Office Supplies"/>
    <s v="Binders"/>
    <x v="300"/>
    <n v="44.91"/>
    <m/>
    <s v="Office Supplies"/>
    <s v="OS"/>
  </r>
  <r>
    <n v="870"/>
    <s v="CA-2017-158099"/>
    <s v="03/09/2017"/>
    <s v="05/09/2017"/>
    <s v="First Class"/>
    <x v="301"/>
    <x v="301"/>
    <s v="Home Office"/>
    <x v="0"/>
    <s v="Philadelphia"/>
    <s v="Pennsylvania"/>
    <n v="19143"/>
    <s v="East"/>
    <s v="OFF-BI-10000545"/>
    <s v="Office Supplies"/>
    <s v="Binders"/>
    <x v="301"/>
    <n v="1141.47"/>
    <m/>
    <s v="Office Supplies"/>
    <s v="OS"/>
  </r>
  <r>
    <n v="879"/>
    <s v="US-2015-158638"/>
    <s v="17/09/2015"/>
    <s v="21/09/2015"/>
    <s v="Standard Class"/>
    <x v="302"/>
    <x v="302"/>
    <s v="Home Office"/>
    <x v="0"/>
    <s v="Philadelphia"/>
    <s v="Pennsylvania"/>
    <n v="19120"/>
    <s v="East"/>
    <s v="OFF-BI-10003712"/>
    <s v="Office Supplies"/>
    <s v="Binders"/>
    <x v="302"/>
    <n v="5.8920000000000003"/>
    <m/>
    <s v="Office Supplies"/>
    <s v="OS"/>
  </r>
  <r>
    <n v="885"/>
    <s v="CA-2015-134061"/>
    <s v="29/04/2015"/>
    <s v="04/05/2015"/>
    <s v="Standard Class"/>
    <x v="303"/>
    <x v="303"/>
    <s v="Consumer"/>
    <x v="0"/>
    <s v="Rochester"/>
    <s v="New York"/>
    <n v="14609"/>
    <s v="East"/>
    <s v="FUR-FU-10001424"/>
    <s v="Furniture"/>
    <s v="Furnishings"/>
    <x v="303"/>
    <n v="17.46"/>
    <m/>
    <s v="Cardbaord"/>
    <s v="cardbaord"/>
  </r>
  <r>
    <n v="886"/>
    <s v="CA-2016-143602"/>
    <s v="25/04/2016"/>
    <s v="28/04/2016"/>
    <s v="Second Class"/>
    <x v="304"/>
    <x v="304"/>
    <s v="Corporate"/>
    <x v="0"/>
    <s v="Los Angeles"/>
    <s v="California"/>
    <n v="90045"/>
    <s v="West"/>
    <s v="OFF-BI-10002071"/>
    <s v="Office Supplies"/>
    <s v="Binders"/>
    <x v="304"/>
    <n v="13.944000000000001"/>
    <m/>
    <s v="Office Supplies"/>
    <s v="OS"/>
  </r>
  <r>
    <n v="890"/>
    <s v="CA-2018-132934"/>
    <s v="20/06/2018"/>
    <s v="26/06/2018"/>
    <s v="Standard Class"/>
    <x v="305"/>
    <x v="305"/>
    <s v="Consumer"/>
    <x v="0"/>
    <s v="New Rochelle"/>
    <s v="New York"/>
    <n v="10801"/>
    <s v="East"/>
    <s v="TEC-AC-10000927"/>
    <s v="Technology"/>
    <s v="Accessories"/>
    <x v="305"/>
    <n v="149.94999999999999"/>
    <m/>
    <s v="Technology"/>
    <s v="Technology"/>
  </r>
  <r>
    <n v="892"/>
    <s v="CA-2018-133256"/>
    <s v="26/06/2018"/>
    <s v="27/06/2018"/>
    <s v="First Class"/>
    <x v="306"/>
    <x v="306"/>
    <s v="Home Office"/>
    <x v="0"/>
    <s v="Detroit"/>
    <s v="Michigan"/>
    <n v="48227"/>
    <s v="Central"/>
    <s v="OFF-PA-10001622"/>
    <s v="Office Supplies"/>
    <s v="Paper"/>
    <x v="306"/>
    <n v="4.54"/>
    <m/>
    <s v="Office Supplies"/>
    <s v="OS"/>
  </r>
  <r>
    <n v="896"/>
    <s v="CA-2017-105494"/>
    <s v="10/11/2017"/>
    <s v="12/11/2017"/>
    <s v="First Class"/>
    <x v="307"/>
    <x v="307"/>
    <s v="Corporate"/>
    <x v="0"/>
    <s v="San Francisco"/>
    <s v="California"/>
    <n v="94122"/>
    <s v="West"/>
    <s v="OFF-BI-10003364"/>
    <s v="Office Supplies"/>
    <s v="Binders"/>
    <x v="307"/>
    <n v="70.007999999999996"/>
    <m/>
    <s v="Office Supplies"/>
    <s v="OS"/>
  </r>
  <r>
    <n v="897"/>
    <s v="CA-2017-140634"/>
    <s v="03/10/2017"/>
    <s v="06/10/2017"/>
    <s v="Second Class"/>
    <x v="308"/>
    <x v="308"/>
    <s v="Consumer"/>
    <x v="0"/>
    <s v="Houston"/>
    <s v="Texas"/>
    <n v="77095"/>
    <s v="Central"/>
    <s v="OFF-EN-10001099"/>
    <s v="Office Supplies"/>
    <s v="Envelopes"/>
    <x v="72"/>
    <n v="15.648"/>
    <m/>
    <s v="Office Supplies"/>
    <s v="OS"/>
  </r>
  <r>
    <n v="899"/>
    <s v="CA-2018-160983"/>
    <s v="29/10/2018"/>
    <s v="31/10/2018"/>
    <s v="Second Class"/>
    <x v="309"/>
    <x v="309"/>
    <s v="Corporate"/>
    <x v="0"/>
    <s v="Auburn"/>
    <s v="New York"/>
    <n v="13021"/>
    <s v="East"/>
    <s v="OFF-PA-10002250"/>
    <s v="Office Supplies"/>
    <s v="Paper"/>
    <x v="308"/>
    <n v="46.96"/>
    <m/>
    <s v="Office Supplies"/>
    <s v="OS"/>
  </r>
  <r>
    <n v="900"/>
    <s v="US-2017-114622"/>
    <s v="10/04/2017"/>
    <s v="12/04/2017"/>
    <s v="First Class"/>
    <x v="310"/>
    <x v="310"/>
    <s v="Corporate"/>
    <x v="0"/>
    <s v="Springfield"/>
    <s v="Ohio"/>
    <n v="45503"/>
    <s v="East"/>
    <s v="OFF-BI-10004716"/>
    <s v="Office Supplies"/>
    <s v="Binders"/>
    <x v="309"/>
    <n v="8.9039999999999999"/>
    <m/>
    <s v="Office Supplies"/>
    <s v="OS"/>
  </r>
  <r>
    <n v="910"/>
    <s v="CA-2018-137596"/>
    <s v="02/09/2018"/>
    <s v="07/09/2018"/>
    <s v="Standard Class"/>
    <x v="311"/>
    <x v="311"/>
    <s v="Home Office"/>
    <x v="0"/>
    <s v="Jackson"/>
    <s v="Michigan"/>
    <n v="49201"/>
    <s v="Central"/>
    <s v="TEC-PH-10001494"/>
    <s v="Technology"/>
    <s v="Phones"/>
    <x v="310"/>
    <n v="1199.8"/>
    <m/>
    <s v="Technology"/>
    <s v="Technology"/>
  </r>
  <r>
    <n v="920"/>
    <s v="CA-2017-165218"/>
    <s v="05/03/2017"/>
    <s v="11/03/2017"/>
    <s v="Standard Class"/>
    <x v="312"/>
    <x v="312"/>
    <s v="Corporate"/>
    <x v="0"/>
    <s v="Dallas"/>
    <s v="Texas"/>
    <n v="75220"/>
    <s v="Central"/>
    <s v="OFF-ST-10001558"/>
    <s v="Office Supplies"/>
    <s v="Storage"/>
    <x v="311"/>
    <n v="12.992000000000001"/>
    <m/>
    <s v="Office Supplies"/>
    <s v="OS"/>
  </r>
  <r>
    <n v="922"/>
    <s v="CA-2016-111164"/>
    <s v="11/04/2016"/>
    <s v="15/04/2016"/>
    <s v="Standard Class"/>
    <x v="313"/>
    <x v="313"/>
    <s v="Consumer"/>
    <x v="0"/>
    <s v="New York City"/>
    <s v="New York"/>
    <n v="10009"/>
    <s v="East"/>
    <s v="TEC-AC-10002473"/>
    <s v="Technology"/>
    <s v="Accessories"/>
    <x v="312"/>
    <n v="85.14"/>
    <m/>
    <s v="Technology"/>
    <s v="Technology"/>
  </r>
  <r>
    <n v="926"/>
    <s v="CA-2015-132962"/>
    <s v="13/09/2015"/>
    <s v="16/09/2015"/>
    <s v="First Class"/>
    <x v="314"/>
    <x v="314"/>
    <s v="Consumer"/>
    <x v="0"/>
    <s v="Philadelphia"/>
    <s v="Pennsylvania"/>
    <n v="19143"/>
    <s v="East"/>
    <s v="OFF-PA-10003543"/>
    <s v="Office Supplies"/>
    <s v="Paper"/>
    <x v="313"/>
    <n v="15.552"/>
    <m/>
    <s v="Office Supplies"/>
    <s v="OS"/>
  </r>
  <r>
    <n v="933"/>
    <s v="CA-2018-114216"/>
    <s v="02/09/2018"/>
    <s v="06/09/2018"/>
    <s v="Standard Class"/>
    <x v="315"/>
    <x v="315"/>
    <s v="Consumer"/>
    <x v="0"/>
    <s v="Philadelphia"/>
    <s v="Pennsylvania"/>
    <n v="19140"/>
    <s v="East"/>
    <s v="OFF-PA-10002195"/>
    <s v="Office Supplies"/>
    <s v="Paper"/>
    <x v="314"/>
    <n v="12.192"/>
    <m/>
    <s v="Office Supplies"/>
    <s v="OS"/>
  </r>
  <r>
    <n v="934"/>
    <s v="CA-2017-140081"/>
    <s v="20/06/2017"/>
    <s v="24/06/2017"/>
    <s v="Standard Class"/>
    <x v="316"/>
    <x v="316"/>
    <s v="Home Office"/>
    <x v="0"/>
    <s v="Philadelphia"/>
    <s v="Pennsylvania"/>
    <n v="19120"/>
    <s v="East"/>
    <s v="OFF-PA-10001745"/>
    <s v="Office Supplies"/>
    <s v="Paper"/>
    <x v="315"/>
    <n v="45.055999999999997"/>
    <m/>
    <s v="Office Supplies"/>
    <s v="OS"/>
  </r>
  <r>
    <n v="939"/>
    <s v="CA-2016-148250"/>
    <s v="13/12/2016"/>
    <s v="17/12/2016"/>
    <s v="Standard Class"/>
    <x v="317"/>
    <x v="317"/>
    <s v="Corporate"/>
    <x v="0"/>
    <s v="Riverside"/>
    <s v="California"/>
    <n v="92503"/>
    <s v="West"/>
    <s v="OFF-PA-10000289"/>
    <s v="Office Supplies"/>
    <s v="Paper"/>
    <x v="316"/>
    <n v="12.96"/>
    <m/>
    <s v="Office Supplies"/>
    <s v="OS"/>
  </r>
  <r>
    <n v="941"/>
    <s v="CA-2017-105760"/>
    <s v="19/06/2017"/>
    <s v="20/06/2017"/>
    <s v="First Class"/>
    <x v="318"/>
    <x v="318"/>
    <s v="Corporate"/>
    <x v="0"/>
    <s v="San Francisco"/>
    <s v="California"/>
    <n v="94110"/>
    <s v="West"/>
    <s v="OFF-PA-10000350"/>
    <s v="Office Supplies"/>
    <s v="Paper"/>
    <x v="317"/>
    <n v="17.12"/>
    <m/>
    <s v="Office Supplies"/>
    <s v="OS"/>
  </r>
  <r>
    <n v="953"/>
    <s v="CA-2018-131156"/>
    <s v="03/04/2018"/>
    <s v="07/04/2018"/>
    <s v="Standard Class"/>
    <x v="319"/>
    <x v="319"/>
    <s v="Consumer"/>
    <x v="0"/>
    <s v="Philadelphia"/>
    <s v="Pennsylvania"/>
    <n v="19143"/>
    <s v="East"/>
    <s v="FUR-FU-10001940"/>
    <s v="Furniture"/>
    <s v="Furnishings"/>
    <x v="318"/>
    <n v="25.472000000000001"/>
    <m/>
    <s v="Cardbaord"/>
    <s v="cardbaord"/>
  </r>
  <r>
    <n v="958"/>
    <s v="CA-2018-102414"/>
    <s v="15/05/2018"/>
    <s v="18/05/2018"/>
    <s v="Second Class"/>
    <x v="320"/>
    <x v="320"/>
    <s v="Consumer"/>
    <x v="0"/>
    <s v="Phoenix"/>
    <s v="Arizona"/>
    <n v="85023"/>
    <s v="West"/>
    <s v="OFF-BI-10004465"/>
    <s v="Office Supplies"/>
    <s v="Binders"/>
    <x v="319"/>
    <n v="4.7519999999999998"/>
    <m/>
    <s v="Office Supplies"/>
    <s v="OS"/>
  </r>
  <r>
    <n v="960"/>
    <s v="CA-2016-112571"/>
    <s v="22/09/2016"/>
    <s v="22/09/2016"/>
    <s v="Same Day"/>
    <x v="321"/>
    <x v="321"/>
    <s v="Consumer"/>
    <x v="0"/>
    <s v="Oceanside"/>
    <s v="California"/>
    <n v="92054"/>
    <s v="West"/>
    <s v="FUR-FU-10004188"/>
    <s v="Furniture"/>
    <s v="Furnishings"/>
    <x v="320"/>
    <n v="204.6"/>
    <m/>
    <s v="Cardbaord"/>
    <s v="cardbaord"/>
  </r>
  <r>
    <n v="962"/>
    <s v="CA-2016-160059"/>
    <s v="27/11/2016"/>
    <s v="01/12/2016"/>
    <s v="Standard Class"/>
    <x v="322"/>
    <x v="322"/>
    <s v="Home Office"/>
    <x v="0"/>
    <s v="Fayetteville"/>
    <s v="Arkansas"/>
    <n v="72701"/>
    <s v="South"/>
    <s v="OFF-BI-10000145"/>
    <s v="Office Supplies"/>
    <s v="Binders"/>
    <x v="321"/>
    <n v="6.24"/>
    <m/>
    <s v="Office Supplies"/>
    <s v="OS"/>
  </r>
  <r>
    <n v="964"/>
    <s v="CA-2015-127488"/>
    <s v="22/09/2015"/>
    <s v="24/09/2015"/>
    <s v="Second Class"/>
    <x v="323"/>
    <x v="323"/>
    <s v="Consumer"/>
    <x v="0"/>
    <s v="Boca Raton"/>
    <s v="Florida"/>
    <n v="33433"/>
    <s v="South"/>
    <s v="OFF-LA-10001613"/>
    <s v="Office Supplies"/>
    <s v="Labels"/>
    <x v="322"/>
    <n v="4.6079999999999997"/>
    <m/>
    <s v="Office Supplies"/>
    <s v="OS"/>
  </r>
  <r>
    <n v="965"/>
    <s v="CA-2018-135279"/>
    <s v="09/04/2018"/>
    <s v="11/04/2018"/>
    <s v="First Class"/>
    <x v="324"/>
    <x v="324"/>
    <s v="Home Office"/>
    <x v="0"/>
    <s v="New York City"/>
    <s v="New York"/>
    <n v="10011"/>
    <s v="East"/>
    <s v="OFF-LA-10004055"/>
    <s v="Office Supplies"/>
    <s v="Labels"/>
    <x v="323"/>
    <n v="9.82"/>
    <m/>
    <s v="Office Supplies"/>
    <s v="OS"/>
  </r>
  <r>
    <n v="982"/>
    <s v="CA-2015-163419"/>
    <s v="11/11/2015"/>
    <s v="14/11/2015"/>
    <s v="Second Class"/>
    <x v="325"/>
    <x v="325"/>
    <s v="Consumer"/>
    <x v="0"/>
    <s v="Louisville"/>
    <s v="Colorado"/>
    <n v="80027"/>
    <s v="West"/>
    <s v="OFF-AR-10000034"/>
    <s v="Office Supplies"/>
    <s v="Art"/>
    <x v="324"/>
    <n v="3.3919999999999999"/>
    <m/>
    <s v="Office Supplies"/>
    <s v="OS"/>
  </r>
  <r>
    <n v="986"/>
    <s v="CA-2018-100314"/>
    <s v="29/09/2018"/>
    <s v="05/10/2018"/>
    <s v="Standard Class"/>
    <x v="326"/>
    <x v="326"/>
    <s v="Home Office"/>
    <x v="0"/>
    <s v="Pasadena"/>
    <s v="Texas"/>
    <n v="77506"/>
    <s v="Central"/>
    <s v="OFF-EN-10000461"/>
    <s v="Office Supplies"/>
    <s v="Envelopes"/>
    <x v="325"/>
    <n v="27.968"/>
    <m/>
    <s v="Office Supplies"/>
    <s v="OS"/>
  </r>
  <r>
    <n v="988"/>
    <s v="CA-2016-146829"/>
    <s v="10/03/2016"/>
    <s v="10/03/2016"/>
    <s v="Same Day"/>
    <x v="327"/>
    <x v="327"/>
    <s v="Consumer"/>
    <x v="0"/>
    <s v="Houston"/>
    <s v="Texas"/>
    <n v="77041"/>
    <s v="Central"/>
    <s v="OFF-BI-10004022"/>
    <s v="Office Supplies"/>
    <s v="Binders"/>
    <x v="326"/>
    <n v="1.1120000000000001"/>
    <m/>
    <s v="Office Supplies"/>
    <s v="OS"/>
  </r>
  <r>
    <n v="995"/>
    <s v="CA-2015-117639"/>
    <s v="21/05/2015"/>
    <s v="25/05/2015"/>
    <s v="Standard Class"/>
    <x v="328"/>
    <x v="328"/>
    <s v="Corporate"/>
    <x v="0"/>
    <s v="Virginia Beach"/>
    <s v="Virginia"/>
    <n v="23464"/>
    <s v="South"/>
    <s v="OFF-BI-10003925"/>
    <s v="Office Supplies"/>
    <s v="Binders"/>
    <x v="327"/>
    <n v="2715.93"/>
    <m/>
    <s v="Office Supplies"/>
    <s v="OS"/>
  </r>
  <r>
    <n v="997"/>
    <s v="CA-2016-162537"/>
    <s v="28/10/2016"/>
    <s v="03/11/2016"/>
    <s v="Standard Class"/>
    <x v="329"/>
    <x v="329"/>
    <s v="Consumer"/>
    <x v="0"/>
    <s v="Henderson"/>
    <s v="Kentucky"/>
    <n v="42420"/>
    <s v="South"/>
    <s v="OFF-EN-10003862"/>
    <s v="Office Supplies"/>
    <s v="Envelopes"/>
    <x v="328"/>
    <n v="10.67"/>
    <m/>
    <s v="Office Supplies"/>
    <s v="OS"/>
  </r>
  <r>
    <n v="1002"/>
    <s v="CA-2016-124891"/>
    <s v="31/07/2016"/>
    <s v="31/07/2016"/>
    <s v="Same Day"/>
    <x v="330"/>
    <x v="330"/>
    <s v="Consumer"/>
    <x v="0"/>
    <s v="New York City"/>
    <s v="New York"/>
    <n v="10024"/>
    <s v="East"/>
    <s v="TEC-AC-10003033"/>
    <s v="Technology"/>
    <s v="Accessories"/>
    <x v="329"/>
    <n v="2309.65"/>
    <m/>
    <s v="Technology"/>
    <s v="Technology"/>
  </r>
  <r>
    <n v="1005"/>
    <s v="CA-2016-126445"/>
    <s v="27/08/2016"/>
    <s v="31/08/2016"/>
    <s v="Standard Class"/>
    <x v="331"/>
    <x v="331"/>
    <s v="Consumer"/>
    <x v="0"/>
    <s v="Murrieta"/>
    <s v="California"/>
    <n v="92563"/>
    <s v="West"/>
    <s v="OFF-ST-10000046"/>
    <s v="Office Supplies"/>
    <s v="Storage"/>
    <x v="330"/>
    <n v="484.65"/>
    <m/>
    <s v="Office Supplies"/>
    <s v="OS"/>
  </r>
  <r>
    <n v="1008"/>
    <s v="CA-2016-105312"/>
    <s v="06/11/2016"/>
    <s v="09/11/2016"/>
    <s v="First Class"/>
    <x v="332"/>
    <x v="332"/>
    <s v="Consumer"/>
    <x v="0"/>
    <s v="Scottsdale"/>
    <s v="Arizona"/>
    <n v="85254"/>
    <s v="West"/>
    <s v="OFF-BI-10002049"/>
    <s v="Office Supplies"/>
    <s v="Binders"/>
    <x v="331"/>
    <n v="4.4009999999999998"/>
    <m/>
    <s v="Office Supplies"/>
    <s v="OS"/>
  </r>
  <r>
    <n v="1011"/>
    <s v="CA-2015-158540"/>
    <s v="24/11/2015"/>
    <s v="26/11/2015"/>
    <s v="First Class"/>
    <x v="333"/>
    <x v="333"/>
    <s v="Consumer"/>
    <x v="0"/>
    <s v="San Diego"/>
    <s v="California"/>
    <n v="92037"/>
    <s v="West"/>
    <s v="FUR-FU-10001602"/>
    <s v="Furniture"/>
    <s v="Furnishings"/>
    <x v="332"/>
    <n v="151.72"/>
    <m/>
    <s v="Cardbaord"/>
    <s v="cardbaord"/>
  </r>
  <r>
    <n v="1015"/>
    <s v="US-2016-126214"/>
    <s v="21/12/2016"/>
    <s v="24/12/2016"/>
    <s v="Second Class"/>
    <x v="334"/>
    <x v="334"/>
    <s v="Consumer"/>
    <x v="0"/>
    <s v="Seattle"/>
    <s v="Washington"/>
    <n v="98103"/>
    <s v="West"/>
    <s v="TEC-AC-10003198"/>
    <s v="Technology"/>
    <s v="Accessories"/>
    <x v="333"/>
    <n v="99.6"/>
    <m/>
    <s v="Technology"/>
    <s v="Technology"/>
  </r>
  <r>
    <n v="1017"/>
    <s v="CA-2016-108665"/>
    <s v="06/07/2016"/>
    <s v="10/07/2016"/>
    <s v="Standard Class"/>
    <x v="335"/>
    <x v="335"/>
    <s v="Corporate"/>
    <x v="0"/>
    <s v="New York City"/>
    <s v="New York"/>
    <n v="10011"/>
    <s v="East"/>
    <s v="FUR-FU-10002191"/>
    <s v="Furniture"/>
    <s v="Furnishings"/>
    <x v="334"/>
    <n v="13.96"/>
    <m/>
    <s v="Cardbaord"/>
    <s v="cardbaord"/>
  </r>
  <r>
    <n v="1025"/>
    <s v="CA-2018-106964"/>
    <s v="17/12/2018"/>
    <s v="20/12/2018"/>
    <s v="First Class"/>
    <x v="336"/>
    <x v="336"/>
    <s v="Home Office"/>
    <x v="0"/>
    <s v="Los Angeles"/>
    <s v="California"/>
    <n v="90045"/>
    <s v="West"/>
    <s v="OFF-BI-10000320"/>
    <s v="Office Supplies"/>
    <s v="Binders"/>
    <x v="335"/>
    <n v="11.808"/>
    <m/>
    <s v="Office Supplies"/>
    <s v="OS"/>
  </r>
  <r>
    <n v="1026"/>
    <s v="CA-2017-126529"/>
    <s v="11/01/2017"/>
    <s v="13/01/2017"/>
    <s v="Second Class"/>
    <x v="337"/>
    <x v="337"/>
    <s v="Home Office"/>
    <x v="0"/>
    <s v="Springfield"/>
    <s v="Ohio"/>
    <n v="45503"/>
    <s v="East"/>
    <s v="OFF-PA-10001166"/>
    <s v="Office Supplies"/>
    <s v="Paper"/>
    <x v="336"/>
    <n v="15.552"/>
    <m/>
    <s v="Office Supplies"/>
    <s v="OS"/>
  </r>
  <r>
    <n v="1034"/>
    <s v="CA-2017-109820"/>
    <s v="20/11/2017"/>
    <s v="22/11/2017"/>
    <s v="First Class"/>
    <x v="338"/>
    <x v="338"/>
    <s v="Consumer"/>
    <x v="0"/>
    <s v="Cincinnati"/>
    <s v="Ohio"/>
    <n v="45231"/>
    <s v="East"/>
    <s v="OFF-PA-10000955"/>
    <s v="Office Supplies"/>
    <s v="Paper"/>
    <x v="337"/>
    <n v="15.696"/>
    <m/>
    <s v="Office Supplies"/>
    <s v="OS"/>
  </r>
  <r>
    <n v="1037"/>
    <s v="CA-2017-113061"/>
    <s v="22/04/2017"/>
    <s v="26/04/2017"/>
    <s v="Standard Class"/>
    <x v="339"/>
    <x v="339"/>
    <s v="Home Office"/>
    <x v="0"/>
    <s v="Jefferson City"/>
    <s v="Missouri"/>
    <n v="65109"/>
    <s v="Central"/>
    <s v="FUR-FU-10003975"/>
    <s v="Furniture"/>
    <s v="Furnishings"/>
    <x v="338"/>
    <n v="86.62"/>
    <m/>
    <s v="Cardbaord"/>
    <s v="cardbaord"/>
  </r>
  <r>
    <n v="1038"/>
    <s v="CA-2016-127418"/>
    <s v="13/06/2016"/>
    <s v="14/06/2016"/>
    <s v="First Class"/>
    <x v="340"/>
    <x v="340"/>
    <s v="Consumer"/>
    <x v="0"/>
    <s v="Los Angeles"/>
    <s v="California"/>
    <n v="90004"/>
    <s v="West"/>
    <s v="OFF-BI-10003707"/>
    <s v="Office Supplies"/>
    <s v="Binders"/>
    <x v="339"/>
    <n v="36.624000000000002"/>
    <m/>
    <s v="Office Supplies"/>
    <s v="OS"/>
  </r>
  <r>
    <n v="1039"/>
    <s v="CA-2018-121818"/>
    <s v="20/11/2018"/>
    <s v="21/11/2018"/>
    <s v="First Class"/>
    <x v="341"/>
    <x v="341"/>
    <s v="Consumer"/>
    <x v="0"/>
    <s v="Burlington"/>
    <s v="North Carolina"/>
    <n v="27217"/>
    <s v="South"/>
    <s v="OFF-AR-10000203"/>
    <s v="Office Supplies"/>
    <s v="Art"/>
    <x v="340"/>
    <n v="23.968"/>
    <m/>
    <s v="Office Supplies"/>
    <s v="OS"/>
  </r>
  <r>
    <n v="1042"/>
    <s v="CA-2017-102981"/>
    <s v="06/09/2017"/>
    <s v="09/09/2017"/>
    <s v="Second Class"/>
    <x v="342"/>
    <x v="342"/>
    <s v="Consumer"/>
    <x v="0"/>
    <s v="New York City"/>
    <s v="New York"/>
    <n v="10035"/>
    <s v="East"/>
    <s v="TEC-AC-10004761"/>
    <s v="Technology"/>
    <s v="Accessories"/>
    <x v="341"/>
    <n v="31.86"/>
    <m/>
    <s v="Technology"/>
    <s v="Technology"/>
  </r>
  <r>
    <n v="1044"/>
    <s v="CA-2018-115651"/>
    <s v="09/07/2018"/>
    <s v="12/07/2018"/>
    <s v="First Class"/>
    <x v="343"/>
    <x v="343"/>
    <s v="Corporate"/>
    <x v="0"/>
    <s v="Chicago"/>
    <s v="Illinois"/>
    <n v="60610"/>
    <s v="Central"/>
    <s v="OFF-AR-10001130"/>
    <s v="Office Supplies"/>
    <s v="Art"/>
    <x v="342"/>
    <n v="8.84"/>
    <m/>
    <s v="Office Supplies"/>
    <s v="OS"/>
  </r>
  <r>
    <n v="1051"/>
    <s v="US-2016-153500"/>
    <s v="03/07/2016"/>
    <s v="05/07/2016"/>
    <s v="First Class"/>
    <x v="344"/>
    <x v="344"/>
    <s v="Corporate"/>
    <x v="0"/>
    <s v="Philadelphia"/>
    <s v="Pennsylvania"/>
    <n v="19134"/>
    <s v="East"/>
    <s v="FUR-FU-10000293"/>
    <s v="Furniture"/>
    <s v="Furnishings"/>
    <x v="343"/>
    <n v="168.464"/>
    <m/>
    <s v="Cardbaord"/>
    <s v="cardbaord"/>
  </r>
  <r>
    <n v="1054"/>
    <s v="CA-2016-110667"/>
    <s v="04/04/2016"/>
    <s v="08/04/2016"/>
    <s v="Standard Class"/>
    <x v="345"/>
    <x v="345"/>
    <s v="Home Office"/>
    <x v="0"/>
    <s v="New York City"/>
    <s v="New York"/>
    <n v="10009"/>
    <s v="East"/>
    <s v="OFF-AR-10000716"/>
    <s v="Office Supplies"/>
    <s v="Art"/>
    <x v="344"/>
    <n v="11.16"/>
    <m/>
    <s v="Office Supplies"/>
    <s v="OS"/>
  </r>
  <r>
    <n v="1060"/>
    <s v="CA-2017-105284"/>
    <s v="24/11/2017"/>
    <s v="01/12/2017"/>
    <s v="Standard Class"/>
    <x v="346"/>
    <x v="346"/>
    <s v="Home Office"/>
    <x v="0"/>
    <s v="Philadelphia"/>
    <s v="Pennsylvania"/>
    <n v="19143"/>
    <s v="East"/>
    <s v="OFF-FA-10001754"/>
    <s v="Office Supplies"/>
    <s v="Fasteners"/>
    <x v="345"/>
    <n v="4.4160000000000004"/>
    <m/>
    <s v="Office Supplies"/>
    <s v="OS"/>
  </r>
  <r>
    <n v="1063"/>
    <s v="CA-2016-161263"/>
    <s v="16/04/2016"/>
    <s v="21/04/2016"/>
    <s v="Standard Class"/>
    <x v="347"/>
    <x v="347"/>
    <s v="Corporate"/>
    <x v="0"/>
    <s v="Toledo"/>
    <s v="Ohio"/>
    <n v="43615"/>
    <s v="East"/>
    <s v="OFF-FA-10004838"/>
    <s v="Office Supplies"/>
    <s v="Fasteners"/>
    <x v="346"/>
    <n v="10.416"/>
    <m/>
    <s v="Office Supplies"/>
    <s v="OS"/>
  </r>
  <r>
    <n v="1073"/>
    <s v="CA-2018-106943"/>
    <s v="14/11/2018"/>
    <s v="19/11/2018"/>
    <s v="Standard Class"/>
    <x v="348"/>
    <x v="348"/>
    <s v="Consumer"/>
    <x v="0"/>
    <s v="New York City"/>
    <s v="New York"/>
    <n v="10035"/>
    <s v="East"/>
    <s v="OFF-BI-10003669"/>
    <s v="Office Supplies"/>
    <s v="Binders"/>
    <x v="347"/>
    <n v="8.64"/>
    <m/>
    <s v="Office Supplies"/>
    <s v="OS"/>
  </r>
  <r>
    <n v="1074"/>
    <s v="CA-2017-134348"/>
    <s v="12/11/2017"/>
    <s v="19/11/2017"/>
    <s v="Standard Class"/>
    <x v="349"/>
    <x v="349"/>
    <s v="Consumer"/>
    <x v="0"/>
    <s v="Mesa"/>
    <s v="Arizona"/>
    <n v="85204"/>
    <s v="West"/>
    <s v="OFF-BI-10003727"/>
    <s v="Office Supplies"/>
    <s v="Binders"/>
    <x v="348"/>
    <n v="6.27"/>
    <m/>
    <s v="Office Supplies"/>
    <s v="OS"/>
  </r>
  <r>
    <n v="1077"/>
    <s v="CA-2017-161781"/>
    <s v="29/09/2017"/>
    <s v="30/09/2017"/>
    <s v="First Class"/>
    <x v="350"/>
    <x v="350"/>
    <s v="Home Office"/>
    <x v="0"/>
    <s v="Columbus"/>
    <s v="Indiana"/>
    <n v="47201"/>
    <s v="Central"/>
    <s v="OFF-AR-10000255"/>
    <s v="Office Supplies"/>
    <s v="Art"/>
    <x v="349"/>
    <n v="40.880000000000003"/>
    <m/>
    <s v="Office Supplies"/>
    <s v="OS"/>
  </r>
  <r>
    <n v="1078"/>
    <s v="CA-2018-132521"/>
    <s v="23/09/2018"/>
    <s v="25/09/2018"/>
    <s v="Second Class"/>
    <x v="351"/>
    <x v="351"/>
    <s v="Consumer"/>
    <x v="0"/>
    <s v="Seattle"/>
    <s v="Washington"/>
    <n v="98105"/>
    <s v="West"/>
    <s v="OFF-AP-10002191"/>
    <s v="Office Supplies"/>
    <s v="Appliances"/>
    <x v="350"/>
    <n v="119.96"/>
    <m/>
    <s v="Office Supplies"/>
    <s v="OS"/>
  </r>
  <r>
    <n v="1081"/>
    <s v="CA-2016-110016"/>
    <s v="29/11/2016"/>
    <s v="04/12/2016"/>
    <s v="Standard Class"/>
    <x v="352"/>
    <x v="352"/>
    <s v="Corporate"/>
    <x v="0"/>
    <s v="Detroit"/>
    <s v="Michigan"/>
    <n v="48227"/>
    <s v="Central"/>
    <s v="OFF-PA-10000349"/>
    <s v="Office Supplies"/>
    <s v="Paper"/>
    <x v="14"/>
    <n v="19.920000000000002"/>
    <m/>
    <s v="Office Supplies"/>
    <s v="OS"/>
  </r>
  <r>
    <n v="1089"/>
    <s v="CA-2017-166163"/>
    <s v="15/08/2017"/>
    <s v="20/08/2017"/>
    <s v="Second Class"/>
    <x v="353"/>
    <x v="353"/>
    <s v="Corporate"/>
    <x v="0"/>
    <s v="Oakland"/>
    <s v="California"/>
    <n v="94601"/>
    <s v="West"/>
    <s v="OFF-LA-10000452"/>
    <s v="Office Supplies"/>
    <s v="Labels"/>
    <x v="351"/>
    <n v="3.15"/>
    <m/>
    <s v="Office Supplies"/>
    <s v="OS"/>
  </r>
  <r>
    <n v="1091"/>
    <s v="CA-2018-158407"/>
    <s v="04/06/2018"/>
    <s v="10/06/2018"/>
    <s v="Standard Class"/>
    <x v="354"/>
    <x v="354"/>
    <s v="Corporate"/>
    <x v="0"/>
    <s v="Monroe"/>
    <s v="North Carolina"/>
    <n v="28110"/>
    <s v="South"/>
    <s v="TEC-PH-10001819"/>
    <s v="Technology"/>
    <s v="Phones"/>
    <x v="352"/>
    <n v="71.983999999999995"/>
    <m/>
    <s v="Technology"/>
    <s v="Technology"/>
  </r>
  <r>
    <n v="1094"/>
    <s v="CA-2016-165085"/>
    <s v="27/12/2016"/>
    <s v="31/12/2016"/>
    <s v="Standard Class"/>
    <x v="355"/>
    <x v="355"/>
    <s v="Home Office"/>
    <x v="0"/>
    <s v="Clinton"/>
    <s v="Maryland"/>
    <n v="20735"/>
    <s v="East"/>
    <s v="OFF-PA-10000605"/>
    <s v="Office Supplies"/>
    <s v="Paper"/>
    <x v="353"/>
    <n v="28.9"/>
    <m/>
    <s v="Office Supplies"/>
    <s v="OS"/>
  </r>
  <r>
    <n v="1096"/>
    <s v="CA-2018-160423"/>
    <s v="21/01/2018"/>
    <s v="26/01/2018"/>
    <s v="Standard Class"/>
    <x v="356"/>
    <x v="356"/>
    <s v="Home Office"/>
    <x v="0"/>
    <s v="Charlotte"/>
    <s v="North Carolina"/>
    <n v="28205"/>
    <s v="South"/>
    <s v="OFF-ST-10004340"/>
    <s v="Office Supplies"/>
    <s v="Storage"/>
    <x v="354"/>
    <n v="348.20800000000003"/>
    <m/>
    <s v="Office Supplies"/>
    <s v="OS"/>
  </r>
  <r>
    <n v="1099"/>
    <s v="CA-2017-107216"/>
    <s v="14/06/2017"/>
    <s v="17/06/2017"/>
    <s v="First Class"/>
    <x v="357"/>
    <x v="357"/>
    <s v="Home Office"/>
    <x v="0"/>
    <s v="San Francisco"/>
    <s v="California"/>
    <n v="94122"/>
    <s v="West"/>
    <s v="OFF-AR-10001545"/>
    <s v="Office Supplies"/>
    <s v="Art"/>
    <x v="355"/>
    <n v="7.04"/>
    <m/>
    <s v="Office Supplies"/>
    <s v="OS"/>
  </r>
  <r>
    <n v="1105"/>
    <s v="CA-2017-112340"/>
    <s v="21/10/2017"/>
    <s v="27/10/2017"/>
    <s v="Standard Class"/>
    <x v="358"/>
    <x v="358"/>
    <s v="Consumer"/>
    <x v="0"/>
    <s v="Riverside"/>
    <s v="California"/>
    <n v="92503"/>
    <s v="West"/>
    <s v="OFF-PA-10001892"/>
    <s v="Office Supplies"/>
    <s v="Paper"/>
    <x v="356"/>
    <n v="22.92"/>
    <m/>
    <s v="Office Supplies"/>
    <s v="OS"/>
  </r>
  <r>
    <n v="1120"/>
    <s v="CA-2016-142755"/>
    <s v="04/09/2016"/>
    <s v="08/09/2016"/>
    <s v="Standard Class"/>
    <x v="359"/>
    <x v="359"/>
    <s v="Consumer"/>
    <x v="0"/>
    <s v="Roswell"/>
    <s v="Georgia"/>
    <n v="30076"/>
    <s v="South"/>
    <s v="OFF-PA-10000141"/>
    <s v="Office Supplies"/>
    <s v="Paper"/>
    <x v="357"/>
    <n v="4.3600000000000003"/>
    <m/>
    <s v="Office Supplies"/>
    <s v="OS"/>
  </r>
  <r>
    <n v="1135"/>
    <s v="US-2017-134908"/>
    <s v="05/06/2017"/>
    <s v="09/06/2017"/>
    <s v="Standard Class"/>
    <x v="360"/>
    <x v="360"/>
    <s v="Home Office"/>
    <x v="0"/>
    <s v="Philadelphia"/>
    <s v="Pennsylvania"/>
    <n v="19134"/>
    <s v="East"/>
    <s v="OFF-LA-10000973"/>
    <s v="Office Supplies"/>
    <s v="Labels"/>
    <x v="358"/>
    <n v="7.56"/>
    <m/>
    <s v="Office Supplies"/>
    <s v="OS"/>
  </r>
  <r>
    <n v="1137"/>
    <s v="CA-2017-152170"/>
    <s v="12/11/2017"/>
    <s v="15/11/2017"/>
    <s v="Second Class"/>
    <x v="361"/>
    <x v="361"/>
    <s v="Corporate"/>
    <x v="0"/>
    <s v="La Porte"/>
    <s v="Indiana"/>
    <n v="46350"/>
    <s v="Central"/>
    <s v="OFF-EN-10002831"/>
    <s v="Office Supplies"/>
    <s v="Envelopes"/>
    <x v="359"/>
    <n v="287.52"/>
    <m/>
    <s v="Office Supplies"/>
    <s v="OS"/>
  </r>
  <r>
    <n v="1147"/>
    <s v="CA-2016-112452"/>
    <s v="04/04/2016"/>
    <s v="04/04/2016"/>
    <s v="Same Day"/>
    <x v="362"/>
    <x v="362"/>
    <s v="Consumer"/>
    <x v="0"/>
    <s v="Lansing"/>
    <s v="Michigan"/>
    <n v="48911"/>
    <s v="Central"/>
    <s v="OFF-AP-10003849"/>
    <s v="Office Supplies"/>
    <s v="Appliances"/>
    <x v="360"/>
    <n v="644.07600000000002"/>
    <m/>
    <s v="Office Supplies"/>
    <s v="OS"/>
  </r>
  <r>
    <n v="1163"/>
    <s v="CA-2015-127964"/>
    <s v="03/03/2015"/>
    <s v="08/03/2015"/>
    <s v="Standard Class"/>
    <x v="363"/>
    <x v="363"/>
    <s v="Home Office"/>
    <x v="0"/>
    <s v="New York City"/>
    <s v="New York"/>
    <n v="10035"/>
    <s v="East"/>
    <s v="TEC-PH-10004700"/>
    <s v="Technology"/>
    <s v="Phones"/>
    <x v="361"/>
    <n v="9.99"/>
    <m/>
    <s v="Technology"/>
    <s v="Technology"/>
  </r>
  <r>
    <n v="1172"/>
    <s v="US-2015-100279"/>
    <s v="10/03/2015"/>
    <s v="14/03/2015"/>
    <s v="Standard Class"/>
    <x v="364"/>
    <x v="364"/>
    <s v="Consumer"/>
    <x v="0"/>
    <s v="Royal Oak"/>
    <s v="Michigan"/>
    <n v="48073"/>
    <s v="Central"/>
    <s v="OFF-PA-10002259"/>
    <s v="Office Supplies"/>
    <s v="Paper"/>
    <x v="362"/>
    <n v="22.38"/>
    <m/>
    <s v="Office Supplies"/>
    <s v="OS"/>
  </r>
  <r>
    <n v="1177"/>
    <s v="CA-2015-120243"/>
    <s v="27/12/2015"/>
    <s v="30/12/2015"/>
    <s v="Second Class"/>
    <x v="365"/>
    <x v="365"/>
    <s v="Home Office"/>
    <x v="0"/>
    <s v="Los Angeles"/>
    <s v="California"/>
    <n v="90004"/>
    <s v="West"/>
    <s v="OFF-LA-10004425"/>
    <s v="Office Supplies"/>
    <s v="Labels"/>
    <x v="363"/>
    <n v="11.56"/>
    <m/>
    <s v="Office Supplies"/>
    <s v="OS"/>
  </r>
  <r>
    <n v="1185"/>
    <s v="CA-2015-127131"/>
    <s v="24/11/2015"/>
    <s v="30/11/2015"/>
    <s v="Standard Class"/>
    <x v="366"/>
    <x v="366"/>
    <s v="Corporate"/>
    <x v="0"/>
    <s v="Seattle"/>
    <s v="Washington"/>
    <n v="98103"/>
    <s v="West"/>
    <s v="OFF-BI-10004656"/>
    <s v="Office Supplies"/>
    <s v="Binders"/>
    <x v="364"/>
    <n v="12.096"/>
    <m/>
    <s v="Office Supplies"/>
    <s v="OS"/>
  </r>
  <r>
    <n v="1190"/>
    <s v="CA-2018-117212"/>
    <s v="26/02/2018"/>
    <s v="28/02/2018"/>
    <s v="Second Class"/>
    <x v="367"/>
    <x v="367"/>
    <s v="Home Office"/>
    <x v="0"/>
    <s v="Los Angeles"/>
    <s v="California"/>
    <n v="90036"/>
    <s v="West"/>
    <s v="TEC-PH-10004447"/>
    <s v="Technology"/>
    <s v="Phones"/>
    <x v="365"/>
    <n v="889.53599999999994"/>
    <m/>
    <s v="Technology"/>
    <s v="Technology"/>
  </r>
  <r>
    <n v="1210"/>
    <s v="CA-2017-137050"/>
    <s v="14/07/2017"/>
    <s v="18/07/2017"/>
    <s v="Second Class"/>
    <x v="368"/>
    <x v="368"/>
    <s v="Corporate"/>
    <x v="0"/>
    <s v="New York City"/>
    <s v="New York"/>
    <n v="10009"/>
    <s v="East"/>
    <s v="OFF-AR-10004999"/>
    <s v="Office Supplies"/>
    <s v="Art"/>
    <x v="366"/>
    <n v="41.86"/>
    <m/>
    <s v="Office Supplies"/>
    <s v="OS"/>
  </r>
  <r>
    <n v="1214"/>
    <s v="US-2018-118087"/>
    <s v="09/09/2018"/>
    <s v="13/09/2018"/>
    <s v="Standard Class"/>
    <x v="369"/>
    <x v="369"/>
    <s v="Corporate"/>
    <x v="0"/>
    <s v="Philadelphia"/>
    <s v="Pennsylvania"/>
    <n v="19134"/>
    <s v="East"/>
    <s v="OFF-BI-10002432"/>
    <s v="Office Supplies"/>
    <s v="Binders"/>
    <x v="367"/>
    <n v="3.036"/>
    <m/>
    <s v="Office Supplies"/>
    <s v="OS"/>
  </r>
  <r>
    <n v="1222"/>
    <s v="CA-2015-110184"/>
    <s v="12/07/2015"/>
    <s v="16/07/2015"/>
    <s v="Standard Class"/>
    <x v="370"/>
    <x v="370"/>
    <s v="Home Office"/>
    <x v="0"/>
    <s v="Los Angeles"/>
    <s v="California"/>
    <n v="90036"/>
    <s v="West"/>
    <s v="TEC-PH-10000439"/>
    <s v="Technology"/>
    <s v="Phones"/>
    <x v="368"/>
    <n v="255.93600000000001"/>
    <m/>
    <s v="Technology"/>
    <s v="Technology"/>
  </r>
  <r>
    <n v="1233"/>
    <s v="CA-2016-132570"/>
    <s v="31/10/2016"/>
    <s v="02/11/2016"/>
    <s v="Second Class"/>
    <x v="371"/>
    <x v="371"/>
    <s v="Consumer"/>
    <x v="0"/>
    <s v="Buffalo"/>
    <s v="New York"/>
    <n v="14215"/>
    <s v="East"/>
    <s v="OFF-EN-10003055"/>
    <s v="Office Supplies"/>
    <s v="Envelopes"/>
    <x v="369"/>
    <n v="79.959999999999994"/>
    <m/>
    <s v="Office Supplies"/>
    <s v="OS"/>
  </r>
  <r>
    <n v="1234"/>
    <s v="CA-2017-153682"/>
    <s v="30/05/2017"/>
    <s v="01/06/2017"/>
    <s v="First Class"/>
    <x v="372"/>
    <x v="372"/>
    <s v="Corporate"/>
    <x v="0"/>
    <s v="Cincinnati"/>
    <s v="Ohio"/>
    <n v="45231"/>
    <s v="East"/>
    <s v="TEC-CO-10001046"/>
    <s v="Technology"/>
    <s v="Copiers"/>
    <x v="370"/>
    <n v="839.98800000000006"/>
    <m/>
    <s v="Technology"/>
    <s v="Technology"/>
  </r>
  <r>
    <n v="1239"/>
    <s v="CA-2015-127012"/>
    <s v="11/08/2015"/>
    <s v="15/08/2015"/>
    <s v="Standard Class"/>
    <x v="373"/>
    <x v="373"/>
    <s v="Consumer"/>
    <x v="0"/>
    <s v="Seattle"/>
    <s v="Washington"/>
    <n v="98105"/>
    <s v="West"/>
    <s v="FUR-FU-10003691"/>
    <s v="Furniture"/>
    <s v="Furnishings"/>
    <x v="371"/>
    <n v="12.35"/>
    <m/>
    <s v="Cardbaord"/>
    <s v="cardbaord"/>
  </r>
  <r>
    <n v="1245"/>
    <s v="CA-2018-133641"/>
    <s v="14/05/2018"/>
    <s v="21/05/2018"/>
    <s v="Standard Class"/>
    <x v="374"/>
    <x v="374"/>
    <s v="Consumer"/>
    <x v="0"/>
    <s v="Gulfport"/>
    <s v="Mississippi"/>
    <n v="39503"/>
    <s v="South"/>
    <s v="OFF-EN-10004955"/>
    <s v="Office Supplies"/>
    <s v="Envelopes"/>
    <x v="372"/>
    <n v="48.69"/>
    <m/>
    <s v="Office Supplies"/>
    <s v="OS"/>
  </r>
  <r>
    <n v="1246"/>
    <s v="CA-2015-168494"/>
    <s v="12/12/2015"/>
    <s v="14/12/2015"/>
    <s v="Second Class"/>
    <x v="375"/>
    <x v="375"/>
    <s v="Consumer"/>
    <x v="0"/>
    <s v="Fresno"/>
    <s v="California"/>
    <n v="93727"/>
    <s v="West"/>
    <s v="FUR-TA-10004619"/>
    <s v="Furniture"/>
    <s v="Tables"/>
    <x v="373"/>
    <n v="764.68799999999999"/>
    <m/>
    <s v="Cardbaord"/>
    <s v="cardbaord"/>
  </r>
  <r>
    <n v="1256"/>
    <s v="CA-2018-144638"/>
    <s v="10/03/2018"/>
    <s v="14/03/2018"/>
    <s v="Standard Class"/>
    <x v="376"/>
    <x v="376"/>
    <s v="Home Office"/>
    <x v="0"/>
    <s v="Chester"/>
    <s v="Pennsylvania"/>
    <n v="19013"/>
    <s v="East"/>
    <s v="FUR-FU-10003724"/>
    <s v="Furniture"/>
    <s v="Furnishings"/>
    <x v="374"/>
    <n v="6.6959999999999997"/>
    <m/>
    <s v="Cardbaord"/>
    <s v="cardbaord"/>
  </r>
  <r>
    <n v="1261"/>
    <s v="CA-2018-117079"/>
    <s v="23/10/2018"/>
    <s v="27/10/2018"/>
    <s v="Standard Class"/>
    <x v="377"/>
    <x v="377"/>
    <s v="Consumer"/>
    <x v="0"/>
    <s v="Jacksonville"/>
    <s v="Florida"/>
    <n v="32216"/>
    <s v="South"/>
    <s v="TEC-PH-10004586"/>
    <s v="Technology"/>
    <s v="Phones"/>
    <x v="375"/>
    <n v="863.88"/>
    <m/>
    <s v="Technology"/>
    <s v="Technology"/>
  </r>
  <r>
    <n v="1262"/>
    <s v="US-2017-144393"/>
    <s v="28/10/2017"/>
    <s v="04/11/2017"/>
    <s v="Standard Class"/>
    <x v="378"/>
    <x v="378"/>
    <s v="Corporate"/>
    <x v="0"/>
    <s v="Greenville"/>
    <s v="North Carolina"/>
    <n v="27834"/>
    <s v="South"/>
    <s v="OFF-BI-10004236"/>
    <s v="Office Supplies"/>
    <s v="Binders"/>
    <x v="376"/>
    <n v="17.616"/>
    <m/>
    <s v="Office Supplies"/>
    <s v="OS"/>
  </r>
  <r>
    <n v="1266"/>
    <s v="CA-2018-110380"/>
    <s v="02/09/2018"/>
    <s v="07/09/2018"/>
    <s v="Standard Class"/>
    <x v="379"/>
    <x v="379"/>
    <s v="Consumer"/>
    <x v="0"/>
    <s v="San Francisco"/>
    <s v="California"/>
    <n v="94122"/>
    <s v="West"/>
    <s v="OFF-AR-10000422"/>
    <s v="Office Supplies"/>
    <s v="Art"/>
    <x v="377"/>
    <n v="6.57"/>
    <m/>
    <s v="Office Supplies"/>
    <s v="OS"/>
  </r>
  <r>
    <n v="1270"/>
    <s v="CA-2018-100426"/>
    <s v="04/06/2018"/>
    <s v="08/06/2018"/>
    <s v="Standard Class"/>
    <x v="380"/>
    <x v="380"/>
    <s v="Consumer"/>
    <x v="0"/>
    <s v="Florence"/>
    <s v="Alabama"/>
    <n v="35630"/>
    <s v="South"/>
    <s v="OFF-PA-10002870"/>
    <s v="Office Supplies"/>
    <s v="Paper"/>
    <x v="378"/>
    <n v="12.48"/>
    <m/>
    <s v="Office Supplies"/>
    <s v="OS"/>
  </r>
  <r>
    <n v="1271"/>
    <s v="US-2017-103646"/>
    <s v="21/04/2017"/>
    <s v="26/04/2017"/>
    <s v="Standard Class"/>
    <x v="381"/>
    <x v="381"/>
    <s v="Corporate"/>
    <x v="0"/>
    <s v="Chicago"/>
    <s v="Illinois"/>
    <n v="60623"/>
    <s v="Central"/>
    <s v="OFF-ST-10000563"/>
    <s v="Office Supplies"/>
    <s v="Storage"/>
    <x v="379"/>
    <n v="102.336"/>
    <m/>
    <s v="Office Supplies"/>
    <s v="OS"/>
  </r>
  <r>
    <n v="1278"/>
    <s v="CA-2017-148698"/>
    <s v="02/05/2017"/>
    <s v="07/05/2017"/>
    <s v="Standard Class"/>
    <x v="382"/>
    <x v="382"/>
    <s v="Consumer"/>
    <x v="0"/>
    <s v="Houston"/>
    <s v="Texas"/>
    <n v="77070"/>
    <s v="Central"/>
    <s v="OFF-AR-10004022"/>
    <s v="Office Supplies"/>
    <s v="Art"/>
    <x v="380"/>
    <n v="86.352000000000004"/>
    <m/>
    <s v="Office Supplies"/>
    <s v="OS"/>
  </r>
  <r>
    <n v="1290"/>
    <s v="CA-2017-154711"/>
    <s v="22/11/2017"/>
    <s v="26/11/2017"/>
    <s v="Standard Class"/>
    <x v="383"/>
    <x v="383"/>
    <s v="Corporate"/>
    <x v="0"/>
    <s v="New York City"/>
    <s v="New York"/>
    <n v="10009"/>
    <s v="East"/>
    <s v="OFF-AR-10001860"/>
    <s v="Office Supplies"/>
    <s v="Art"/>
    <x v="381"/>
    <n v="20.82"/>
    <m/>
    <s v="Office Supplies"/>
    <s v="OS"/>
  </r>
  <r>
    <n v="1303"/>
    <s v="CA-2016-115847"/>
    <s v="19/09/2016"/>
    <s v="24/09/2016"/>
    <s v="Second Class"/>
    <x v="384"/>
    <x v="384"/>
    <s v="Home Office"/>
    <x v="0"/>
    <s v="Arlington"/>
    <s v="Virginia"/>
    <n v="22204"/>
    <s v="South"/>
    <s v="FUR-BO-10003433"/>
    <s v="Furniture"/>
    <s v="Bookcases"/>
    <x v="382"/>
    <n v="61.96"/>
    <m/>
    <s v="Cardbaord"/>
    <s v="cardbaord"/>
  </r>
  <r>
    <n v="1304"/>
    <s v="US-2018-126179"/>
    <s v="03/07/2018"/>
    <s v="07/07/2018"/>
    <s v="Standard Class"/>
    <x v="385"/>
    <x v="385"/>
    <s v="Consumer"/>
    <x v="0"/>
    <s v="Columbus"/>
    <s v="Georgia"/>
    <n v="31907"/>
    <s v="South"/>
    <s v="FUR-FU-10002554"/>
    <s v="Furniture"/>
    <s v="Furnishings"/>
    <x v="383"/>
    <n v="23.99"/>
    <m/>
    <s v="Cardbaord"/>
    <s v="cardbaord"/>
  </r>
  <r>
    <n v="1315"/>
    <s v="CA-2017-145919"/>
    <s v="18/12/2017"/>
    <s v="23/12/2017"/>
    <s v="Standard Class"/>
    <x v="386"/>
    <x v="386"/>
    <s v="Corporate"/>
    <x v="0"/>
    <s v="Los Angeles"/>
    <s v="California"/>
    <n v="90032"/>
    <s v="West"/>
    <s v="OFF-PA-10003072"/>
    <s v="Office Supplies"/>
    <s v="Paper"/>
    <x v="384"/>
    <n v="38.880000000000003"/>
    <m/>
    <s v="Office Supplies"/>
    <s v="OS"/>
  </r>
  <r>
    <n v="1323"/>
    <s v="CA-2018-121804"/>
    <s v="03/03/2018"/>
    <s v="08/03/2018"/>
    <s v="Standard Class"/>
    <x v="387"/>
    <x v="387"/>
    <s v="Consumer"/>
    <x v="0"/>
    <s v="Murray"/>
    <s v="Kentucky"/>
    <n v="42071"/>
    <s v="South"/>
    <s v="OFF-AP-10004859"/>
    <s v="Office Supplies"/>
    <s v="Appliances"/>
    <x v="385"/>
    <n v="72.8"/>
    <m/>
    <s v="Office Supplies"/>
    <s v="OS"/>
  </r>
  <r>
    <n v="1324"/>
    <s v="CA-2018-162635"/>
    <s v="09/10/2018"/>
    <s v="10/10/2018"/>
    <s v="First Class"/>
    <x v="388"/>
    <x v="388"/>
    <s v="Consumer"/>
    <x v="0"/>
    <s v="Wilmington"/>
    <s v="North Carolina"/>
    <n v="28403"/>
    <s v="South"/>
    <s v="OFF-PA-10002659"/>
    <s v="Office Supplies"/>
    <s v="Paper"/>
    <x v="386"/>
    <n v="10.816000000000001"/>
    <m/>
    <s v="Office Supplies"/>
    <s v="OS"/>
  </r>
  <r>
    <n v="1329"/>
    <s v="CA-2018-106033"/>
    <s v="15/10/2018"/>
    <s v="18/10/2018"/>
    <s v="Second Class"/>
    <x v="389"/>
    <x v="389"/>
    <s v="Home Office"/>
    <x v="0"/>
    <s v="San Francisco"/>
    <s v="California"/>
    <n v="94110"/>
    <s v="West"/>
    <s v="OFF-AR-10002818"/>
    <s v="Office Supplies"/>
    <s v="Art"/>
    <x v="387"/>
    <n v="87.92"/>
    <m/>
    <s v="Office Supplies"/>
    <s v="OS"/>
  </r>
  <r>
    <n v="1334"/>
    <s v="CA-2015-122567"/>
    <s v="16/02/2015"/>
    <s v="21/02/2015"/>
    <s v="Standard Class"/>
    <x v="390"/>
    <x v="390"/>
    <s v="Consumer"/>
    <x v="0"/>
    <s v="Dallas"/>
    <s v="Texas"/>
    <n v="75220"/>
    <s v="Central"/>
    <s v="OFF-AP-10001303"/>
    <s v="Office Supplies"/>
    <s v="Appliances"/>
    <x v="388"/>
    <n v="7.96"/>
    <m/>
    <s v="Office Supplies"/>
    <s v="OS"/>
  </r>
  <r>
    <n v="1336"/>
    <s v="CA-2017-122133"/>
    <s v="16/05/2017"/>
    <s v="23/05/2017"/>
    <s v="Standard Class"/>
    <x v="391"/>
    <x v="391"/>
    <s v="Consumer"/>
    <x v="0"/>
    <s v="Middletown"/>
    <s v="Connecticut"/>
    <n v="6457"/>
    <s v="East"/>
    <s v="OFF-ST-10002574"/>
    <s v="Office Supplies"/>
    <s v="Storage"/>
    <x v="389"/>
    <n v="552.55999999999995"/>
    <m/>
    <s v="Office Supplies"/>
    <s v="OS"/>
  </r>
  <r>
    <n v="1338"/>
    <s v="CA-2018-100524"/>
    <s v="31/03/2018"/>
    <s v="02/04/2018"/>
    <s v="Second Class"/>
    <x v="392"/>
    <x v="392"/>
    <s v="Consumer"/>
    <x v="0"/>
    <s v="New York City"/>
    <s v="New York"/>
    <n v="10011"/>
    <s v="East"/>
    <s v="FUR-FU-10004018"/>
    <s v="Furniture"/>
    <s v="Furnishings"/>
    <x v="390"/>
    <n v="29.78"/>
    <m/>
    <s v="Cardbaord"/>
    <s v="cardbaord"/>
  </r>
  <r>
    <n v="1341"/>
    <s v="CA-2018-113481"/>
    <s v="02/01/2018"/>
    <s v="04/01/2018"/>
    <s v="First Class"/>
    <x v="393"/>
    <x v="393"/>
    <s v="Corporate"/>
    <x v="0"/>
    <s v="Jacksonville"/>
    <s v="North Carolina"/>
    <n v="28540"/>
    <s v="South"/>
    <s v="TEC-MA-10002178"/>
    <s v="Technology"/>
    <s v="Machines"/>
    <x v="391"/>
    <n v="695.7"/>
    <m/>
    <s v="Technology"/>
    <s v="Technology"/>
  </r>
  <r>
    <n v="1358"/>
    <s v="CA-2017-145247"/>
    <s v="05/05/2017"/>
    <s v="07/05/2017"/>
    <s v="First Class"/>
    <x v="394"/>
    <x v="394"/>
    <s v="Consumer"/>
    <x v="0"/>
    <s v="Louisville"/>
    <s v="Kentucky"/>
    <n v="40214"/>
    <s v="South"/>
    <s v="OFF-PA-10003641"/>
    <s v="Office Supplies"/>
    <s v="Paper"/>
    <x v="392"/>
    <n v="79.14"/>
    <m/>
    <s v="Office Supplies"/>
    <s v="OS"/>
  </r>
  <r>
    <n v="1360"/>
    <s v="US-2015-151925"/>
    <s v="26/09/2015"/>
    <s v="01/10/2015"/>
    <s v="Second Class"/>
    <x v="395"/>
    <x v="395"/>
    <s v="Consumer"/>
    <x v="0"/>
    <s v="Los Angeles"/>
    <s v="California"/>
    <n v="90049"/>
    <s v="West"/>
    <s v="FUR-CH-10002961"/>
    <s v="Furniture"/>
    <s v="Chairs"/>
    <x v="393"/>
    <n v="145.56800000000001"/>
    <m/>
    <s v="Cardbaord"/>
    <s v="cardbaord"/>
  </r>
  <r>
    <n v="1362"/>
    <s v="CA-2018-125199"/>
    <s v="19/10/2018"/>
    <s v="25/10/2018"/>
    <s v="Standard Class"/>
    <x v="396"/>
    <x v="396"/>
    <s v="Corporate"/>
    <x v="0"/>
    <s v="Philadelphia"/>
    <s v="Pennsylvania"/>
    <n v="19120"/>
    <s v="East"/>
    <s v="OFF-PA-10004041"/>
    <s v="Office Supplies"/>
    <s v="Paper"/>
    <x v="394"/>
    <n v="23.68"/>
    <m/>
    <s v="Office Supplies"/>
    <s v="OS"/>
  </r>
  <r>
    <n v="1365"/>
    <s v="US-2018-155425"/>
    <s v="10/11/2018"/>
    <s v="11/11/2018"/>
    <s v="First Class"/>
    <x v="397"/>
    <x v="397"/>
    <s v="Corporate"/>
    <x v="0"/>
    <s v="Tucson"/>
    <s v="Arizona"/>
    <n v="85705"/>
    <s v="West"/>
    <s v="TEC-MA-10003183"/>
    <s v="Technology"/>
    <s v="Machines"/>
    <x v="395"/>
    <n v="95.994"/>
    <m/>
    <s v="Technology"/>
    <s v="Technology"/>
  </r>
  <r>
    <n v="1372"/>
    <s v="CA-2018-136672"/>
    <s v="07/03/2018"/>
    <s v="12/03/2018"/>
    <s v="Standard Class"/>
    <x v="398"/>
    <x v="398"/>
    <s v="Home Office"/>
    <x v="0"/>
    <s v="Clinton"/>
    <s v="Maryland"/>
    <n v="20735"/>
    <s v="East"/>
    <s v="TEC-AC-10004510"/>
    <s v="Technology"/>
    <s v="Accessories"/>
    <x v="396"/>
    <n v="49.08"/>
    <m/>
    <s v="Technology"/>
    <s v="Technology"/>
  </r>
  <r>
    <n v="1384"/>
    <s v="US-2017-108504"/>
    <s v="05/02/2017"/>
    <s v="05/02/2017"/>
    <s v="Same Day"/>
    <x v="399"/>
    <x v="399"/>
    <s v="Home Office"/>
    <x v="0"/>
    <s v="Smyrna"/>
    <s v="Georgia"/>
    <n v="30080"/>
    <s v="South"/>
    <s v="OFF-PA-10001289"/>
    <s v="Office Supplies"/>
    <s v="Paper"/>
    <x v="397"/>
    <n v="348.84"/>
    <m/>
    <s v="Office Supplies"/>
    <s v="OS"/>
  </r>
  <r>
    <n v="1414"/>
    <s v="CA-2015-146640"/>
    <s v="30/06/2015"/>
    <s v="05/07/2015"/>
    <s v="Standard Class"/>
    <x v="400"/>
    <x v="400"/>
    <s v="Consumer"/>
    <x v="0"/>
    <s v="New York City"/>
    <s v="New York"/>
    <n v="10024"/>
    <s v="East"/>
    <s v="OFF-BI-10002867"/>
    <s v="Office Supplies"/>
    <s v="Binders"/>
    <x v="398"/>
    <n v="334.76799999999997"/>
    <m/>
    <s v="Office Supplies"/>
    <s v="OS"/>
  </r>
  <r>
    <n v="1416"/>
    <s v="CA-2018-115994"/>
    <s v="28/01/2018"/>
    <s v="31/01/2018"/>
    <s v="Second Class"/>
    <x v="401"/>
    <x v="401"/>
    <s v="Home Office"/>
    <x v="0"/>
    <s v="Costa Mesa"/>
    <s v="California"/>
    <n v="92627"/>
    <s v="West"/>
    <s v="FUR-FU-10003976"/>
    <s v="Furniture"/>
    <s v="Furnishings"/>
    <x v="399"/>
    <n v="37.74"/>
    <m/>
    <s v="Cardbaord"/>
    <s v="cardbaord"/>
  </r>
  <r>
    <n v="1417"/>
    <s v="CA-2016-126697"/>
    <s v="21/09/2016"/>
    <s v="24/09/2016"/>
    <s v="First Class"/>
    <x v="402"/>
    <x v="402"/>
    <s v="Corporate"/>
    <x v="0"/>
    <s v="Houston"/>
    <s v="Texas"/>
    <n v="77041"/>
    <s v="Central"/>
    <s v="TEC-PH-10002922"/>
    <s v="Technology"/>
    <s v="Phones"/>
    <x v="400"/>
    <n v="946.34400000000005"/>
    <m/>
    <s v="Technology"/>
    <s v="Technology"/>
  </r>
  <r>
    <n v="1420"/>
    <s v="CA-2016-124800"/>
    <s v="26/09/2016"/>
    <s v="30/09/2016"/>
    <s v="Standard Class"/>
    <x v="403"/>
    <x v="403"/>
    <s v="Corporate"/>
    <x v="0"/>
    <s v="Mesa"/>
    <s v="Arizona"/>
    <n v="85204"/>
    <s v="West"/>
    <s v="OFF-PA-10000501"/>
    <s v="Office Supplies"/>
    <s v="Paper"/>
    <x v="401"/>
    <n v="86.272000000000006"/>
    <m/>
    <s v="Office Supplies"/>
    <s v="OS"/>
  </r>
  <r>
    <n v="1429"/>
    <s v="US-2016-164448"/>
    <s v="31/10/2016"/>
    <s v="04/11/2016"/>
    <s v="Second Class"/>
    <x v="404"/>
    <x v="404"/>
    <s v="Corporate"/>
    <x v="0"/>
    <s v="Salinas"/>
    <s v="California"/>
    <n v="93905"/>
    <s v="West"/>
    <s v="OFF-BI-10003708"/>
    <s v="Office Supplies"/>
    <s v="Binders"/>
    <x v="402"/>
    <n v="29.8"/>
    <m/>
    <s v="Office Supplies"/>
    <s v="OS"/>
  </r>
  <r>
    <n v="1436"/>
    <s v="CA-2018-106852"/>
    <s v="20/06/2018"/>
    <s v="27/06/2018"/>
    <s v="Standard Class"/>
    <x v="405"/>
    <x v="405"/>
    <s v="Consumer"/>
    <x v="0"/>
    <s v="Parma"/>
    <s v="Ohio"/>
    <n v="44134"/>
    <s v="East"/>
    <s v="OFF-PA-10001639"/>
    <s v="Office Supplies"/>
    <s v="Paper"/>
    <x v="403"/>
    <n v="31.103999999999999"/>
    <m/>
    <s v="Office Supplies"/>
    <s v="OS"/>
  </r>
  <r>
    <n v="1451"/>
    <s v="US-2016-160150"/>
    <s v="19/07/2016"/>
    <s v="20/07/2016"/>
    <s v="First Class"/>
    <x v="406"/>
    <x v="406"/>
    <s v="Consumer"/>
    <x v="0"/>
    <s v="Phoenix"/>
    <s v="Arizona"/>
    <n v="85023"/>
    <s v="West"/>
    <s v="OFF-BI-10004352"/>
    <s v="Office Supplies"/>
    <s v="Binders"/>
    <x v="404"/>
    <n v="2.0249999999999999"/>
    <m/>
    <s v="Office Supplies"/>
    <s v="OS"/>
  </r>
  <r>
    <n v="1453"/>
    <s v="CA-2017-133711"/>
    <s v="26/11/2017"/>
    <s v="29/11/2017"/>
    <s v="First Class"/>
    <x v="407"/>
    <x v="407"/>
    <s v="Corporate"/>
    <x v="0"/>
    <s v="Mobile"/>
    <s v="Alabama"/>
    <n v="36608"/>
    <s v="South"/>
    <s v="OFF-BI-10000666"/>
    <s v="Office Supplies"/>
    <s v="Binders"/>
    <x v="405"/>
    <n v="91.68"/>
    <m/>
    <s v="Office Supplies"/>
    <s v="OS"/>
  </r>
  <r>
    <n v="1456"/>
    <s v="CA-2018-148474"/>
    <s v="12/06/2018"/>
    <s v="19/06/2018"/>
    <s v="Standard Class"/>
    <x v="408"/>
    <x v="408"/>
    <s v="Home Office"/>
    <x v="0"/>
    <s v="Columbus"/>
    <s v="Georgia"/>
    <n v="31907"/>
    <s v="South"/>
    <s v="OFF-BI-10000977"/>
    <s v="Office Supplies"/>
    <s v="Binders"/>
    <x v="406"/>
    <n v="91.2"/>
    <m/>
    <s v="Office Supplies"/>
    <s v="OS"/>
  </r>
  <r>
    <n v="1475"/>
    <s v="CA-2017-113138"/>
    <s v="19/11/2017"/>
    <s v="25/11/2017"/>
    <s v="Standard Class"/>
    <x v="409"/>
    <x v="409"/>
    <s v="Home Office"/>
    <x v="0"/>
    <s v="Niagara Falls"/>
    <s v="New York"/>
    <n v="14304"/>
    <s v="East"/>
    <s v="OFF-AR-10003770"/>
    <s v="Office Supplies"/>
    <s v="Art"/>
    <x v="407"/>
    <n v="17.28"/>
    <m/>
    <s v="Office Supplies"/>
    <s v="OS"/>
  </r>
  <r>
    <n v="1485"/>
    <s v="US-2017-108098"/>
    <s v="14/10/2017"/>
    <s v="18/10/2017"/>
    <s v="Standard Class"/>
    <x v="410"/>
    <x v="410"/>
    <s v="Corporate"/>
    <x v="0"/>
    <s v="Seattle"/>
    <s v="Washington"/>
    <n v="98115"/>
    <s v="West"/>
    <s v="TEC-AC-10000865"/>
    <s v="Technology"/>
    <s v="Accessories"/>
    <x v="408"/>
    <n v="177"/>
    <m/>
    <s v="Technology"/>
    <s v="Technology"/>
  </r>
  <r>
    <n v="1486"/>
    <s v="CA-2015-119032"/>
    <s v="27/11/2015"/>
    <s v="03/12/2015"/>
    <s v="Standard Class"/>
    <x v="411"/>
    <x v="411"/>
    <s v="Consumer"/>
    <x v="0"/>
    <s v="New York City"/>
    <s v="New York"/>
    <n v="10035"/>
    <s v="East"/>
    <s v="OFF-FA-10003021"/>
    <s v="Office Supplies"/>
    <s v="Fasteners"/>
    <x v="198"/>
    <n v="3.76"/>
    <m/>
    <s v="Office Supplies"/>
    <s v="OS"/>
  </r>
  <r>
    <n v="1487"/>
    <s v="CA-2016-140410"/>
    <s v="03/11/2016"/>
    <s v="07/11/2016"/>
    <s v="Standard Class"/>
    <x v="412"/>
    <x v="412"/>
    <s v="Home Office"/>
    <x v="0"/>
    <s v="Los Angeles"/>
    <s v="California"/>
    <n v="90008"/>
    <s v="West"/>
    <s v="TEC-PH-10003580"/>
    <s v="Technology"/>
    <s v="Phones"/>
    <x v="409"/>
    <n v="1212.848"/>
    <m/>
    <s v="Technology"/>
    <s v="Technology"/>
  </r>
  <r>
    <n v="1492"/>
    <s v="CA-2018-166436"/>
    <s v="24/11/2018"/>
    <s v="28/11/2018"/>
    <s v="Standard Class"/>
    <x v="413"/>
    <x v="413"/>
    <s v="Corporate"/>
    <x v="0"/>
    <s v="New York City"/>
    <s v="New York"/>
    <n v="10035"/>
    <s v="East"/>
    <s v="OFF-PA-10001838"/>
    <s v="Office Supplies"/>
    <s v="Paper"/>
    <x v="410"/>
    <n v="5.88"/>
    <m/>
    <s v="Office Supplies"/>
    <s v="OS"/>
  </r>
  <r>
    <n v="1497"/>
    <s v="CA-2018-152485"/>
    <s v="04/09/2018"/>
    <s v="08/09/2018"/>
    <s v="Standard Class"/>
    <x v="414"/>
    <x v="414"/>
    <s v="Consumer"/>
    <x v="0"/>
    <s v="Coppell"/>
    <s v="Texas"/>
    <n v="75019"/>
    <s v="Central"/>
    <s v="OFF-ST-10004950"/>
    <s v="Office Supplies"/>
    <s v="Storage"/>
    <x v="411"/>
    <n v="16.783999999999999"/>
    <m/>
    <s v="Office Supplies"/>
    <s v="OS"/>
  </r>
  <r>
    <n v="1506"/>
    <s v="CA-2016-153388"/>
    <s v="01/08/2016"/>
    <s v="07/08/2016"/>
    <s v="Standard Class"/>
    <x v="415"/>
    <x v="415"/>
    <s v="Home Office"/>
    <x v="0"/>
    <s v="Los Angeles"/>
    <s v="California"/>
    <n v="90004"/>
    <s v="West"/>
    <s v="FUR-TA-10003715"/>
    <s v="Furniture"/>
    <s v="Tables"/>
    <x v="412"/>
    <n v="1004.976"/>
    <m/>
    <s v="Cardbaord"/>
    <s v="cardbaord"/>
  </r>
  <r>
    <n v="1508"/>
    <s v="CA-2017-134208"/>
    <s v="17/09/2017"/>
    <s v="23/09/2017"/>
    <s v="Standard Class"/>
    <x v="416"/>
    <x v="416"/>
    <s v="Consumer"/>
    <x v="0"/>
    <s v="Columbus"/>
    <s v="Georgia"/>
    <n v="31907"/>
    <s v="South"/>
    <s v="TEC-MA-10004458"/>
    <s v="Technology"/>
    <s v="Machines"/>
    <x v="413"/>
    <n v="396"/>
    <m/>
    <s v="Technology"/>
    <s v="Technology"/>
  </r>
  <r>
    <n v="1521"/>
    <s v="CA-2018-109946"/>
    <s v="16/04/2018"/>
    <s v="21/04/2018"/>
    <s v="Standard Class"/>
    <x v="417"/>
    <x v="417"/>
    <s v="Home Office"/>
    <x v="0"/>
    <s v="Chicago"/>
    <s v="Illinois"/>
    <n v="60610"/>
    <s v="Central"/>
    <s v="OFF-AR-10001419"/>
    <s v="Office Supplies"/>
    <s v="Art"/>
    <x v="414"/>
    <n v="16.52"/>
    <m/>
    <s v="Office Supplies"/>
    <s v="OS"/>
  </r>
  <r>
    <n v="1523"/>
    <s v="CA-2016-144806"/>
    <s v="06/12/2016"/>
    <s v="11/12/2016"/>
    <s v="Standard Class"/>
    <x v="418"/>
    <x v="418"/>
    <s v="Consumer"/>
    <x v="0"/>
    <s v="Tucson"/>
    <s v="Arizona"/>
    <n v="85705"/>
    <s v="West"/>
    <s v="OFF-PA-10002586"/>
    <s v="Office Supplies"/>
    <s v="Paper"/>
    <x v="415"/>
    <n v="19.920000000000002"/>
    <m/>
    <s v="Office Supplies"/>
    <s v="OS"/>
  </r>
  <r>
    <n v="1536"/>
    <s v="CA-2017-112389"/>
    <s v="29/10/2017"/>
    <s v="02/11/2017"/>
    <s v="Standard Class"/>
    <x v="419"/>
    <x v="419"/>
    <s v="Corporate"/>
    <x v="0"/>
    <s v="Bridgeton"/>
    <s v="New Jersey"/>
    <n v="8302"/>
    <s v="East"/>
    <s v="OFF-ST-10000419"/>
    <s v="Office Supplies"/>
    <s v="Storage"/>
    <x v="416"/>
    <n v="40.74"/>
    <m/>
    <s v="Office Supplies"/>
    <s v="OS"/>
  </r>
  <r>
    <n v="1557"/>
    <s v="CA-2017-109176"/>
    <s v="09/05/2017"/>
    <s v="15/05/2017"/>
    <s v="Standard Class"/>
    <x v="420"/>
    <x v="420"/>
    <s v="Consumer"/>
    <x v="0"/>
    <s v="Philadelphia"/>
    <s v="Pennsylvania"/>
    <n v="19140"/>
    <s v="East"/>
    <s v="OFF-EN-10003134"/>
    <s v="Office Supplies"/>
    <s v="Envelopes"/>
    <x v="72"/>
    <n v="9.3439999999999994"/>
    <m/>
    <s v="Office Supplies"/>
    <s v="OS"/>
  </r>
  <r>
    <n v="1567"/>
    <s v="CA-2016-129112"/>
    <s v="29/11/2016"/>
    <s v="30/11/2016"/>
    <s v="First Class"/>
    <x v="421"/>
    <x v="421"/>
    <s v="Consumer"/>
    <x v="0"/>
    <s v="Allen"/>
    <s v="Texas"/>
    <n v="75002"/>
    <s v="Central"/>
    <s v="TEC-AC-10003038"/>
    <s v="Technology"/>
    <s v="Accessories"/>
    <x v="417"/>
    <n v="21.48"/>
    <m/>
    <s v="Technology"/>
    <s v="Technology"/>
  </r>
  <r>
    <n v="1570"/>
    <s v="CA-2018-165029"/>
    <s v="26/11/2018"/>
    <s v="30/11/2018"/>
    <s v="Standard Class"/>
    <x v="422"/>
    <x v="422"/>
    <s v="Corporate"/>
    <x v="0"/>
    <s v="Atlanta"/>
    <s v="Georgia"/>
    <n v="30318"/>
    <s v="South"/>
    <s v="OFF-AR-10003504"/>
    <s v="Office Supplies"/>
    <s v="Art"/>
    <x v="418"/>
    <n v="12.84"/>
    <m/>
    <s v="Office Supplies"/>
    <s v="OS"/>
  </r>
  <r>
    <n v="1575"/>
    <s v="CA-2015-101602"/>
    <s v="15/12/2015"/>
    <s v="18/12/2015"/>
    <s v="First Class"/>
    <x v="423"/>
    <x v="423"/>
    <s v="Consumer"/>
    <x v="0"/>
    <s v="El Paso"/>
    <s v="Texas"/>
    <n v="79907"/>
    <s v="Central"/>
    <s v="TEC-PH-10000169"/>
    <s v="Technology"/>
    <s v="Phones"/>
    <x v="419"/>
    <n v="40.68"/>
    <m/>
    <s v="Technology"/>
    <s v="Technology"/>
  </r>
  <r>
    <n v="1591"/>
    <s v="US-2017-132423"/>
    <s v="15/04/2017"/>
    <s v="19/04/2017"/>
    <s v="Standard Class"/>
    <x v="424"/>
    <x v="424"/>
    <s v="Corporate"/>
    <x v="0"/>
    <s v="Grapevine"/>
    <s v="Texas"/>
    <n v="76051"/>
    <s v="Central"/>
    <s v="OFF-AR-10001221"/>
    <s v="Office Supplies"/>
    <s v="Art"/>
    <x v="420"/>
    <n v="33.488"/>
    <m/>
    <s v="Office Supplies"/>
    <s v="OS"/>
  </r>
  <r>
    <n v="1593"/>
    <s v="CA-2016-122826"/>
    <s v="23/06/2016"/>
    <s v="25/06/2016"/>
    <s v="Second Class"/>
    <x v="425"/>
    <x v="425"/>
    <s v="Consumer"/>
    <x v="0"/>
    <s v="Olympia"/>
    <s v="Washington"/>
    <n v="98502"/>
    <s v="West"/>
    <s v="TEC-PH-10004830"/>
    <s v="Technology"/>
    <s v="Phones"/>
    <x v="421"/>
    <n v="201.56800000000001"/>
    <m/>
    <s v="Technology"/>
    <s v="Technology"/>
  </r>
  <r>
    <n v="1595"/>
    <s v="CA-2016-118423"/>
    <s v="24/03/2016"/>
    <s v="27/03/2016"/>
    <s v="First Class"/>
    <x v="426"/>
    <x v="426"/>
    <s v="Home Office"/>
    <x v="0"/>
    <s v="Peoria"/>
    <s v="Illinois"/>
    <n v="61604"/>
    <s v="Central"/>
    <s v="FUR-BO-10000362"/>
    <s v="Furniture"/>
    <s v="Bookcases"/>
    <x v="422"/>
    <n v="359.05799999999999"/>
    <m/>
    <s v="Cardbaord"/>
    <s v="cardbaord"/>
  </r>
  <r>
    <n v="1598"/>
    <s v="CA-2018-158876"/>
    <s v="19/11/2018"/>
    <s v="21/11/2018"/>
    <s v="Second Class"/>
    <x v="427"/>
    <x v="427"/>
    <s v="Consumer"/>
    <x v="0"/>
    <s v="Carrollton"/>
    <s v="Texas"/>
    <n v="75007"/>
    <s v="Central"/>
    <s v="OFF-PA-10000308"/>
    <s v="Office Supplies"/>
    <s v="Paper"/>
    <x v="423"/>
    <n v="16.896000000000001"/>
    <m/>
    <s v="Office Supplies"/>
    <s v="OS"/>
  </r>
  <r>
    <n v="1612"/>
    <s v="CA-2015-156349"/>
    <s v="26/05/2015"/>
    <s v="30/05/2015"/>
    <s v="Standard Class"/>
    <x v="428"/>
    <x v="428"/>
    <s v="Corporate"/>
    <x v="0"/>
    <s v="Los Angeles"/>
    <s v="California"/>
    <n v="90008"/>
    <s v="West"/>
    <s v="TEC-PH-10000441"/>
    <s v="Technology"/>
    <s v="Phones"/>
    <x v="424"/>
    <n v="201.584"/>
    <m/>
    <s v="Technology"/>
    <s v="Technology"/>
  </r>
  <r>
    <n v="1618"/>
    <s v="CA-2016-130022"/>
    <s v="10/08/2016"/>
    <s v="16/08/2016"/>
    <s v="Standard Class"/>
    <x v="429"/>
    <x v="429"/>
    <s v="Home Office"/>
    <x v="0"/>
    <s v="Eagan"/>
    <s v="Minnesota"/>
    <n v="55122"/>
    <s v="Central"/>
    <s v="OFF-AR-10001915"/>
    <s v="Office Supplies"/>
    <s v="Art"/>
    <x v="425"/>
    <n v="29.79"/>
    <m/>
    <s v="Office Supplies"/>
    <s v="OS"/>
  </r>
  <r>
    <n v="1621"/>
    <s v="CA-2018-108560"/>
    <s v="08/07/2018"/>
    <s v="15/07/2018"/>
    <s v="Standard Class"/>
    <x v="430"/>
    <x v="430"/>
    <s v="Consumer"/>
    <x v="0"/>
    <s v="Kent"/>
    <s v="Washington"/>
    <n v="98031"/>
    <s v="West"/>
    <s v="FUR-FU-10002937"/>
    <s v="Furniture"/>
    <s v="Furnishings"/>
    <x v="426"/>
    <n v="198.46"/>
    <m/>
    <s v="Cardbaord"/>
    <s v="cardbaord"/>
  </r>
  <r>
    <n v="1638"/>
    <s v="CA-2015-168984"/>
    <s v="26/11/2015"/>
    <s v="02/12/2015"/>
    <s v="Standard Class"/>
    <x v="431"/>
    <x v="431"/>
    <s v="Consumer"/>
    <x v="0"/>
    <s v="Tigard"/>
    <s v="Oregon"/>
    <n v="97224"/>
    <s v="West"/>
    <s v="TEC-PH-10000038"/>
    <s v="Technology"/>
    <s v="Phones"/>
    <x v="427"/>
    <n v="438.33600000000001"/>
    <m/>
    <s v="Technology"/>
    <s v="Technology"/>
  </r>
  <r>
    <n v="1639"/>
    <s v="CA-2017-157266"/>
    <s v="26/05/2017"/>
    <s v="01/06/2017"/>
    <s v="Standard Class"/>
    <x v="432"/>
    <x v="432"/>
    <s v="Consumer"/>
    <x v="0"/>
    <s v="Washington"/>
    <s v="District of Columbia"/>
    <n v="20016"/>
    <s v="East"/>
    <s v="OFF-PA-10002689"/>
    <s v="Office Supplies"/>
    <s v="Paper"/>
    <x v="428"/>
    <n v="19.440000000000001"/>
    <m/>
    <s v="Office Supplies"/>
    <s v="OS"/>
  </r>
  <r>
    <n v="1651"/>
    <s v="CA-2015-135699"/>
    <s v="29/08/2015"/>
    <s v="29/08/2015"/>
    <s v="Same Day"/>
    <x v="433"/>
    <x v="433"/>
    <s v="Corporate"/>
    <x v="0"/>
    <s v="San Francisco"/>
    <s v="California"/>
    <n v="94110"/>
    <s v="West"/>
    <s v="OFF-PA-10004475"/>
    <s v="Office Supplies"/>
    <s v="Paper"/>
    <x v="429"/>
    <n v="109.92"/>
    <m/>
    <s v="Office Supplies"/>
    <s v="OS"/>
  </r>
  <r>
    <n v="1655"/>
    <s v="US-2018-132444"/>
    <s v="18/11/2018"/>
    <s v="21/11/2018"/>
    <s v="First Class"/>
    <x v="434"/>
    <x v="434"/>
    <s v="Consumer"/>
    <x v="0"/>
    <s v="Seattle"/>
    <s v="Washington"/>
    <n v="98105"/>
    <s v="West"/>
    <s v="OFF-FA-10000611"/>
    <s v="Office Supplies"/>
    <s v="Fasteners"/>
    <x v="430"/>
    <n v="2.96"/>
    <m/>
    <s v="Office Supplies"/>
    <s v="OS"/>
  </r>
  <r>
    <n v="1659"/>
    <s v="CA-2018-161809"/>
    <s v="20/01/2018"/>
    <s v="26/01/2018"/>
    <s v="Standard Class"/>
    <x v="435"/>
    <x v="435"/>
    <s v="Consumer"/>
    <x v="0"/>
    <s v="Los Angeles"/>
    <s v="California"/>
    <n v="90045"/>
    <s v="West"/>
    <s v="TEC-PH-10004922"/>
    <s v="Technology"/>
    <s v="Phones"/>
    <x v="431"/>
    <n v="160.77600000000001"/>
    <m/>
    <s v="Technology"/>
    <s v="Technology"/>
  </r>
  <r>
    <n v="1663"/>
    <s v="CA-2018-144526"/>
    <s v="30/04/2018"/>
    <s v="06/05/2018"/>
    <s v="Standard Class"/>
    <x v="436"/>
    <x v="436"/>
    <s v="Corporate"/>
    <x v="0"/>
    <s v="Philadelphia"/>
    <s v="Pennsylvania"/>
    <n v="19143"/>
    <s v="East"/>
    <s v="OFF-BI-10002353"/>
    <s v="Office Supplies"/>
    <s v="Binders"/>
    <x v="432"/>
    <n v="13.896000000000001"/>
    <m/>
    <s v="Office Supplies"/>
    <s v="OS"/>
  </r>
  <r>
    <n v="1666"/>
    <s v="CA-2017-128531"/>
    <s v="24/11/2017"/>
    <s v="26/11/2017"/>
    <s v="Second Class"/>
    <x v="437"/>
    <x v="437"/>
    <s v="Consumer"/>
    <x v="0"/>
    <s v="Dallas"/>
    <s v="Texas"/>
    <n v="75217"/>
    <s v="Central"/>
    <s v="OFF-FA-10002676"/>
    <s v="Office Supplies"/>
    <s v="Fasteners"/>
    <x v="433"/>
    <n v="4.3440000000000003"/>
    <m/>
    <s v="Office Supplies"/>
    <s v="OS"/>
  </r>
  <r>
    <n v="1694"/>
    <s v="US-2017-158708"/>
    <s v="26/06/2017"/>
    <s v="29/06/2017"/>
    <s v="Second Class"/>
    <x v="438"/>
    <x v="438"/>
    <s v="Home Office"/>
    <x v="0"/>
    <s v="Plano"/>
    <s v="Texas"/>
    <n v="75023"/>
    <s v="Central"/>
    <s v="TEC-AC-10003133"/>
    <s v="Technology"/>
    <s v="Accessories"/>
    <x v="434"/>
    <n v="13.616"/>
    <m/>
    <s v="Technology"/>
    <s v="Technology"/>
  </r>
  <r>
    <n v="1704"/>
    <s v="CA-2015-139857"/>
    <s v="02/02/2015"/>
    <s v="06/02/2015"/>
    <s v="Standard Class"/>
    <x v="439"/>
    <x v="439"/>
    <s v="Home Office"/>
    <x v="0"/>
    <s v="San Diego"/>
    <s v="California"/>
    <n v="92037"/>
    <s v="West"/>
    <s v="OFF-FA-10001843"/>
    <s v="Office Supplies"/>
    <s v="Fasteners"/>
    <x v="198"/>
    <n v="12.35"/>
    <m/>
    <s v="Office Supplies"/>
    <s v="OS"/>
  </r>
  <r>
    <n v="1707"/>
    <s v="CA-2018-123491"/>
    <s v="30/10/2018"/>
    <s v="05/11/2018"/>
    <s v="Standard Class"/>
    <x v="440"/>
    <x v="440"/>
    <s v="Consumer"/>
    <x v="0"/>
    <s v="San Francisco"/>
    <s v="California"/>
    <n v="94122"/>
    <s v="West"/>
    <s v="OFF-LA-10003077"/>
    <s v="Office Supplies"/>
    <s v="Labels"/>
    <x v="435"/>
    <n v="43.86"/>
    <m/>
    <s v="Office Supplies"/>
    <s v="OS"/>
  </r>
  <r>
    <n v="1715"/>
    <s v="CA-2018-104003"/>
    <s v="07/10/2018"/>
    <s v="13/10/2018"/>
    <s v="Standard Class"/>
    <x v="441"/>
    <x v="441"/>
    <s v="Consumer"/>
    <x v="0"/>
    <s v="San Francisco"/>
    <s v="California"/>
    <n v="94110"/>
    <s v="West"/>
    <s v="FUR-BO-10003965"/>
    <s v="Furniture"/>
    <s v="Bookcases"/>
    <x v="436"/>
    <n v="307.666"/>
    <m/>
    <s v="Cardbaord"/>
    <s v="cardbaord"/>
  </r>
  <r>
    <n v="1728"/>
    <s v="US-2018-164056"/>
    <s v="29/04/2018"/>
    <s v="04/05/2018"/>
    <s v="Second Class"/>
    <x v="442"/>
    <x v="442"/>
    <s v="Corporate"/>
    <x v="0"/>
    <s v="Dublin"/>
    <s v="Ohio"/>
    <n v="43017"/>
    <s v="East"/>
    <s v="FUR-TA-10001307"/>
    <s v="Furniture"/>
    <s v="Tables"/>
    <x v="437"/>
    <n v="1048.3499999999999"/>
    <m/>
    <s v="Cardbaord"/>
    <s v="cardbaord"/>
  </r>
  <r>
    <n v="1731"/>
    <s v="CA-2015-125136"/>
    <s v="28/09/2015"/>
    <s v="03/10/2015"/>
    <s v="Standard Class"/>
    <x v="443"/>
    <x v="443"/>
    <s v="Corporate"/>
    <x v="0"/>
    <s v="Fayetteville"/>
    <s v="North Carolina"/>
    <n v="28314"/>
    <s v="South"/>
    <s v="OFF-PA-10001457"/>
    <s v="Office Supplies"/>
    <s v="Paper"/>
    <x v="438"/>
    <n v="96.256"/>
    <m/>
    <s v="Office Supplies"/>
    <s v="OS"/>
  </r>
  <r>
    <n v="1757"/>
    <s v="CA-2016-135622"/>
    <s v="08/12/2016"/>
    <s v="11/12/2016"/>
    <s v="Second Class"/>
    <x v="444"/>
    <x v="444"/>
    <s v="Home Office"/>
    <x v="0"/>
    <s v="Fort Worth"/>
    <s v="Texas"/>
    <n v="76106"/>
    <s v="Central"/>
    <s v="TEC-PH-10001817"/>
    <s v="Technology"/>
    <s v="Phones"/>
    <x v="439"/>
    <n v="1718.4"/>
    <m/>
    <s v="Technology"/>
    <s v="Technology"/>
  </r>
  <r>
    <n v="1766"/>
    <s v="CA-2017-110254"/>
    <s v="04/08/2017"/>
    <s v="08/08/2017"/>
    <s v="Standard Class"/>
    <x v="445"/>
    <x v="445"/>
    <s v="Home Office"/>
    <x v="0"/>
    <s v="Suffolk"/>
    <s v="Virginia"/>
    <n v="23434"/>
    <s v="South"/>
    <s v="FUR-FU-10001591"/>
    <s v="Furniture"/>
    <s v="Furnishings"/>
    <x v="440"/>
    <n v="109.8"/>
    <m/>
    <s v="Cardbaord"/>
    <s v="cardbaord"/>
  </r>
  <r>
    <n v="1787"/>
    <s v="CA-2018-166317"/>
    <s v="22/09/2018"/>
    <s v="26/09/2018"/>
    <s v="Standard Class"/>
    <x v="446"/>
    <x v="446"/>
    <s v="Corporate"/>
    <x v="0"/>
    <s v="Milwaukee"/>
    <s v="Wisconsin"/>
    <n v="53209"/>
    <s v="Central"/>
    <s v="TEC-PH-10001615"/>
    <s v="Technology"/>
    <s v="Phones"/>
    <x v="441"/>
    <n v="86.97"/>
    <m/>
    <s v="Technology"/>
    <s v="Technology"/>
  </r>
  <r>
    <n v="1790"/>
    <s v="CA-2016-154326"/>
    <s v="15/02/2016"/>
    <s v="19/02/2016"/>
    <s v="Standard Class"/>
    <x v="447"/>
    <x v="447"/>
    <s v="Corporate"/>
    <x v="0"/>
    <s v="Kenosha"/>
    <s v="Wisconsin"/>
    <n v="53142"/>
    <s v="Central"/>
    <s v="TEC-AC-10004568"/>
    <s v="Technology"/>
    <s v="Accessories"/>
    <x v="442"/>
    <n v="139.94999999999999"/>
    <m/>
    <s v="Technology"/>
    <s v="Technology"/>
  </r>
  <r>
    <n v="1801"/>
    <s v="CA-2017-121034"/>
    <s v="08/08/2017"/>
    <s v="10/08/2017"/>
    <s v="Second Class"/>
    <x v="448"/>
    <x v="448"/>
    <s v="Consumer"/>
    <x v="0"/>
    <s v="Dallas"/>
    <s v="Texas"/>
    <n v="75081"/>
    <s v="Central"/>
    <s v="OFF-PA-10001994"/>
    <s v="Office Supplies"/>
    <s v="Paper"/>
    <x v="443"/>
    <n v="53.951999999999998"/>
    <m/>
    <s v="Office Supplies"/>
    <s v="OS"/>
  </r>
  <r>
    <n v="1809"/>
    <s v="CA-2017-164938"/>
    <s v="11/02/2017"/>
    <s v="13/02/2017"/>
    <s v="First Class"/>
    <x v="449"/>
    <x v="449"/>
    <s v="Corporate"/>
    <x v="0"/>
    <s v="Tulsa"/>
    <s v="Oklahoma"/>
    <n v="74133"/>
    <s v="Central"/>
    <s v="TEC-PH-10004897"/>
    <s v="Technology"/>
    <s v="Phones"/>
    <x v="444"/>
    <n v="69.930000000000007"/>
    <m/>
    <s v="Technology"/>
    <s v="Technology"/>
  </r>
  <r>
    <n v="1818"/>
    <s v="CA-2016-125423"/>
    <s v="13/12/2016"/>
    <s v="15/12/2016"/>
    <s v="Second Class"/>
    <x v="450"/>
    <x v="450"/>
    <s v="Consumer"/>
    <x v="0"/>
    <s v="Los Angeles"/>
    <s v="California"/>
    <n v="90036"/>
    <s v="West"/>
    <s v="OFF-LA-10001771"/>
    <s v="Office Supplies"/>
    <s v="Labels"/>
    <x v="445"/>
    <n v="9.9600000000000009"/>
    <m/>
    <s v="Office Supplies"/>
    <s v="OS"/>
  </r>
  <r>
    <n v="1819"/>
    <s v="US-2015-130379"/>
    <s v="25/05/2015"/>
    <s v="29/05/2015"/>
    <s v="Standard Class"/>
    <x v="451"/>
    <x v="451"/>
    <s v="Consumer"/>
    <x v="0"/>
    <s v="Chicago"/>
    <s v="Illinois"/>
    <n v="60623"/>
    <s v="Central"/>
    <s v="OFF-AP-10001394"/>
    <s v="Office Supplies"/>
    <s v="Appliances"/>
    <x v="446"/>
    <n v="75.599999999999994"/>
    <m/>
    <s v="Office Supplies"/>
    <s v="OS"/>
  </r>
  <r>
    <n v="1828"/>
    <s v="CA-2017-109344"/>
    <s v="08/02/2017"/>
    <s v="11/02/2017"/>
    <s v="Second Class"/>
    <x v="452"/>
    <x v="452"/>
    <s v="Home Office"/>
    <x v="0"/>
    <s v="Raleigh"/>
    <s v="North Carolina"/>
    <n v="27604"/>
    <s v="South"/>
    <s v="TEC-PH-10002624"/>
    <s v="Technology"/>
    <s v="Phones"/>
    <x v="447"/>
    <n v="1127.9760000000001"/>
    <m/>
    <s v="Technology"/>
    <s v="Technology"/>
  </r>
  <r>
    <n v="1831"/>
    <s v="CA-2018-145884"/>
    <s v="21/10/2018"/>
    <s v="21/10/2018"/>
    <s v="Same Day"/>
    <x v="453"/>
    <x v="453"/>
    <s v="Home Office"/>
    <x v="0"/>
    <s v="Muskogee"/>
    <s v="Oklahoma"/>
    <n v="74403"/>
    <s v="Central"/>
    <s v="TEC-PH-10000895"/>
    <s v="Technology"/>
    <s v="Phones"/>
    <x v="448"/>
    <n v="1439.92"/>
    <m/>
    <s v="Technology"/>
    <s v="Technology"/>
  </r>
  <r>
    <n v="1840"/>
    <s v="CA-2015-117345"/>
    <s v="01/08/2015"/>
    <s v="05/08/2015"/>
    <s v="Standard Class"/>
    <x v="454"/>
    <x v="454"/>
    <s v="Corporate"/>
    <x v="0"/>
    <s v="Charlotte"/>
    <s v="North Carolina"/>
    <n v="28205"/>
    <s v="South"/>
    <s v="OFF-AP-10001005"/>
    <s v="Office Supplies"/>
    <s v="Appliances"/>
    <x v="449"/>
    <n v="62.92"/>
    <m/>
    <s v="Office Supplies"/>
    <s v="OS"/>
  </r>
  <r>
    <n v="1842"/>
    <s v="CA-2017-157763"/>
    <s v="18/07/2017"/>
    <s v="23/07/2017"/>
    <s v="Standard Class"/>
    <x v="455"/>
    <x v="455"/>
    <s v="Corporate"/>
    <x v="0"/>
    <s v="Bowling Green"/>
    <s v="Kentucky"/>
    <n v="42104"/>
    <s v="South"/>
    <s v="FUR-CH-10000988"/>
    <s v="Furniture"/>
    <s v="Chairs"/>
    <x v="450"/>
    <n v="140.81"/>
    <m/>
    <s v="Cardbaord"/>
    <s v="cardbaord"/>
  </r>
  <r>
    <n v="1847"/>
    <s v="US-2018-158512"/>
    <s v="12/01/2018"/>
    <s v="17/01/2018"/>
    <s v="Second Class"/>
    <x v="456"/>
    <x v="456"/>
    <s v="Home Office"/>
    <x v="0"/>
    <s v="Washington"/>
    <s v="District of Columbia"/>
    <n v="20016"/>
    <s v="East"/>
    <s v="FUR-FU-10004973"/>
    <s v="Furniture"/>
    <s v="Furnishings"/>
    <x v="451"/>
    <n v="37.68"/>
    <m/>
    <s v="Cardbaord"/>
    <s v="cardbaord"/>
  </r>
  <r>
    <n v="1865"/>
    <s v="US-2017-100839"/>
    <s v="13/10/2017"/>
    <s v="17/10/2017"/>
    <s v="Standard Class"/>
    <x v="457"/>
    <x v="457"/>
    <s v="Corporate"/>
    <x v="0"/>
    <s v="Aurora"/>
    <s v="Colorado"/>
    <n v="80013"/>
    <s v="West"/>
    <s v="FUR-FU-10001617"/>
    <s v="Furniture"/>
    <s v="Furnishings"/>
    <x v="452"/>
    <n v="24.96"/>
    <m/>
    <s v="Cardbaord"/>
    <s v="cardbaord"/>
  </r>
  <r>
    <n v="1871"/>
    <s v="CA-2015-116932"/>
    <s v="21/07/2015"/>
    <s v="25/07/2015"/>
    <s v="Standard Class"/>
    <x v="458"/>
    <x v="458"/>
    <s v="Corporate"/>
    <x v="0"/>
    <s v="San Francisco"/>
    <s v="California"/>
    <n v="94122"/>
    <s v="West"/>
    <s v="OFF-AR-10002067"/>
    <s v="Office Supplies"/>
    <s v="Art"/>
    <x v="453"/>
    <n v="99.2"/>
    <m/>
    <s v="Office Supplies"/>
    <s v="OS"/>
  </r>
  <r>
    <n v="1874"/>
    <s v="CA-2018-142888"/>
    <s v="21/11/2018"/>
    <s v="25/11/2018"/>
    <s v="Standard Class"/>
    <x v="459"/>
    <x v="459"/>
    <s v="Consumer"/>
    <x v="0"/>
    <s v="Spokane"/>
    <s v="Washington"/>
    <n v="99207"/>
    <s v="West"/>
    <s v="FUR-TA-10004767"/>
    <s v="Furniture"/>
    <s v="Tables"/>
    <x v="454"/>
    <n v="70.98"/>
    <m/>
    <s v="Cardbaord"/>
    <s v="cardbaord"/>
  </r>
  <r>
    <n v="1895"/>
    <s v="US-2018-108063"/>
    <s v="02/12/2018"/>
    <s v="05/12/2018"/>
    <s v="First Class"/>
    <x v="460"/>
    <x v="460"/>
    <s v="Consumer"/>
    <x v="0"/>
    <s v="Charlottesville"/>
    <s v="Virginia"/>
    <n v="22901"/>
    <s v="South"/>
    <s v="OFF-AR-10001446"/>
    <s v="Office Supplies"/>
    <s v="Art"/>
    <x v="455"/>
    <n v="34.65"/>
    <m/>
    <s v="Office Supplies"/>
    <s v="OS"/>
  </r>
  <r>
    <n v="1897"/>
    <s v="CA-2018-141789"/>
    <s v="03/10/2018"/>
    <s v="06/10/2018"/>
    <s v="First Class"/>
    <x v="461"/>
    <x v="461"/>
    <s v="Consumer"/>
    <x v="0"/>
    <s v="Minneapolis"/>
    <s v="Minnesota"/>
    <n v="55407"/>
    <s v="Central"/>
    <s v="OFF-BI-10001359"/>
    <s v="Office Supplies"/>
    <s v="Binders"/>
    <x v="456"/>
    <n v="1793.98"/>
    <m/>
    <s v="Office Supplies"/>
    <s v="OS"/>
  </r>
  <r>
    <n v="1910"/>
    <s v="CA-2018-105886"/>
    <s v="18/12/2018"/>
    <s v="23/12/2018"/>
    <s v="Standard Class"/>
    <x v="462"/>
    <x v="462"/>
    <s v="Consumer"/>
    <x v="0"/>
    <s v="Oceanside"/>
    <s v="New York"/>
    <n v="11572"/>
    <s v="East"/>
    <s v="FUR-FU-10001037"/>
    <s v="Furniture"/>
    <s v="Furnishings"/>
    <x v="457"/>
    <n v="18.96"/>
    <m/>
    <s v="Cardbaord"/>
    <s v="cardbaord"/>
  </r>
  <r>
    <n v="1920"/>
    <s v="US-2018-111423"/>
    <s v="17/08/2018"/>
    <s v="19/08/2018"/>
    <s v="First Class"/>
    <x v="463"/>
    <x v="463"/>
    <s v="Corporate"/>
    <x v="0"/>
    <s v="Watertown"/>
    <s v="New York"/>
    <n v="13601"/>
    <s v="East"/>
    <s v="OFF-BI-10003091"/>
    <s v="Office Supplies"/>
    <s v="Binders"/>
    <x v="458"/>
    <n v="895.92"/>
    <m/>
    <s v="Office Supplies"/>
    <s v="OS"/>
  </r>
  <r>
    <n v="1922"/>
    <s v="CA-2016-125178"/>
    <s v="03/10/2016"/>
    <s v="09/10/2016"/>
    <s v="Standard Class"/>
    <x v="464"/>
    <x v="464"/>
    <s v="Corporate"/>
    <x v="0"/>
    <s v="Reading"/>
    <s v="Pennsylvania"/>
    <n v="19601"/>
    <s v="East"/>
    <s v="OFF-ST-10002562"/>
    <s v="Office Supplies"/>
    <s v="Storage"/>
    <x v="459"/>
    <n v="15.007999999999999"/>
    <m/>
    <s v="Office Supplies"/>
    <s v="OS"/>
  </r>
  <r>
    <n v="1923"/>
    <s v="CA-2017-156685"/>
    <s v="08/07/2017"/>
    <s v="10/07/2017"/>
    <s v="Second Class"/>
    <x v="465"/>
    <x v="465"/>
    <s v="Corporate"/>
    <x v="0"/>
    <s v="Arlington"/>
    <s v="Texas"/>
    <n v="76017"/>
    <s v="Central"/>
    <s v="TEC-PH-10004345"/>
    <s v="Technology"/>
    <s v="Phones"/>
    <x v="460"/>
    <n v="863.64"/>
    <m/>
    <s v="Technology"/>
    <s v="Technology"/>
  </r>
  <r>
    <n v="1933"/>
    <s v="CA-2018-161200"/>
    <s v="06/08/2018"/>
    <s v="10/08/2018"/>
    <s v="Second Class"/>
    <x v="466"/>
    <x v="466"/>
    <s v="Consumer"/>
    <x v="0"/>
    <s v="Lafayette"/>
    <s v="Louisiana"/>
    <n v="70506"/>
    <s v="South"/>
    <s v="FUR-BO-10000468"/>
    <s v="Furniture"/>
    <s v="Bookcases"/>
    <x v="461"/>
    <n v="145.74"/>
    <m/>
    <s v="Cardbaord"/>
    <s v="cardbaord"/>
  </r>
  <r>
    <n v="1938"/>
    <s v="CA-2017-112109"/>
    <s v="08/07/2017"/>
    <s v="12/07/2017"/>
    <s v="Standard Class"/>
    <x v="467"/>
    <x v="467"/>
    <s v="Consumer"/>
    <x v="0"/>
    <s v="Broomfield"/>
    <s v="Colorado"/>
    <n v="80020"/>
    <s v="West"/>
    <s v="OFF-BI-10002082"/>
    <s v="Office Supplies"/>
    <s v="Binders"/>
    <x v="462"/>
    <n v="19.968"/>
    <m/>
    <s v="Office Supplies"/>
    <s v="OS"/>
  </r>
  <r>
    <n v="1955"/>
    <s v="CA-2018-157987"/>
    <s v="02/09/2018"/>
    <s v="06/09/2018"/>
    <s v="Standard Class"/>
    <x v="468"/>
    <x v="468"/>
    <s v="Corporate"/>
    <x v="0"/>
    <s v="New York City"/>
    <s v="New York"/>
    <n v="10009"/>
    <s v="East"/>
    <s v="OFF-AR-10004582"/>
    <s v="Office Supplies"/>
    <s v="Art"/>
    <x v="463"/>
    <n v="4.92"/>
    <m/>
    <s v="Office Supplies"/>
    <s v="OS"/>
  </r>
  <r>
    <n v="1960"/>
    <s v="CA-2018-110905"/>
    <s v="10/09/2018"/>
    <s v="15/09/2018"/>
    <s v="Second Class"/>
    <x v="469"/>
    <x v="469"/>
    <s v="Consumer"/>
    <x v="0"/>
    <s v="Springfield"/>
    <s v="Missouri"/>
    <n v="65807"/>
    <s v="Central"/>
    <s v="OFF-AP-10004785"/>
    <s v="Office Supplies"/>
    <s v="Appliances"/>
    <x v="464"/>
    <n v="33.99"/>
    <m/>
    <s v="Office Supplies"/>
    <s v="OS"/>
  </r>
  <r>
    <n v="1973"/>
    <s v="CA-2015-148950"/>
    <s v="14/12/2015"/>
    <s v="19/12/2015"/>
    <s v="Standard Class"/>
    <x v="470"/>
    <x v="470"/>
    <s v="Consumer"/>
    <x v="0"/>
    <s v="Chicago"/>
    <s v="Illinois"/>
    <n v="60610"/>
    <s v="Central"/>
    <s v="OFF-BI-10001249"/>
    <s v="Office Supplies"/>
    <s v="Binders"/>
    <x v="465"/>
    <n v="5.1040000000000001"/>
    <m/>
    <s v="Office Supplies"/>
    <s v="OS"/>
  </r>
  <r>
    <n v="1996"/>
    <s v="US-2018-147221"/>
    <s v="02/12/2018"/>
    <s v="04/12/2018"/>
    <s v="Second Class"/>
    <x v="471"/>
    <x v="471"/>
    <s v="Consumer"/>
    <x v="0"/>
    <s v="Houston"/>
    <s v="Texas"/>
    <n v="77036"/>
    <s v="Central"/>
    <s v="OFF-AP-10002534"/>
    <s v="Office Supplies"/>
    <s v="Appliances"/>
    <x v="466"/>
    <n v="294.62"/>
    <m/>
    <s v="Office Supplies"/>
    <s v="OS"/>
  </r>
  <r>
    <n v="2008"/>
    <s v="CA-2018-165386"/>
    <s v="03/08/2018"/>
    <s v="04/08/2018"/>
    <s v="First Class"/>
    <x v="472"/>
    <x v="472"/>
    <s v="Consumer"/>
    <x v="0"/>
    <s v="Chicago"/>
    <s v="Illinois"/>
    <n v="60623"/>
    <s v="Central"/>
    <s v="FUR-BO-10003034"/>
    <s v="Furniture"/>
    <s v="Bookcases"/>
    <x v="467"/>
    <n v="183.37200000000001"/>
    <m/>
    <s v="Cardbaord"/>
    <s v="cardbaord"/>
  </r>
  <r>
    <n v="2013"/>
    <s v="CA-2016-155761"/>
    <s v="11/12/2016"/>
    <s v="11/12/2016"/>
    <s v="Same Day"/>
    <x v="473"/>
    <x v="473"/>
    <s v="Consumer"/>
    <x v="0"/>
    <s v="Houston"/>
    <s v="Texas"/>
    <n v="77041"/>
    <s v="Central"/>
    <s v="OFF-ST-10000943"/>
    <s v="Office Supplies"/>
    <s v="Storage"/>
    <x v="468"/>
    <n v="46.344000000000001"/>
    <m/>
    <s v="Office Supplies"/>
    <s v="OS"/>
  </r>
  <r>
    <n v="2015"/>
    <s v="CA-2017-145905"/>
    <s v="18/09/2017"/>
    <s v="23/09/2017"/>
    <s v="Standard Class"/>
    <x v="474"/>
    <x v="474"/>
    <s v="Consumer"/>
    <x v="0"/>
    <s v="Auburn"/>
    <s v="Alabama"/>
    <n v="36830"/>
    <s v="South"/>
    <s v="OFF-PA-10000533"/>
    <s v="Office Supplies"/>
    <s v="Paper"/>
    <x v="469"/>
    <n v="13.08"/>
    <m/>
    <s v="Office Supplies"/>
    <s v="OS"/>
  </r>
  <r>
    <n v="2039"/>
    <s v="CA-2016-122287"/>
    <s v="18/06/2016"/>
    <s v="23/06/2016"/>
    <s v="Standard Class"/>
    <x v="475"/>
    <x v="475"/>
    <s v="Home Office"/>
    <x v="0"/>
    <s v="Peoria"/>
    <s v="Arizona"/>
    <n v="85345"/>
    <s v="West"/>
    <s v="OFF-PA-10001661"/>
    <s v="Office Supplies"/>
    <s v="Paper"/>
    <x v="470"/>
    <n v="11.952"/>
    <m/>
    <s v="Office Supplies"/>
    <s v="OS"/>
  </r>
  <r>
    <n v="2074"/>
    <s v="CA-2018-122504"/>
    <s v="07/11/2018"/>
    <s v="12/11/2018"/>
    <s v="Second Class"/>
    <x v="476"/>
    <x v="476"/>
    <s v="Home Office"/>
    <x v="0"/>
    <s v="Brentwood"/>
    <s v="California"/>
    <n v="94513"/>
    <s v="West"/>
    <s v="TEC-AC-10003289"/>
    <s v="Technology"/>
    <s v="Accessories"/>
    <x v="471"/>
    <n v="59.97"/>
    <m/>
    <s v="Technology"/>
    <s v="Technology"/>
  </r>
  <r>
    <n v="2125"/>
    <s v="CA-2018-144862"/>
    <s v="01/12/2018"/>
    <s v="05/12/2018"/>
    <s v="Standard Class"/>
    <x v="477"/>
    <x v="477"/>
    <s v="Home Office"/>
    <x v="0"/>
    <s v="Philadelphia"/>
    <s v="Pennsylvania"/>
    <n v="19143"/>
    <s v="East"/>
    <s v="OFF-EN-10003040"/>
    <s v="Office Supplies"/>
    <s v="Envelopes"/>
    <x v="472"/>
    <n v="104.68"/>
    <m/>
    <s v="Office Supplies"/>
    <s v="OS"/>
  </r>
  <r>
    <n v="2130"/>
    <s v="US-2015-114188"/>
    <s v="20/05/2015"/>
    <s v="22/05/2015"/>
    <s v="Second Class"/>
    <x v="478"/>
    <x v="478"/>
    <s v="Corporate"/>
    <x v="0"/>
    <s v="Dover"/>
    <s v="New Hampshire"/>
    <n v="3820"/>
    <s v="East"/>
    <s v="OFF-AP-10000124"/>
    <s v="Office Supplies"/>
    <s v="Appliances"/>
    <x v="473"/>
    <n v="33.28"/>
    <m/>
    <s v="Office Supplies"/>
    <s v="OS"/>
  </r>
  <r>
    <n v="2136"/>
    <s v="CA-2016-122210"/>
    <s v="30/11/2016"/>
    <s v="04/12/2016"/>
    <s v="Standard Class"/>
    <x v="479"/>
    <x v="479"/>
    <s v="Consumer"/>
    <x v="0"/>
    <s v="Philadelphia"/>
    <s v="Pennsylvania"/>
    <n v="19134"/>
    <s v="East"/>
    <s v="TEC-PH-10002807"/>
    <s v="Technology"/>
    <s v="Phones"/>
    <x v="474"/>
    <n v="94.92"/>
    <m/>
    <s v="Technology"/>
    <s v="Technology"/>
  </r>
  <r>
    <n v="2137"/>
    <s v="CA-2016-156377"/>
    <s v="31/12/2016"/>
    <s v="05/01/2017"/>
    <s v="Standard Class"/>
    <x v="480"/>
    <x v="480"/>
    <s v="Consumer"/>
    <x v="0"/>
    <s v="Grand Prairie"/>
    <s v="Texas"/>
    <n v="75051"/>
    <s v="Central"/>
    <s v="FUR-FU-10002364"/>
    <s v="Furniture"/>
    <s v="Furnishings"/>
    <x v="475"/>
    <n v="14.76"/>
    <m/>
    <s v="Cardbaord"/>
    <s v="cardbaord"/>
  </r>
  <r>
    <n v="2173"/>
    <s v="CA-2015-152296"/>
    <s v="01/08/2015"/>
    <s v="03/08/2015"/>
    <s v="First Class"/>
    <x v="481"/>
    <x v="481"/>
    <s v="Consumer"/>
    <x v="0"/>
    <s v="San Francisco"/>
    <s v="California"/>
    <n v="94122"/>
    <s v="West"/>
    <s v="OFF-BI-10004506"/>
    <s v="Office Supplies"/>
    <s v="Binders"/>
    <x v="476"/>
    <n v="19.751999999999999"/>
    <m/>
    <s v="Office Supplies"/>
    <s v="OS"/>
  </r>
  <r>
    <n v="2176"/>
    <s v="CA-2017-125738"/>
    <s v="15/10/2017"/>
    <s v="21/10/2017"/>
    <s v="Standard Class"/>
    <x v="482"/>
    <x v="482"/>
    <s v="Home Office"/>
    <x v="0"/>
    <s v="Salt Lake City"/>
    <s v="Utah"/>
    <n v="84106"/>
    <s v="West"/>
    <s v="OFF-PA-10000740"/>
    <s v="Office Supplies"/>
    <s v="Paper"/>
    <x v="477"/>
    <n v="45.68"/>
    <m/>
    <s v="Office Supplies"/>
    <s v="OS"/>
  </r>
  <r>
    <n v="2210"/>
    <s v="CA-2015-125556"/>
    <s v="14/11/2015"/>
    <s v="16/11/2015"/>
    <s v="Second Class"/>
    <x v="483"/>
    <x v="483"/>
    <s v="Consumer"/>
    <x v="0"/>
    <s v="Fairfield"/>
    <s v="Connecticut"/>
    <n v="6824"/>
    <s v="East"/>
    <s v="TEC-PH-10001079"/>
    <s v="Technology"/>
    <s v="Phones"/>
    <x v="478"/>
    <n v="832.93"/>
    <m/>
    <s v="Technology"/>
    <s v="Technology"/>
  </r>
  <r>
    <n v="2218"/>
    <s v="CA-2015-151953"/>
    <s v="20/09/2015"/>
    <s v="25/09/2015"/>
    <s v="Standard Class"/>
    <x v="484"/>
    <x v="484"/>
    <s v="Corporate"/>
    <x v="0"/>
    <s v="Jacksonville"/>
    <s v="Florida"/>
    <n v="32216"/>
    <s v="South"/>
    <s v="OFF-AR-10003469"/>
    <s v="Office Supplies"/>
    <s v="Art"/>
    <x v="479"/>
    <n v="2.8159999999999998"/>
    <m/>
    <s v="Office Supplies"/>
    <s v="OS"/>
  </r>
  <r>
    <n v="2226"/>
    <s v="CA-2017-106383"/>
    <s v="19/03/2017"/>
    <s v="21/03/2017"/>
    <s v="Second Class"/>
    <x v="485"/>
    <x v="485"/>
    <s v="Consumer"/>
    <x v="0"/>
    <s v="Littleton"/>
    <s v="Colorado"/>
    <n v="80122"/>
    <s v="West"/>
    <s v="FUR-BO-10002202"/>
    <s v="Furniture"/>
    <s v="Bookcases"/>
    <x v="480"/>
    <n v="72.293999999999997"/>
    <m/>
    <s v="Cardbaord"/>
    <s v="cardbaord"/>
  </r>
  <r>
    <n v="2231"/>
    <s v="CA-2015-128055"/>
    <s v="31/03/2015"/>
    <s v="05/04/2015"/>
    <s v="Standard Class"/>
    <x v="486"/>
    <x v="486"/>
    <s v="Consumer"/>
    <x v="0"/>
    <s v="San Francisco"/>
    <s v="California"/>
    <n v="94122"/>
    <s v="West"/>
    <s v="OFF-AP-10002765"/>
    <s v="Office Supplies"/>
    <s v="Appliances"/>
    <x v="481"/>
    <n v="52.98"/>
    <m/>
    <s v="Office Supplies"/>
    <s v="OS"/>
  </r>
  <r>
    <n v="2233"/>
    <s v="CA-2018-132122"/>
    <s v="09/07/2018"/>
    <s v="14/07/2018"/>
    <s v="Standard Class"/>
    <x v="487"/>
    <x v="487"/>
    <s v="Consumer"/>
    <x v="0"/>
    <s v="Chicago"/>
    <s v="Illinois"/>
    <n v="60610"/>
    <s v="Central"/>
    <s v="OFF-ST-10003692"/>
    <s v="Office Supplies"/>
    <s v="Storage"/>
    <x v="482"/>
    <n v="228.92"/>
    <m/>
    <s v="Office Supplies"/>
    <s v="OS"/>
  </r>
  <r>
    <n v="2237"/>
    <s v="CA-2016-145849"/>
    <s v="15/09/2016"/>
    <s v="17/09/2016"/>
    <s v="Second Class"/>
    <x v="488"/>
    <x v="488"/>
    <s v="Consumer"/>
    <x v="0"/>
    <s v="Indianapolis"/>
    <s v="Indiana"/>
    <n v="46203"/>
    <s v="Central"/>
    <s v="OFF-AR-10000817"/>
    <s v="Office Supplies"/>
    <s v="Art"/>
    <x v="483"/>
    <n v="24.32"/>
    <m/>
    <s v="Office Supplies"/>
    <s v="OS"/>
  </r>
  <r>
    <n v="2238"/>
    <s v="CA-2017-122322"/>
    <s v="15/07/2017"/>
    <s v="21/07/2017"/>
    <s v="Standard Class"/>
    <x v="489"/>
    <x v="489"/>
    <s v="Home Office"/>
    <x v="0"/>
    <s v="Provo"/>
    <s v="Utah"/>
    <n v="84604"/>
    <s v="West"/>
    <s v="OFF-SU-10000952"/>
    <s v="Office Supplies"/>
    <s v="Supplies"/>
    <x v="484"/>
    <n v="44.4"/>
    <m/>
    <s v="Office Supplies"/>
    <s v="OS"/>
  </r>
  <r>
    <n v="2239"/>
    <s v="CA-2018-166849"/>
    <s v="20/04/2018"/>
    <s v="26/04/2018"/>
    <s v="Standard Class"/>
    <x v="490"/>
    <x v="490"/>
    <s v="Home Office"/>
    <x v="0"/>
    <s v="Chicago"/>
    <s v="Illinois"/>
    <n v="60610"/>
    <s v="Central"/>
    <s v="FUR-FU-10004597"/>
    <s v="Furniture"/>
    <s v="Furnishings"/>
    <x v="485"/>
    <n v="44.4"/>
    <m/>
    <s v="Cardbaord"/>
    <s v="cardbaord"/>
  </r>
  <r>
    <n v="2241"/>
    <s v="CA-2017-146633"/>
    <s v="15/11/2017"/>
    <s v="17/11/2017"/>
    <s v="Second Class"/>
    <x v="491"/>
    <x v="491"/>
    <s v="Consumer"/>
    <x v="0"/>
    <s v="Los Angeles"/>
    <s v="California"/>
    <n v="90049"/>
    <s v="West"/>
    <s v="OFF-BI-10002982"/>
    <s v="Office Supplies"/>
    <s v="Binders"/>
    <x v="486"/>
    <n v="38.136000000000003"/>
    <m/>
    <s v="Office Supplies"/>
    <s v="OS"/>
  </r>
  <r>
    <n v="2248"/>
    <s v="CA-2016-116092"/>
    <s v="15/02/2016"/>
    <s v="18/02/2016"/>
    <s v="Second Class"/>
    <x v="492"/>
    <x v="492"/>
    <s v="Consumer"/>
    <x v="0"/>
    <s v="Los Angeles"/>
    <s v="California"/>
    <n v="90004"/>
    <s v="West"/>
    <s v="OFF-PA-10004285"/>
    <s v="Office Supplies"/>
    <s v="Paper"/>
    <x v="487"/>
    <n v="13.36"/>
    <m/>
    <s v="Office Supplies"/>
    <s v="OS"/>
  </r>
  <r>
    <n v="2267"/>
    <s v="CA-2018-149146"/>
    <s v="12/10/2018"/>
    <s v="12/10/2018"/>
    <s v="Same Day"/>
    <x v="493"/>
    <x v="493"/>
    <s v="Home Office"/>
    <x v="0"/>
    <s v="Monroe"/>
    <s v="North Carolina"/>
    <n v="28110"/>
    <s v="South"/>
    <s v="OFF-PA-10003919"/>
    <s v="Office Supplies"/>
    <s v="Paper"/>
    <x v="488"/>
    <n v="7.968"/>
    <m/>
    <s v="Office Supplies"/>
    <s v="OS"/>
  </r>
  <r>
    <n v="2268"/>
    <s v="CA-2018-137470"/>
    <s v="17/09/2018"/>
    <s v="17/09/2018"/>
    <s v="Same Day"/>
    <x v="494"/>
    <x v="494"/>
    <s v="Consumer"/>
    <x v="0"/>
    <s v="Seattle"/>
    <s v="Washington"/>
    <n v="98115"/>
    <s v="West"/>
    <s v="OFF-PA-10002001"/>
    <s v="Office Supplies"/>
    <s v="Paper"/>
    <x v="489"/>
    <n v="12.96"/>
    <m/>
    <s v="Office Supplies"/>
    <s v="OS"/>
  </r>
  <r>
    <n v="2286"/>
    <s v="CA-2017-112676"/>
    <s v="05/05/2017"/>
    <s v="08/05/2017"/>
    <s v="First Class"/>
    <x v="495"/>
    <x v="495"/>
    <s v="Corporate"/>
    <x v="0"/>
    <s v="Murfreesboro"/>
    <s v="Tennessee"/>
    <n v="37130"/>
    <s v="South"/>
    <s v="OFF-PA-10003971"/>
    <s v="Office Supplies"/>
    <s v="Paper"/>
    <x v="490"/>
    <n v="14.352"/>
    <m/>
    <s v="Office Supplies"/>
    <s v="OS"/>
  </r>
  <r>
    <n v="2290"/>
    <s v="CA-2018-115154"/>
    <s v="08/01/2018"/>
    <s v="11/01/2018"/>
    <s v="First Class"/>
    <x v="496"/>
    <x v="496"/>
    <s v="Corporate"/>
    <x v="0"/>
    <s v="Seattle"/>
    <s v="Washington"/>
    <n v="98115"/>
    <s v="West"/>
    <s v="FUR-TA-10001950"/>
    <s v="Furniture"/>
    <s v="Tables"/>
    <x v="491"/>
    <n v="892.98"/>
    <m/>
    <s v="Cardbaord"/>
    <s v="cardbaord"/>
  </r>
  <r>
    <n v="2319"/>
    <s v="CA-2018-122035"/>
    <s v="20/07/2018"/>
    <s v="25/07/2018"/>
    <s v="Standard Class"/>
    <x v="497"/>
    <x v="497"/>
    <s v="Corporate"/>
    <x v="0"/>
    <s v="Sioux Falls"/>
    <s v="South Dakota"/>
    <n v="57103"/>
    <s v="Central"/>
    <s v="TEC-AC-10003095"/>
    <s v="Technology"/>
    <s v="Accessories"/>
    <x v="492"/>
    <n v="389.97"/>
    <m/>
    <s v="Technology"/>
    <s v="Technology"/>
  </r>
  <r>
    <n v="2329"/>
    <s v="CA-2018-138422"/>
    <s v="23/09/2018"/>
    <s v="26/09/2018"/>
    <s v="First Class"/>
    <x v="498"/>
    <x v="498"/>
    <s v="Home Office"/>
    <x v="0"/>
    <s v="Fort Collins"/>
    <s v="Colorado"/>
    <n v="80525"/>
    <s v="West"/>
    <s v="OFF-EN-10004147"/>
    <s v="Office Supplies"/>
    <s v="Envelopes"/>
    <x v="493"/>
    <n v="14.352"/>
    <m/>
    <s v="Office Supplies"/>
    <s v="OS"/>
  </r>
  <r>
    <n v="2337"/>
    <s v="CA-2018-152695"/>
    <s v="10/12/2018"/>
    <s v="10/12/2018"/>
    <s v="Same Day"/>
    <x v="499"/>
    <x v="499"/>
    <s v="Consumer"/>
    <x v="0"/>
    <s v="Fairfield"/>
    <s v="Connecticut"/>
    <n v="6824"/>
    <s v="East"/>
    <s v="OFF-AP-10000026"/>
    <s v="Office Supplies"/>
    <s v="Appliances"/>
    <x v="494"/>
    <n v="426.79"/>
    <m/>
    <s v="Office Supplies"/>
    <s v="OS"/>
  </r>
  <r>
    <n v="2356"/>
    <s v="CA-2016-111514"/>
    <s v="31/08/2016"/>
    <s v="02/09/2016"/>
    <s v="First Class"/>
    <x v="500"/>
    <x v="500"/>
    <s v="Corporate"/>
    <x v="0"/>
    <s v="San Francisco"/>
    <s v="California"/>
    <n v="94122"/>
    <s v="West"/>
    <s v="TEC-AC-10004864"/>
    <s v="Technology"/>
    <s v="Accessories"/>
    <x v="495"/>
    <n v="36.51"/>
    <m/>
    <s v="Technology"/>
    <s v="Technology"/>
  </r>
  <r>
    <n v="2367"/>
    <s v="CA-2015-102295"/>
    <s v="24/11/2015"/>
    <s v="26/11/2015"/>
    <s v="Second Class"/>
    <x v="501"/>
    <x v="501"/>
    <s v="Consumer"/>
    <x v="0"/>
    <s v="Sacramento"/>
    <s v="California"/>
    <n v="95823"/>
    <s v="West"/>
    <s v="FUR-CH-10001714"/>
    <s v="Furniture"/>
    <s v="Chairs"/>
    <x v="496"/>
    <n v="120.712"/>
    <m/>
    <s v="Cardbaord"/>
    <s v="cardbaord"/>
  </r>
  <r>
    <n v="2373"/>
    <s v="CA-2017-159940"/>
    <s v="07/07/2017"/>
    <s v="11/07/2017"/>
    <s v="Second Class"/>
    <x v="502"/>
    <x v="502"/>
    <s v="Corporate"/>
    <x v="0"/>
    <s v="Aurora"/>
    <s v="Illinois"/>
    <n v="60505"/>
    <s v="Central"/>
    <s v="OFF-FA-10000936"/>
    <s v="Office Supplies"/>
    <s v="Fasteners"/>
    <x v="497"/>
    <n v="2.6320000000000001"/>
    <m/>
    <s v="Office Supplies"/>
    <s v="OS"/>
  </r>
  <r>
    <n v="2381"/>
    <s v="CA-2017-118052"/>
    <s v="06/05/2017"/>
    <s v="10/05/2017"/>
    <s v="Standard Class"/>
    <x v="503"/>
    <x v="503"/>
    <s v="Home Office"/>
    <x v="0"/>
    <s v="Lorain"/>
    <s v="Ohio"/>
    <n v="44052"/>
    <s v="East"/>
    <s v="OFF-PA-10002581"/>
    <s v="Office Supplies"/>
    <s v="Paper"/>
    <x v="498"/>
    <n v="49.567999999999998"/>
    <m/>
    <s v="Office Supplies"/>
    <s v="OS"/>
  </r>
  <r>
    <n v="2383"/>
    <s v="US-2018-117534"/>
    <s v="25/03/2018"/>
    <s v="26/03/2018"/>
    <s v="First Class"/>
    <x v="504"/>
    <x v="504"/>
    <s v="Consumer"/>
    <x v="0"/>
    <s v="Fresno"/>
    <s v="California"/>
    <n v="93727"/>
    <s v="West"/>
    <s v="OFF-AP-10002403"/>
    <s v="Office Supplies"/>
    <s v="Appliances"/>
    <x v="499"/>
    <n v="176.04"/>
    <m/>
    <s v="Office Supplies"/>
    <s v="OS"/>
  </r>
  <r>
    <n v="2388"/>
    <s v="CA-2016-145065"/>
    <s v="12/12/2016"/>
    <s v="15/12/2016"/>
    <s v="First Class"/>
    <x v="505"/>
    <x v="505"/>
    <s v="Consumer"/>
    <x v="0"/>
    <s v="San Diego"/>
    <s v="California"/>
    <n v="92105"/>
    <s v="West"/>
    <s v="OFF-FA-10001229"/>
    <s v="Office Supplies"/>
    <s v="Fasteners"/>
    <x v="198"/>
    <n v="7.86"/>
    <m/>
    <s v="Office Supplies"/>
    <s v="OS"/>
  </r>
  <r>
    <n v="2390"/>
    <s v="US-2016-127040"/>
    <s v="06/12/2016"/>
    <s v="10/12/2016"/>
    <s v="Standard Class"/>
    <x v="506"/>
    <x v="506"/>
    <s v="Consumer"/>
    <x v="0"/>
    <s v="New York City"/>
    <s v="New York"/>
    <n v="10009"/>
    <s v="East"/>
    <s v="OFF-PA-10004255"/>
    <s v="Office Supplies"/>
    <s v="Paper"/>
    <x v="500"/>
    <n v="6.48"/>
    <m/>
    <s v="Office Supplies"/>
    <s v="OS"/>
  </r>
  <r>
    <n v="2409"/>
    <s v="CA-2018-144589"/>
    <s v="20/01/2018"/>
    <s v="25/01/2018"/>
    <s v="Standard Class"/>
    <x v="507"/>
    <x v="507"/>
    <s v="Consumer"/>
    <x v="0"/>
    <s v="San Francisco"/>
    <s v="California"/>
    <n v="94122"/>
    <s v="West"/>
    <s v="TEC-PH-10003072"/>
    <s v="Technology"/>
    <s v="Phones"/>
    <x v="501"/>
    <n v="359.976"/>
    <m/>
    <s v="Technology"/>
    <s v="Technology"/>
  </r>
  <r>
    <n v="2421"/>
    <s v="CA-2018-159597"/>
    <s v="09/11/2018"/>
    <s v="14/11/2018"/>
    <s v="Standard Class"/>
    <x v="508"/>
    <x v="508"/>
    <s v="Corporate"/>
    <x v="0"/>
    <s v="Coachella"/>
    <s v="California"/>
    <n v="92236"/>
    <s v="West"/>
    <s v="TEC-AC-10004171"/>
    <s v="Technology"/>
    <s v="Accessories"/>
    <x v="502"/>
    <n v="99.99"/>
    <m/>
    <s v="Technology"/>
    <s v="Technology"/>
  </r>
  <r>
    <n v="2426"/>
    <s v="US-2018-147669"/>
    <s v="25/12/2018"/>
    <s v="30/12/2018"/>
    <s v="Standard Class"/>
    <x v="509"/>
    <x v="509"/>
    <s v="Consumer"/>
    <x v="0"/>
    <s v="Fairfield"/>
    <s v="Ohio"/>
    <n v="45014"/>
    <s v="East"/>
    <s v="FUR-TA-10002645"/>
    <s v="Furniture"/>
    <s v="Tables"/>
    <x v="503"/>
    <n v="273.06"/>
    <m/>
    <s v="Cardbaord"/>
    <s v="cardbaord"/>
  </r>
  <r>
    <n v="2433"/>
    <s v="CA-2015-148586"/>
    <s v="25/03/2015"/>
    <s v="01/04/2015"/>
    <s v="Standard Class"/>
    <x v="510"/>
    <x v="510"/>
    <s v="Consumer"/>
    <x v="0"/>
    <s v="New York City"/>
    <s v="New York"/>
    <n v="10009"/>
    <s v="East"/>
    <s v="FUR-CH-10002439"/>
    <s v="Furniture"/>
    <s v="Chairs"/>
    <x v="504"/>
    <n v="366.786"/>
    <m/>
    <s v="Cardbaord"/>
    <s v="cardbaord"/>
  </r>
  <r>
    <n v="2438"/>
    <s v="CA-2015-164210"/>
    <s v="18/11/2015"/>
    <s v="20/11/2015"/>
    <s v="Second Class"/>
    <x v="511"/>
    <x v="511"/>
    <s v="Consumer"/>
    <x v="0"/>
    <s v="Louisville"/>
    <s v="Colorado"/>
    <n v="80027"/>
    <s v="West"/>
    <s v="FUR-TA-10000849"/>
    <s v="Furniture"/>
    <s v="Tables"/>
    <x v="505"/>
    <n v="145.97999999999999"/>
    <m/>
    <s v="Cardbaord"/>
    <s v="cardbaord"/>
  </r>
  <r>
    <n v="2445"/>
    <s v="CA-2017-146934"/>
    <s v="22/05/2017"/>
    <s v="27/05/2017"/>
    <s v="Standard Class"/>
    <x v="512"/>
    <x v="512"/>
    <s v="Consumer"/>
    <x v="0"/>
    <s v="Passaic"/>
    <s v="New Jersey"/>
    <n v="7055"/>
    <s v="East"/>
    <s v="OFF-EN-10002973"/>
    <s v="Office Supplies"/>
    <s v="Envelopes"/>
    <x v="506"/>
    <n v="26.88"/>
    <m/>
    <s v="Office Supplies"/>
    <s v="OS"/>
  </r>
  <r>
    <n v="2451"/>
    <s v="CA-2018-140949"/>
    <s v="17/03/2018"/>
    <s v="22/03/2018"/>
    <s v="Second Class"/>
    <x v="513"/>
    <x v="513"/>
    <s v="Consumer"/>
    <x v="0"/>
    <s v="New York City"/>
    <s v="New York"/>
    <n v="10011"/>
    <s v="East"/>
    <s v="OFF-LA-10000081"/>
    <s v="Office Supplies"/>
    <s v="Labels"/>
    <x v="507"/>
    <n v="18.75"/>
    <m/>
    <s v="Office Supplies"/>
    <s v="OS"/>
  </r>
  <r>
    <n v="2471"/>
    <s v="US-2017-135923"/>
    <s v="22/01/2017"/>
    <s v="28/01/2017"/>
    <s v="Standard Class"/>
    <x v="514"/>
    <x v="514"/>
    <s v="Consumer"/>
    <x v="0"/>
    <s v="Fayetteville"/>
    <s v="North Carolina"/>
    <n v="28314"/>
    <s v="South"/>
    <s v="FUR-FU-10002107"/>
    <s v="Furniture"/>
    <s v="Furnishings"/>
    <x v="508"/>
    <n v="14.272"/>
    <m/>
    <s v="Cardbaord"/>
    <s v="cardbaord"/>
  </r>
  <r>
    <n v="2490"/>
    <s v="CA-2016-141040"/>
    <s v="09/10/2016"/>
    <s v="13/10/2016"/>
    <s v="Second Class"/>
    <x v="515"/>
    <x v="515"/>
    <s v="Consumer"/>
    <x v="0"/>
    <s v="New York City"/>
    <s v="New York"/>
    <n v="10024"/>
    <s v="East"/>
    <s v="TEC-PH-10001835"/>
    <s v="Technology"/>
    <s v="Phones"/>
    <x v="509"/>
    <n v="631.96"/>
    <m/>
    <s v="Technology"/>
    <s v="Technology"/>
  </r>
  <r>
    <n v="2508"/>
    <s v="CA-2016-120397"/>
    <s v="02/07/2016"/>
    <s v="02/07/2016"/>
    <s v="Same Day"/>
    <x v="516"/>
    <x v="516"/>
    <s v="Consumer"/>
    <x v="0"/>
    <s v="Houston"/>
    <s v="Texas"/>
    <n v="77070"/>
    <s v="Central"/>
    <s v="OFF-AP-10001293"/>
    <s v="Office Supplies"/>
    <s v="Appliances"/>
    <x v="510"/>
    <n v="32.783999999999999"/>
    <m/>
    <s v="Office Supplies"/>
    <s v="OS"/>
  </r>
  <r>
    <n v="2511"/>
    <s v="CA-2017-136812"/>
    <s v="18/11/2017"/>
    <s v="23/11/2017"/>
    <s v="Standard Class"/>
    <x v="517"/>
    <x v="517"/>
    <s v="Home Office"/>
    <x v="0"/>
    <s v="Oklahoma City"/>
    <s v="Oklahoma"/>
    <n v="73120"/>
    <s v="Central"/>
    <s v="OFF-ST-10003470"/>
    <s v="Office Supplies"/>
    <s v="Storage"/>
    <x v="511"/>
    <n v="1117.92"/>
    <m/>
    <s v="Office Supplies"/>
    <s v="OS"/>
  </r>
  <r>
    <n v="2526"/>
    <s v="CA-2016-124541"/>
    <s v="06/04/2016"/>
    <s v="10/04/2016"/>
    <s v="Standard Class"/>
    <x v="518"/>
    <x v="518"/>
    <s v="Consumer"/>
    <x v="0"/>
    <s v="Houston"/>
    <s v="Texas"/>
    <n v="77041"/>
    <s v="Central"/>
    <s v="TEC-AC-10002550"/>
    <s v="Technology"/>
    <s v="Accessories"/>
    <x v="512"/>
    <n v="25.488"/>
    <m/>
    <s v="Technology"/>
    <s v="Technology"/>
  </r>
  <r>
    <n v="2552"/>
    <s v="CA-2018-101042"/>
    <s v="19/11/2018"/>
    <s v="23/11/2018"/>
    <s v="Standard Class"/>
    <x v="519"/>
    <x v="519"/>
    <s v="Consumer"/>
    <x v="0"/>
    <s v="Henderson"/>
    <s v="Kentucky"/>
    <n v="42420"/>
    <s v="South"/>
    <s v="FUR-FU-10004665"/>
    <s v="Furniture"/>
    <s v="Furnishings"/>
    <x v="513"/>
    <n v="821.88"/>
    <m/>
    <s v="Cardbaord"/>
    <s v="cardbaord"/>
  </r>
  <r>
    <n v="2555"/>
    <s v="CA-2017-118626"/>
    <s v="15/08/2017"/>
    <s v="20/08/2017"/>
    <s v="Standard Class"/>
    <x v="520"/>
    <x v="520"/>
    <s v="Consumer"/>
    <x v="0"/>
    <s v="Tallahassee"/>
    <s v="Florida"/>
    <n v="32303"/>
    <s v="South"/>
    <s v="TEC-PH-10000369"/>
    <s v="Technology"/>
    <s v="Phones"/>
    <x v="514"/>
    <n v="705.54399999999998"/>
    <m/>
    <s v="Technology"/>
    <s v="Technology"/>
  </r>
  <r>
    <n v="2557"/>
    <s v="US-2017-126844"/>
    <s v="08/10/2017"/>
    <s v="14/10/2017"/>
    <s v="Standard Class"/>
    <x v="521"/>
    <x v="521"/>
    <s v="Corporate"/>
    <x v="0"/>
    <s v="Houston"/>
    <s v="Texas"/>
    <n v="77070"/>
    <s v="Central"/>
    <s v="FUR-FU-10004909"/>
    <s v="Furniture"/>
    <s v="Furnishings"/>
    <x v="515"/>
    <n v="51.712000000000003"/>
    <m/>
    <s v="Cardbaord"/>
    <s v="cardbaord"/>
  </r>
  <r>
    <n v="2603"/>
    <s v="CA-2017-165848"/>
    <s v="04/06/2017"/>
    <s v="04/06/2017"/>
    <s v="Same Day"/>
    <x v="522"/>
    <x v="522"/>
    <s v="Consumer"/>
    <x v="0"/>
    <s v="New York City"/>
    <s v="New York"/>
    <n v="10035"/>
    <s v="East"/>
    <s v="TEC-MA-10003356"/>
    <s v="Technology"/>
    <s v="Machines"/>
    <x v="516"/>
    <n v="1349.85"/>
    <m/>
    <s v="Technology"/>
    <s v="Technology"/>
  </r>
  <r>
    <n v="2624"/>
    <s v="CA-2018-127180"/>
    <s v="22/10/2018"/>
    <s v="24/10/2018"/>
    <s v="First Class"/>
    <x v="523"/>
    <x v="523"/>
    <s v="Home Office"/>
    <x v="0"/>
    <s v="New York City"/>
    <s v="New York"/>
    <n v="10024"/>
    <s v="East"/>
    <s v="TEC-CO-10004722"/>
    <s v="Technology"/>
    <s v="Copiers"/>
    <x v="517"/>
    <n v="11199.968000000001"/>
    <m/>
    <s v="Technology"/>
    <s v="Technology"/>
  </r>
  <r>
    <n v="2633"/>
    <s v="US-2018-110604"/>
    <s v="15/05/2018"/>
    <s v="20/05/2018"/>
    <s v="Standard Class"/>
    <x v="524"/>
    <x v="524"/>
    <s v="Consumer"/>
    <x v="0"/>
    <s v="Seattle"/>
    <s v="Washington"/>
    <n v="98103"/>
    <s v="West"/>
    <s v="FUR-CH-10002017"/>
    <s v="Furniture"/>
    <s v="Chairs"/>
    <x v="518"/>
    <n v="42.624000000000002"/>
    <m/>
    <s v="Cardbaord"/>
    <s v="cardbaord"/>
  </r>
  <r>
    <n v="2638"/>
    <s v="CA-2018-108441"/>
    <s v="12/06/2018"/>
    <s v="18/06/2018"/>
    <s v="Standard Class"/>
    <x v="525"/>
    <x v="525"/>
    <s v="Consumer"/>
    <x v="0"/>
    <s v="New York City"/>
    <s v="New York"/>
    <n v="10035"/>
    <s v="East"/>
    <s v="OFF-PA-10000697"/>
    <s v="Office Supplies"/>
    <s v="Paper"/>
    <x v="519"/>
    <n v="19.04"/>
    <m/>
    <s v="Office Supplies"/>
    <s v="OS"/>
  </r>
  <r>
    <n v="2647"/>
    <s v="CA-2015-131002"/>
    <s v="07/09/2015"/>
    <s v="12/09/2015"/>
    <s v="Second Class"/>
    <x v="526"/>
    <x v="526"/>
    <s v="Consumer"/>
    <x v="0"/>
    <s v="Tulsa"/>
    <s v="Oklahoma"/>
    <n v="74133"/>
    <s v="Central"/>
    <s v="OFF-BI-10000948"/>
    <s v="Office Supplies"/>
    <s v="Binders"/>
    <x v="520"/>
    <n v="42.81"/>
    <m/>
    <s v="Office Supplies"/>
    <s v="OS"/>
  </r>
  <r>
    <n v="2672"/>
    <s v="CA-2015-126403"/>
    <s v="09/09/2015"/>
    <s v="12/09/2015"/>
    <s v="Second Class"/>
    <x v="527"/>
    <x v="527"/>
    <s v="Corporate"/>
    <x v="0"/>
    <s v="Lowell"/>
    <s v="Massachusetts"/>
    <n v="1852"/>
    <s v="East"/>
    <s v="FUR-CH-10003761"/>
    <s v="Furniture"/>
    <s v="Chairs"/>
    <x v="521"/>
    <n v="785.88"/>
    <m/>
    <s v="Cardbaord"/>
    <s v="cardbaord"/>
  </r>
  <r>
    <n v="2716"/>
    <s v="CA-2015-127187"/>
    <s v="04/12/2015"/>
    <s v="08/12/2015"/>
    <s v="Standard Class"/>
    <x v="528"/>
    <x v="528"/>
    <s v="Corporate"/>
    <x v="0"/>
    <s v="New York City"/>
    <s v="New York"/>
    <n v="10024"/>
    <s v="East"/>
    <s v="TEC-PH-10000673"/>
    <s v="Technology"/>
    <s v="Phones"/>
    <x v="522"/>
    <n v="129.97999999999999"/>
    <m/>
    <s v="Technology"/>
    <s v="Technology"/>
  </r>
  <r>
    <n v="2740"/>
    <s v="CA-2018-122707"/>
    <s v="16/04/2018"/>
    <s v="18/04/2018"/>
    <s v="First Class"/>
    <x v="529"/>
    <x v="529"/>
    <s v="Corporate"/>
    <x v="0"/>
    <s v="Hoover"/>
    <s v="Alabama"/>
    <n v="35244"/>
    <s v="South"/>
    <s v="OFF-SU-10000157"/>
    <s v="Office Supplies"/>
    <s v="Supplies"/>
    <x v="523"/>
    <n v="477.24"/>
    <m/>
    <s v="Office Supplies"/>
    <s v="OS"/>
  </r>
  <r>
    <n v="2769"/>
    <s v="US-2016-122140"/>
    <s v="02/04/2016"/>
    <s v="07/04/2016"/>
    <s v="Standard Class"/>
    <x v="530"/>
    <x v="530"/>
    <s v="Consumer"/>
    <x v="0"/>
    <s v="Dallas"/>
    <s v="Texas"/>
    <n v="75220"/>
    <s v="Central"/>
    <s v="OFF-AP-10001242"/>
    <s v="Office Supplies"/>
    <s v="Appliances"/>
    <x v="524"/>
    <n v="32.192"/>
    <m/>
    <s v="Office Supplies"/>
    <s v="OS"/>
  </r>
  <r>
    <n v="2808"/>
    <s v="CA-2016-148635"/>
    <s v="25/07/2016"/>
    <s v="27/07/2016"/>
    <s v="Second Class"/>
    <x v="531"/>
    <x v="531"/>
    <s v="Consumer"/>
    <x v="0"/>
    <s v="Seattle"/>
    <s v="Washington"/>
    <n v="98115"/>
    <s v="West"/>
    <s v="OFF-PA-10004782"/>
    <s v="Office Supplies"/>
    <s v="Paper"/>
    <x v="525"/>
    <n v="12.96"/>
    <m/>
    <s v="Office Supplies"/>
    <s v="OS"/>
  </r>
  <r>
    <n v="2812"/>
    <s v="CA-2016-135685"/>
    <s v="16/11/2016"/>
    <s v="18/11/2016"/>
    <s v="Second Class"/>
    <x v="532"/>
    <x v="532"/>
    <s v="Home Office"/>
    <x v="0"/>
    <s v="Milwaukee"/>
    <s v="Wisconsin"/>
    <n v="53209"/>
    <s v="Central"/>
    <s v="FUR-FU-10001185"/>
    <s v="Furniture"/>
    <s v="Furnishings"/>
    <x v="526"/>
    <n v="185.58"/>
    <m/>
    <s v="Cardbaord"/>
    <s v="cardbaord"/>
  </r>
  <r>
    <n v="2848"/>
    <s v="CA-2018-157854"/>
    <s v="08/04/2018"/>
    <s v="15/04/2018"/>
    <s v="Standard Class"/>
    <x v="533"/>
    <x v="533"/>
    <s v="Corporate"/>
    <x v="0"/>
    <s v="Roswell"/>
    <s v="Georgia"/>
    <n v="30076"/>
    <s v="South"/>
    <s v="FUR-FU-10003832"/>
    <s v="Furniture"/>
    <s v="Furnishings"/>
    <x v="527"/>
    <n v="56.28"/>
    <m/>
    <s v="Cardbaord"/>
    <s v="cardbaord"/>
  </r>
  <r>
    <n v="2860"/>
    <s v="CA-2018-138975"/>
    <s v="19/05/2018"/>
    <s v="23/05/2018"/>
    <s v="Standard Class"/>
    <x v="534"/>
    <x v="534"/>
    <s v="Consumer"/>
    <x v="0"/>
    <s v="Atlanta"/>
    <s v="Georgia"/>
    <n v="30318"/>
    <s v="South"/>
    <s v="TEC-PH-10004389"/>
    <s v="Technology"/>
    <s v="Phones"/>
    <x v="528"/>
    <n v="377.97"/>
    <m/>
    <s v="Technology"/>
    <s v="Technology"/>
  </r>
  <r>
    <n v="2952"/>
    <s v="CA-2018-134915"/>
    <s v="12/11/2018"/>
    <s v="12/11/2018"/>
    <s v="Same Day"/>
    <x v="535"/>
    <x v="535"/>
    <s v="Home Office"/>
    <x v="0"/>
    <s v="Glendale"/>
    <s v="Arizona"/>
    <n v="85301"/>
    <s v="West"/>
    <s v="FUR-CH-10004875"/>
    <s v="Furniture"/>
    <s v="Chairs"/>
    <x v="529"/>
    <n v="113.88800000000001"/>
    <m/>
    <s v="Cardbaord"/>
    <s v="cardbaord"/>
  </r>
  <r>
    <n v="2966"/>
    <s v="CA-2018-137428"/>
    <s v="16/12/2018"/>
    <s v="21/12/2018"/>
    <s v="Second Class"/>
    <x v="536"/>
    <x v="536"/>
    <s v="Corporate"/>
    <x v="0"/>
    <s v="Oceanside"/>
    <s v="California"/>
    <n v="92054"/>
    <s v="West"/>
    <s v="FUR-FU-10002445"/>
    <s v="Furniture"/>
    <s v="Furnishings"/>
    <x v="530"/>
    <n v="18.96"/>
    <m/>
    <s v="Cardbaord"/>
    <s v="cardbaord"/>
  </r>
  <r>
    <n v="2980"/>
    <s v="CA-2016-139850"/>
    <s v="12/06/2016"/>
    <s v="17/06/2016"/>
    <s v="Standard Class"/>
    <x v="537"/>
    <x v="537"/>
    <s v="Consumer"/>
    <x v="0"/>
    <s v="Philadelphia"/>
    <s v="Pennsylvania"/>
    <n v="19134"/>
    <s v="East"/>
    <s v="OFF-PA-10003848"/>
    <s v="Office Supplies"/>
    <s v="Paper"/>
    <x v="531"/>
    <n v="20.736000000000001"/>
    <m/>
    <s v="Office Supplies"/>
    <s v="OS"/>
  </r>
  <r>
    <n v="2986"/>
    <s v="CA-2017-139269"/>
    <s v="25/05/2017"/>
    <s v="30/05/2017"/>
    <s v="Standard Class"/>
    <x v="538"/>
    <x v="538"/>
    <s v="Home Office"/>
    <x v="0"/>
    <s v="Columbus"/>
    <s v="Georgia"/>
    <n v="31907"/>
    <s v="South"/>
    <s v="FUR-FU-10000755"/>
    <s v="Furniture"/>
    <s v="Furnishings"/>
    <x v="532"/>
    <n v="24.96"/>
    <m/>
    <s v="Cardbaord"/>
    <s v="cardbaord"/>
  </r>
  <r>
    <n v="3005"/>
    <s v="CA-2017-131499"/>
    <s v="08/09/2017"/>
    <s v="10/09/2017"/>
    <s v="First Class"/>
    <x v="539"/>
    <x v="539"/>
    <s v="Home Office"/>
    <x v="0"/>
    <s v="New York City"/>
    <s v="New York"/>
    <n v="10011"/>
    <s v="East"/>
    <s v="OFF-AP-10003779"/>
    <s v="Office Supplies"/>
    <s v="Appliances"/>
    <x v="533"/>
    <n v="207.48"/>
    <m/>
    <s v="Office Supplies"/>
    <s v="OS"/>
  </r>
  <r>
    <n v="3028"/>
    <s v="CA-2015-106719"/>
    <s v="24/08/2015"/>
    <s v="24/08/2015"/>
    <s v="Same Day"/>
    <x v="540"/>
    <x v="540"/>
    <s v="Corporate"/>
    <x v="0"/>
    <s v="Billings"/>
    <s v="Montana"/>
    <n v="59102"/>
    <s v="West"/>
    <s v="OFF-BI-10002799"/>
    <s v="Office Supplies"/>
    <s v="Binders"/>
    <x v="534"/>
    <n v="8.2880000000000003"/>
    <m/>
    <s v="Office Supplies"/>
    <s v="OS"/>
  </r>
  <r>
    <n v="3043"/>
    <s v="CA-2018-149559"/>
    <s v="11/09/2018"/>
    <s v="12/09/2018"/>
    <s v="Same Day"/>
    <x v="541"/>
    <x v="541"/>
    <s v="Home Office"/>
    <x v="0"/>
    <s v="Long Beach"/>
    <s v="California"/>
    <n v="90805"/>
    <s v="West"/>
    <s v="OFF-EN-10002312"/>
    <s v="Office Supplies"/>
    <s v="Envelopes"/>
    <x v="535"/>
    <n v="22.18"/>
    <m/>
    <s v="Office Supplies"/>
    <s v="OS"/>
  </r>
  <r>
    <n v="3067"/>
    <s v="CA-2018-106859"/>
    <s v="13/03/2018"/>
    <s v="18/03/2018"/>
    <s v="Second Class"/>
    <x v="542"/>
    <x v="542"/>
    <s v="Home Office"/>
    <x v="0"/>
    <s v="Albuquerque"/>
    <s v="New Mexico"/>
    <n v="87105"/>
    <s v="West"/>
    <s v="TEC-AC-10004001"/>
    <s v="Technology"/>
    <s v="Accessories"/>
    <x v="536"/>
    <n v="214.95"/>
    <m/>
    <s v="Technology"/>
    <s v="Technology"/>
  </r>
  <r>
    <n v="3090"/>
    <s v="US-2018-159205"/>
    <s v="31/03/2018"/>
    <s v="02/04/2018"/>
    <s v="Second Class"/>
    <x v="543"/>
    <x v="543"/>
    <s v="Home Office"/>
    <x v="0"/>
    <s v="Henderson"/>
    <s v="Kentucky"/>
    <n v="42420"/>
    <s v="South"/>
    <s v="TEC-PH-10000526"/>
    <s v="Technology"/>
    <s v="Phones"/>
    <x v="537"/>
    <n v="671.93"/>
    <m/>
    <s v="Technology"/>
    <s v="Technology"/>
  </r>
  <r>
    <n v="3103"/>
    <s v="CA-2018-119578"/>
    <s v="22/12/2018"/>
    <s v="27/12/2018"/>
    <s v="Second Class"/>
    <x v="544"/>
    <x v="544"/>
    <s v="Corporate"/>
    <x v="0"/>
    <s v="Providence"/>
    <s v="Rhode Island"/>
    <n v="2908"/>
    <s v="East"/>
    <s v="FUR-BO-10003660"/>
    <s v="Furniture"/>
    <s v="Bookcases"/>
    <x v="538"/>
    <n v="220.98"/>
    <m/>
    <s v="Cardbaord"/>
    <s v="cardbaord"/>
  </r>
  <r>
    <n v="3104"/>
    <s v="CA-2017-124562"/>
    <s v="08/12/2017"/>
    <s v="12/12/2017"/>
    <s v="Standard Class"/>
    <x v="545"/>
    <x v="545"/>
    <s v="Home Office"/>
    <x v="0"/>
    <s v="Columbus"/>
    <s v="Ohio"/>
    <n v="43229"/>
    <s v="East"/>
    <s v="OFF-BI-10001267"/>
    <s v="Office Supplies"/>
    <s v="Binders"/>
    <x v="539"/>
    <n v="12.957000000000001"/>
    <m/>
    <s v="Office Supplies"/>
    <s v="OS"/>
  </r>
  <r>
    <n v="3105"/>
    <s v="US-2018-140074"/>
    <s v="23/03/2018"/>
    <s v="29/03/2018"/>
    <s v="Standard Class"/>
    <x v="546"/>
    <x v="546"/>
    <s v="Consumer"/>
    <x v="0"/>
    <s v="New York City"/>
    <s v="New York"/>
    <n v="10024"/>
    <s v="East"/>
    <s v="OFF-PA-10002741"/>
    <s v="Office Supplies"/>
    <s v="Paper"/>
    <x v="540"/>
    <n v="25.68"/>
    <m/>
    <s v="Office Supplies"/>
    <s v="OS"/>
  </r>
  <r>
    <n v="3128"/>
    <s v="CA-2018-147564"/>
    <s v="02/10/2018"/>
    <s v="06/10/2018"/>
    <s v="Standard Class"/>
    <x v="547"/>
    <x v="547"/>
    <s v="Consumer"/>
    <x v="0"/>
    <s v="New York City"/>
    <s v="New York"/>
    <n v="10011"/>
    <s v="East"/>
    <s v="OFF-PA-10004438"/>
    <s v="Office Supplies"/>
    <s v="Paper"/>
    <x v="541"/>
    <n v="49.12"/>
    <m/>
    <s v="Office Supplies"/>
    <s v="OS"/>
  </r>
  <r>
    <n v="3133"/>
    <s v="CA-2015-107916"/>
    <s v="24/08/2015"/>
    <s v="26/08/2015"/>
    <s v="First Class"/>
    <x v="548"/>
    <x v="548"/>
    <s v="Corporate"/>
    <x v="0"/>
    <s v="Oceanside"/>
    <s v="New York"/>
    <n v="11572"/>
    <s v="East"/>
    <s v="FUR-FU-10004586"/>
    <s v="Furniture"/>
    <s v="Furnishings"/>
    <x v="542"/>
    <n v="13.28"/>
    <m/>
    <s v="Cardbaord"/>
    <s v="cardbaord"/>
  </r>
  <r>
    <n v="3146"/>
    <s v="CA-2018-131828"/>
    <s v="11/02/2018"/>
    <s v="13/02/2018"/>
    <s v="Second Class"/>
    <x v="549"/>
    <x v="549"/>
    <s v="Corporate"/>
    <x v="0"/>
    <s v="Seattle"/>
    <s v="Washington"/>
    <n v="98105"/>
    <s v="West"/>
    <s v="FUR-CH-10004495"/>
    <s v="Furniture"/>
    <s v="Chairs"/>
    <x v="543"/>
    <n v="963.13599999999997"/>
    <m/>
    <s v="Cardbaord"/>
    <s v="cardbaord"/>
  </r>
  <r>
    <n v="3161"/>
    <s v="US-2015-150924"/>
    <s v="12/09/2015"/>
    <s v="16/09/2015"/>
    <s v="Second Class"/>
    <x v="550"/>
    <x v="550"/>
    <s v="Consumer"/>
    <x v="0"/>
    <s v="Houston"/>
    <s v="Texas"/>
    <n v="77070"/>
    <s v="Central"/>
    <s v="OFF-BI-10004040"/>
    <s v="Office Supplies"/>
    <s v="Binders"/>
    <x v="544"/>
    <n v="5.18"/>
    <m/>
    <s v="Office Supplies"/>
    <s v="OS"/>
  </r>
  <r>
    <n v="3164"/>
    <s v="CA-2015-153969"/>
    <s v="21/09/2015"/>
    <s v="25/09/2015"/>
    <s v="Standard Class"/>
    <x v="551"/>
    <x v="551"/>
    <s v="Consumer"/>
    <x v="0"/>
    <s v="San Francisco"/>
    <s v="California"/>
    <n v="94109"/>
    <s v="West"/>
    <s v="OFF-AR-10001615"/>
    <s v="Office Supplies"/>
    <s v="Art"/>
    <x v="545"/>
    <n v="59.52"/>
    <m/>
    <s v="Office Supplies"/>
    <s v="OS"/>
  </r>
  <r>
    <n v="3187"/>
    <s v="CA-2015-123498"/>
    <s v="07/11/2015"/>
    <s v="09/11/2015"/>
    <s v="First Class"/>
    <x v="552"/>
    <x v="552"/>
    <s v="Corporate"/>
    <x v="0"/>
    <s v="Houston"/>
    <s v="Texas"/>
    <n v="77041"/>
    <s v="Central"/>
    <s v="OFF-EN-10004773"/>
    <s v="Office Supplies"/>
    <s v="Envelopes"/>
    <x v="72"/>
    <n v="74.352000000000004"/>
    <m/>
    <s v="Office Supplies"/>
    <s v="OS"/>
  </r>
  <r>
    <n v="3191"/>
    <s v="US-2016-163783"/>
    <s v="27/12/2016"/>
    <s v="01/01/2017"/>
    <s v="Standard Class"/>
    <x v="553"/>
    <x v="553"/>
    <s v="Home Office"/>
    <x v="0"/>
    <s v="Chicago"/>
    <s v="Illinois"/>
    <n v="60610"/>
    <s v="Central"/>
    <s v="OFF-ST-10002957"/>
    <s v="Office Supplies"/>
    <s v="Storage"/>
    <x v="546"/>
    <n v="12.672000000000001"/>
    <m/>
    <s v="Office Supplies"/>
    <s v="OS"/>
  </r>
  <r>
    <n v="3240"/>
    <s v="US-2017-127971"/>
    <s v="20/11/2017"/>
    <s v="27/11/2017"/>
    <s v="Standard Class"/>
    <x v="554"/>
    <x v="554"/>
    <s v="Corporate"/>
    <x v="0"/>
    <s v="Houston"/>
    <s v="Texas"/>
    <n v="77095"/>
    <s v="Central"/>
    <s v="TEC-PH-10003095"/>
    <s v="Technology"/>
    <s v="Phones"/>
    <x v="547"/>
    <n v="122.92"/>
    <m/>
    <s v="Technology"/>
    <s v="Technology"/>
  </r>
  <r>
    <n v="3244"/>
    <s v="CA-2018-113355"/>
    <s v="01/12/2018"/>
    <s v="05/12/2018"/>
    <s v="Standard Class"/>
    <x v="555"/>
    <x v="555"/>
    <s v="Consumer"/>
    <x v="0"/>
    <s v="Grand Prairie"/>
    <s v="Texas"/>
    <n v="75051"/>
    <s v="Central"/>
    <s v="TEC-PH-10004912"/>
    <s v="Technology"/>
    <s v="Phones"/>
    <x v="548"/>
    <n v="219.8"/>
    <m/>
    <s v="Technology"/>
    <s v="Technology"/>
  </r>
  <r>
    <n v="3261"/>
    <s v="CA-2015-151554"/>
    <s v="14/11/2015"/>
    <s v="15/11/2015"/>
    <s v="First Class"/>
    <x v="556"/>
    <x v="556"/>
    <s v="Corporate"/>
    <x v="0"/>
    <s v="Pasadena"/>
    <s v="Texas"/>
    <n v="77506"/>
    <s v="Central"/>
    <s v="OFF-PA-10004609"/>
    <s v="Office Supplies"/>
    <s v="Paper"/>
    <x v="549"/>
    <n v="20.736000000000001"/>
    <m/>
    <s v="Office Supplies"/>
    <s v="OS"/>
  </r>
  <r>
    <n v="3269"/>
    <s v="CA-2015-143840"/>
    <s v="22/05/2015"/>
    <s v="29/05/2015"/>
    <s v="Standard Class"/>
    <x v="557"/>
    <x v="557"/>
    <s v="Consumer"/>
    <x v="0"/>
    <s v="Decatur"/>
    <s v="Alabama"/>
    <n v="35601"/>
    <s v="South"/>
    <s v="TEC-PH-10003171"/>
    <s v="Technology"/>
    <s v="Phones"/>
    <x v="550"/>
    <n v="44.95"/>
    <m/>
    <s v="Technology"/>
    <s v="Technology"/>
  </r>
  <r>
    <n v="3337"/>
    <s v="US-2018-109253"/>
    <s v="21/08/2018"/>
    <s v="22/08/2018"/>
    <s v="First Class"/>
    <x v="558"/>
    <x v="558"/>
    <s v="Consumer"/>
    <x v="0"/>
    <s v="Oakland"/>
    <s v="California"/>
    <n v="94601"/>
    <s v="West"/>
    <s v="FUR-FU-10000193"/>
    <s v="Furniture"/>
    <s v="Furnishings"/>
    <x v="551"/>
    <n v="129.91999999999999"/>
    <m/>
    <s v="Cardbaord"/>
    <s v="cardbaord"/>
  </r>
  <r>
    <n v="3404"/>
    <s v="CA-2018-168739"/>
    <s v="29/05/2018"/>
    <s v="05/06/2018"/>
    <s v="Standard Class"/>
    <x v="559"/>
    <x v="559"/>
    <s v="Consumer"/>
    <x v="0"/>
    <s v="Houston"/>
    <s v="Texas"/>
    <n v="77095"/>
    <s v="Central"/>
    <s v="FUR-FU-10003919"/>
    <s v="Furniture"/>
    <s v="Furnishings"/>
    <x v="552"/>
    <n v="65.424000000000007"/>
    <m/>
    <s v="Cardbaord"/>
    <s v="cardbaord"/>
  </r>
  <r>
    <n v="3428"/>
    <s v="US-2018-111024"/>
    <s v="03/07/2018"/>
    <s v="06/07/2018"/>
    <s v="Second Class"/>
    <x v="560"/>
    <x v="560"/>
    <s v="Home Office"/>
    <x v="0"/>
    <s v="Lancaster"/>
    <s v="Ohio"/>
    <n v="43130"/>
    <s v="East"/>
    <s v="OFF-PA-10000174"/>
    <s v="Office Supplies"/>
    <s v="Paper"/>
    <x v="553"/>
    <n v="32.896000000000001"/>
    <m/>
    <s v="Office Supplies"/>
    <s v="OS"/>
  </r>
  <r>
    <n v="3455"/>
    <s v="CA-2016-153626"/>
    <s v="09/07/2016"/>
    <s v="14/07/2016"/>
    <s v="Standard Class"/>
    <x v="561"/>
    <x v="561"/>
    <s v="Consumer"/>
    <x v="0"/>
    <s v="Nashville"/>
    <s v="Tennessee"/>
    <n v="37211"/>
    <s v="South"/>
    <s v="OFF-AR-10000657"/>
    <s v="Office Supplies"/>
    <s v="Art"/>
    <x v="554"/>
    <n v="5.16"/>
    <m/>
    <s v="Office Supplies"/>
    <s v="OS"/>
  </r>
  <r>
    <n v="3508"/>
    <s v="CA-2015-166863"/>
    <s v="20/06/2015"/>
    <s v="24/06/2015"/>
    <s v="Standard Class"/>
    <x v="562"/>
    <x v="562"/>
    <s v="Consumer"/>
    <x v="0"/>
    <s v="Plano"/>
    <s v="Texas"/>
    <n v="75023"/>
    <s v="Central"/>
    <s v="FUR-BO-10001608"/>
    <s v="Furniture"/>
    <s v="Bookcases"/>
    <x v="555"/>
    <n v="193.06559999999999"/>
    <m/>
    <s v="Cardbaord"/>
    <s v="cardbaord"/>
  </r>
  <r>
    <n v="3525"/>
    <s v="CA-2017-132731"/>
    <s v="24/11/2017"/>
    <s v="28/11/2017"/>
    <s v="Standard Class"/>
    <x v="563"/>
    <x v="563"/>
    <s v="Consumer"/>
    <x v="0"/>
    <s v="Dallas"/>
    <s v="Texas"/>
    <n v="75081"/>
    <s v="Central"/>
    <s v="TEC-PH-10004120"/>
    <s v="Technology"/>
    <s v="Phones"/>
    <x v="556"/>
    <n v="657.55200000000002"/>
    <m/>
    <s v="Technology"/>
    <s v="Technology"/>
  </r>
  <r>
    <n v="3528"/>
    <s v="CA-2018-148922"/>
    <s v="10/12/2018"/>
    <s v="15/12/2018"/>
    <s v="Second Class"/>
    <x v="564"/>
    <x v="564"/>
    <s v="Home Office"/>
    <x v="0"/>
    <s v="Jackson"/>
    <s v="Mississippi"/>
    <n v="39212"/>
    <s v="South"/>
    <s v="OFF-BI-10003476"/>
    <s v="Office Supplies"/>
    <s v="Binders"/>
    <x v="557"/>
    <n v="45.84"/>
    <m/>
    <s v="Office Supplies"/>
    <s v="OS"/>
  </r>
  <r>
    <n v="3546"/>
    <s v="CA-2018-121216"/>
    <s v="23/12/2018"/>
    <s v="25/12/2018"/>
    <s v="Second Class"/>
    <x v="565"/>
    <x v="565"/>
    <s v="Consumer"/>
    <x v="0"/>
    <s v="College Station"/>
    <s v="Texas"/>
    <n v="77840"/>
    <s v="Central"/>
    <s v="OFF-AP-10001947"/>
    <s v="Office Supplies"/>
    <s v="Appliances"/>
    <x v="558"/>
    <n v="29.312000000000001"/>
    <m/>
    <s v="Office Supplies"/>
    <s v="OS"/>
  </r>
  <r>
    <n v="3575"/>
    <s v="CA-2018-117023"/>
    <s v="07/08/2018"/>
    <s v="12/08/2018"/>
    <s v="Standard Class"/>
    <x v="566"/>
    <x v="566"/>
    <s v="Consumer"/>
    <x v="0"/>
    <s v="Long Beach"/>
    <s v="New York"/>
    <n v="11561"/>
    <s v="East"/>
    <s v="OFF-AR-10004062"/>
    <s v="Office Supplies"/>
    <s v="Art"/>
    <x v="559"/>
    <n v="104.8"/>
    <m/>
    <s v="Office Supplies"/>
    <s v="OS"/>
  </r>
  <r>
    <n v="3648"/>
    <s v="CA-2015-146528"/>
    <s v="25/07/2015"/>
    <s v="27/07/2015"/>
    <s v="Second Class"/>
    <x v="567"/>
    <x v="567"/>
    <s v="Home Office"/>
    <x v="0"/>
    <s v="Los Angeles"/>
    <s v="California"/>
    <n v="90045"/>
    <s v="West"/>
    <s v="OFF-SU-10002522"/>
    <s v="Office Supplies"/>
    <s v="Supplies"/>
    <x v="560"/>
    <n v="15.52"/>
    <m/>
    <s v="Office Supplies"/>
    <s v="OS"/>
  </r>
  <r>
    <n v="3681"/>
    <s v="CA-2016-132626"/>
    <s v="09/07/2016"/>
    <s v="14/07/2016"/>
    <s v="Standard Class"/>
    <x v="568"/>
    <x v="568"/>
    <s v="Consumer"/>
    <x v="0"/>
    <s v="Clinton"/>
    <s v="Maryland"/>
    <n v="20735"/>
    <s v="East"/>
    <s v="OFF-LA-10000476"/>
    <s v="Office Supplies"/>
    <s v="Labels"/>
    <x v="561"/>
    <n v="12.39"/>
    <m/>
    <s v="Office Supplies"/>
    <s v="OS"/>
  </r>
  <r>
    <n v="3796"/>
    <s v="US-2015-117163"/>
    <s v="27/01/2015"/>
    <s v="02/02/2015"/>
    <s v="Standard Class"/>
    <x v="569"/>
    <x v="569"/>
    <s v="Consumer"/>
    <x v="0"/>
    <s v="San Diego"/>
    <s v="California"/>
    <n v="92037"/>
    <s v="West"/>
    <s v="FUR-TA-10003469"/>
    <s v="Furniture"/>
    <s v="Tables"/>
    <x v="562"/>
    <n v="333"/>
    <m/>
    <s v="Cardbaord"/>
    <s v="cardbaord"/>
  </r>
  <r>
    <n v="3801"/>
    <s v="CA-2017-156503"/>
    <s v="14/10/2017"/>
    <s v="20/10/2017"/>
    <s v="Standard Class"/>
    <x v="570"/>
    <x v="570"/>
    <s v="Consumer"/>
    <x v="0"/>
    <s v="Jacksonville"/>
    <s v="North Carolina"/>
    <n v="28540"/>
    <s v="South"/>
    <s v="FUR-CH-10003606"/>
    <s v="Furniture"/>
    <s v="Chairs"/>
    <x v="563"/>
    <n v="102.592"/>
    <m/>
    <s v="Cardbaord"/>
    <s v="cardbaord"/>
  </r>
  <r>
    <n v="3810"/>
    <s v="CA-2016-113628"/>
    <s v="12/11/2016"/>
    <s v="19/11/2016"/>
    <s v="Standard Class"/>
    <x v="571"/>
    <x v="571"/>
    <s v="Corporate"/>
    <x v="0"/>
    <s v="Plantation"/>
    <s v="Florida"/>
    <n v="33317"/>
    <s v="South"/>
    <s v="FUR-CH-10003298"/>
    <s v="Furniture"/>
    <s v="Chairs"/>
    <x v="564"/>
    <n v="523.91999999999996"/>
    <m/>
    <s v="Cardbaord"/>
    <s v="cardbaord"/>
  </r>
  <r>
    <n v="3822"/>
    <s v="CA-2018-141873"/>
    <s v="09/10/2018"/>
    <s v="14/10/2018"/>
    <s v="Standard Class"/>
    <x v="572"/>
    <x v="572"/>
    <s v="Consumer"/>
    <x v="0"/>
    <s v="New York City"/>
    <s v="New York"/>
    <n v="10024"/>
    <s v="East"/>
    <s v="OFF-PA-10000069"/>
    <s v="Office Supplies"/>
    <s v="Paper"/>
    <x v="565"/>
    <n v="18.98"/>
    <m/>
    <s v="Office Supplies"/>
    <s v="OS"/>
  </r>
  <r>
    <n v="3854"/>
    <s v="US-2018-131849"/>
    <s v="06/06/2018"/>
    <s v="10/06/2018"/>
    <s v="Standard Class"/>
    <x v="573"/>
    <x v="573"/>
    <s v="Home Office"/>
    <x v="0"/>
    <s v="San Francisco"/>
    <s v="California"/>
    <n v="94122"/>
    <s v="West"/>
    <s v="FUR-FU-10004164"/>
    <s v="Furniture"/>
    <s v="Furnishings"/>
    <x v="566"/>
    <n v="4.95"/>
    <m/>
    <s v="Cardbaord"/>
    <s v="cardbaord"/>
  </r>
  <r>
    <n v="3859"/>
    <s v="CA-2015-140816"/>
    <s v="20/12/2015"/>
    <s v="20/12/2015"/>
    <s v="Same Day"/>
    <x v="574"/>
    <x v="574"/>
    <s v="Consumer"/>
    <x v="0"/>
    <s v="Thornton"/>
    <s v="Colorado"/>
    <n v="80229"/>
    <s v="West"/>
    <s v="TEC-AC-10001539"/>
    <s v="Technology"/>
    <s v="Accessories"/>
    <x v="567"/>
    <n v="447.94400000000002"/>
    <m/>
    <s v="Technology"/>
    <s v="Technology"/>
  </r>
  <r>
    <n v="3884"/>
    <s v="CA-2016-129896"/>
    <s v="15/06/2016"/>
    <s v="20/06/2016"/>
    <s v="Standard Class"/>
    <x v="575"/>
    <x v="575"/>
    <s v="Consumer"/>
    <x v="0"/>
    <s v="Gilbert"/>
    <s v="Arizona"/>
    <n v="85234"/>
    <s v="West"/>
    <s v="FUR-FU-10002396"/>
    <s v="Furniture"/>
    <s v="Furnishings"/>
    <x v="568"/>
    <n v="40.256"/>
    <m/>
    <s v="Cardbaord"/>
    <s v="cardbaord"/>
  </r>
  <r>
    <n v="3911"/>
    <s v="CA-2016-167010"/>
    <s v="05/04/2016"/>
    <s v="10/04/2016"/>
    <s v="Standard Class"/>
    <x v="576"/>
    <x v="576"/>
    <s v="Home Office"/>
    <x v="0"/>
    <s v="Philadelphia"/>
    <s v="Pennsylvania"/>
    <n v="19143"/>
    <s v="East"/>
    <s v="FUR-BO-10004218"/>
    <s v="Furniture"/>
    <s v="Bookcases"/>
    <x v="569"/>
    <n v="352.45"/>
    <m/>
    <s v="Cardbaord"/>
    <s v="cardbaord"/>
  </r>
  <r>
    <n v="3924"/>
    <s v="CA-2018-146920"/>
    <s v="28/08/2018"/>
    <s v="01/09/2018"/>
    <s v="Standard Class"/>
    <x v="577"/>
    <x v="577"/>
    <s v="Consumer"/>
    <x v="0"/>
    <s v="Chicago"/>
    <s v="Illinois"/>
    <n v="60623"/>
    <s v="Central"/>
    <s v="OFF-PA-10001461"/>
    <s v="Office Supplies"/>
    <s v="Paper"/>
    <x v="570"/>
    <n v="26.72"/>
    <m/>
    <s v="Office Supplies"/>
    <s v="OS"/>
  </r>
  <r>
    <n v="3932"/>
    <s v="CA-2017-132094"/>
    <s v="26/08/2017"/>
    <s v="02/09/2017"/>
    <s v="Standard Class"/>
    <x v="578"/>
    <x v="578"/>
    <s v="Corporate"/>
    <x v="0"/>
    <s v="Philadelphia"/>
    <s v="Pennsylvania"/>
    <n v="19140"/>
    <s v="East"/>
    <s v="OFF-AR-10004165"/>
    <s v="Office Supplies"/>
    <s v="Art"/>
    <x v="571"/>
    <n v="5.4720000000000004"/>
    <m/>
    <s v="Office Supplies"/>
    <s v="OS"/>
  </r>
  <r>
    <n v="3937"/>
    <s v="CA-2016-118955"/>
    <s v="16/06/2016"/>
    <s v="20/06/2016"/>
    <s v="Standard Class"/>
    <x v="579"/>
    <x v="579"/>
    <s v="Consumer"/>
    <x v="0"/>
    <s v="Grand Prairie"/>
    <s v="Texas"/>
    <n v="75051"/>
    <s v="Central"/>
    <s v="OFF-EN-10001028"/>
    <s v="Office Supplies"/>
    <s v="Envelopes"/>
    <x v="72"/>
    <n v="28.751999999999999"/>
    <m/>
    <s v="Office Supplies"/>
    <s v="OS"/>
  </r>
  <r>
    <n v="3970"/>
    <s v="US-2016-163685"/>
    <s v="01/06/2016"/>
    <s v="05/06/2016"/>
    <s v="Standard Class"/>
    <x v="580"/>
    <x v="580"/>
    <s v="Corporate"/>
    <x v="0"/>
    <s v="San Antonio"/>
    <s v="Texas"/>
    <n v="78207"/>
    <s v="Central"/>
    <s v="OFF-PA-10002606"/>
    <s v="Office Supplies"/>
    <s v="Paper"/>
    <x v="572"/>
    <n v="42.24"/>
    <m/>
    <s v="Office Supplies"/>
    <s v="OS"/>
  </r>
  <r>
    <n v="3977"/>
    <s v="US-2017-116400"/>
    <s v="22/10/2017"/>
    <s v="24/10/2017"/>
    <s v="First Class"/>
    <x v="581"/>
    <x v="581"/>
    <s v="Consumer"/>
    <x v="0"/>
    <s v="Richmond"/>
    <s v="Virginia"/>
    <n v="23223"/>
    <s v="South"/>
    <s v="FUR-FU-10003731"/>
    <s v="Furniture"/>
    <s v="Furnishings"/>
    <x v="573"/>
    <n v="39.92"/>
    <m/>
    <s v="Cardbaord"/>
    <s v="cardbaord"/>
  </r>
  <r>
    <n v="3989"/>
    <s v="US-2017-159415"/>
    <s v="17/04/2017"/>
    <s v="22/04/2017"/>
    <s v="Standard Class"/>
    <x v="582"/>
    <x v="582"/>
    <s v="Corporate"/>
    <x v="0"/>
    <s v="Columbia"/>
    <s v="Tennessee"/>
    <n v="38401"/>
    <s v="South"/>
    <s v="FUR-FU-10003798"/>
    <s v="Furniture"/>
    <s v="Furnishings"/>
    <x v="574"/>
    <n v="79.12"/>
    <m/>
    <s v="Cardbaord"/>
    <s v="cardbaord"/>
  </r>
  <r>
    <n v="3998"/>
    <s v="CA-2016-105627"/>
    <s v="08/03/2016"/>
    <s v="12/03/2016"/>
    <s v="Standard Class"/>
    <x v="583"/>
    <x v="583"/>
    <s v="Consumer"/>
    <x v="0"/>
    <s v="Kenosha"/>
    <s v="Wisconsin"/>
    <n v="53142"/>
    <s v="Central"/>
    <s v="OFF-AR-10002704"/>
    <s v="Office Supplies"/>
    <s v="Art"/>
    <x v="575"/>
    <n v="14.98"/>
    <m/>
    <s v="Office Supplies"/>
    <s v="OS"/>
  </r>
  <r>
    <n v="4002"/>
    <s v="CA-2015-116834"/>
    <s v="11/10/2015"/>
    <s v="16/10/2015"/>
    <s v="Standard Class"/>
    <x v="584"/>
    <x v="584"/>
    <s v="Home Office"/>
    <x v="0"/>
    <s v="Seattle"/>
    <s v="Washington"/>
    <n v="98115"/>
    <s v="West"/>
    <s v="TEC-AC-10002942"/>
    <s v="Technology"/>
    <s v="Accessories"/>
    <x v="576"/>
    <n v="345"/>
    <m/>
    <s v="Technology"/>
    <s v="Technology"/>
  </r>
  <r>
    <n v="4008"/>
    <s v="US-2016-168732"/>
    <s v="10/12/2016"/>
    <s v="16/12/2016"/>
    <s v="Standard Class"/>
    <x v="585"/>
    <x v="585"/>
    <s v="Consumer"/>
    <x v="0"/>
    <s v="Roswell"/>
    <s v="Georgia"/>
    <n v="30076"/>
    <s v="South"/>
    <s v="TEC-AC-10001553"/>
    <s v="Technology"/>
    <s v="Accessories"/>
    <x v="577"/>
    <n v="101.94"/>
    <m/>
    <s v="Technology"/>
    <s v="Technology"/>
  </r>
  <r>
    <n v="4018"/>
    <s v="CA-2016-165624"/>
    <s v="23/08/2016"/>
    <s v="28/08/2016"/>
    <s v="Standard Class"/>
    <x v="586"/>
    <x v="586"/>
    <s v="Consumer"/>
    <x v="0"/>
    <s v="Atlanta"/>
    <s v="Georgia"/>
    <n v="30318"/>
    <s v="South"/>
    <s v="OFF-PA-10002499"/>
    <s v="Office Supplies"/>
    <s v="Paper"/>
    <x v="578"/>
    <n v="97.88"/>
    <m/>
    <s v="Office Supplies"/>
    <s v="OS"/>
  </r>
  <r>
    <n v="4025"/>
    <s v="CA-2018-130764"/>
    <s v="27/10/2018"/>
    <s v="28/10/2018"/>
    <s v="First Class"/>
    <x v="587"/>
    <x v="587"/>
    <s v="Corporate"/>
    <x v="0"/>
    <s v="San Francisco"/>
    <s v="California"/>
    <n v="94110"/>
    <s v="West"/>
    <s v="TEC-PH-10003215"/>
    <s v="Technology"/>
    <s v="Phones"/>
    <x v="579"/>
    <n v="95.84"/>
    <m/>
    <s v="Technology"/>
    <s v="Technology"/>
  </r>
  <r>
    <n v="4064"/>
    <s v="US-2015-130358"/>
    <s v="23/06/2015"/>
    <s v="26/06/2015"/>
    <s v="First Class"/>
    <x v="588"/>
    <x v="588"/>
    <s v="Consumer"/>
    <x v="0"/>
    <s v="Concord"/>
    <s v="North Carolina"/>
    <n v="28027"/>
    <s v="South"/>
    <s v="OFF-AR-10002766"/>
    <s v="Office Supplies"/>
    <s v="Art"/>
    <x v="580"/>
    <n v="20.015999999999998"/>
    <m/>
    <s v="Office Supplies"/>
    <s v="OS"/>
  </r>
  <r>
    <n v="4111"/>
    <s v="CA-2016-153717"/>
    <s v="25/12/2016"/>
    <s v="01/01/2017"/>
    <s v="Standard Class"/>
    <x v="589"/>
    <x v="589"/>
    <s v="Corporate"/>
    <x v="0"/>
    <s v="Detroit"/>
    <s v="Michigan"/>
    <n v="48227"/>
    <s v="Central"/>
    <s v="FUR-BO-10004360"/>
    <s v="Furniture"/>
    <s v="Bookcases"/>
    <x v="581"/>
    <n v="160.97999999999999"/>
    <m/>
    <s v="Cardbaord"/>
    <s v="cardbaord"/>
  </r>
  <r>
    <n v="4145"/>
    <s v="CA-2018-112725"/>
    <s v="30/01/2018"/>
    <s v="06/02/2018"/>
    <s v="Standard Class"/>
    <x v="590"/>
    <x v="590"/>
    <s v="Home Office"/>
    <x v="0"/>
    <s v="San Francisco"/>
    <s v="California"/>
    <n v="94110"/>
    <s v="West"/>
    <s v="OFF-AR-10001227"/>
    <s v="Office Supplies"/>
    <s v="Art"/>
    <x v="582"/>
    <n v="8.82"/>
    <m/>
    <s v="Office Supplies"/>
    <s v="OS"/>
  </r>
  <r>
    <n v="4185"/>
    <s v="CA-2017-143749"/>
    <s v="05/12/2017"/>
    <s v="07/12/2017"/>
    <s v="First Class"/>
    <x v="591"/>
    <x v="591"/>
    <s v="Corporate"/>
    <x v="0"/>
    <s v="Franklin"/>
    <s v="Massachusetts"/>
    <n v="2038"/>
    <s v="East"/>
    <s v="FUR-BO-10002853"/>
    <s v="Furniture"/>
    <s v="Bookcases"/>
    <x v="583"/>
    <n v="81.94"/>
    <m/>
    <s v="Cardbaord"/>
    <s v="cardbaord"/>
  </r>
  <r>
    <n v="4192"/>
    <s v="CA-2016-129392"/>
    <s v="08/07/2016"/>
    <s v="08/07/2016"/>
    <s v="Same Day"/>
    <x v="592"/>
    <x v="592"/>
    <s v="Consumer"/>
    <x v="0"/>
    <s v="Houston"/>
    <s v="Texas"/>
    <n v="77070"/>
    <s v="Central"/>
    <s v="OFF-PA-10004248"/>
    <s v="Office Supplies"/>
    <s v="Paper"/>
    <x v="584"/>
    <n v="21.12"/>
    <m/>
    <s v="Office Supplies"/>
    <s v="OS"/>
  </r>
  <r>
    <n v="4218"/>
    <s v="CA-2018-149881"/>
    <s v="01/04/2018"/>
    <s v="03/04/2018"/>
    <s v="First Class"/>
    <x v="593"/>
    <x v="593"/>
    <s v="Corporate"/>
    <x v="0"/>
    <s v="San Francisco"/>
    <s v="California"/>
    <n v="94110"/>
    <s v="West"/>
    <s v="FUR-BO-10003894"/>
    <s v="Furniture"/>
    <s v="Bookcases"/>
    <x v="585"/>
    <n v="482.66399999999999"/>
    <m/>
    <s v="Cardbaord"/>
    <s v="cardbaord"/>
  </r>
  <r>
    <n v="4238"/>
    <s v="CA-2018-104024"/>
    <s v="29/08/2018"/>
    <s v="03/09/2018"/>
    <s v="Second Class"/>
    <x v="594"/>
    <x v="594"/>
    <s v="Corporate"/>
    <x v="0"/>
    <s v="Philadelphia"/>
    <s v="Pennsylvania"/>
    <n v="19134"/>
    <s v="East"/>
    <s v="OFF-AR-10001972"/>
    <s v="Office Supplies"/>
    <s v="Art"/>
    <x v="586"/>
    <n v="9.4079999999999995"/>
    <m/>
    <s v="Office Supplies"/>
    <s v="OS"/>
  </r>
  <r>
    <n v="4239"/>
    <s v="CA-2018-147144"/>
    <s v="26/03/2018"/>
    <s v="28/03/2018"/>
    <s v="First Class"/>
    <x v="595"/>
    <x v="595"/>
    <s v="Home Office"/>
    <x v="0"/>
    <s v="Seattle"/>
    <s v="Washington"/>
    <n v="98105"/>
    <s v="West"/>
    <s v="OFF-AR-10004587"/>
    <s v="Office Supplies"/>
    <s v="Art"/>
    <x v="587"/>
    <n v="19.829999999999998"/>
    <m/>
    <s v="Office Supplies"/>
    <s v="OS"/>
  </r>
  <r>
    <n v="4241"/>
    <s v="CA-2015-133704"/>
    <s v="20/09/2015"/>
    <s v="26/09/2015"/>
    <s v="Standard Class"/>
    <x v="596"/>
    <x v="596"/>
    <s v="Home Office"/>
    <x v="0"/>
    <s v="Los Angeles"/>
    <s v="California"/>
    <n v="90004"/>
    <s v="West"/>
    <s v="OFF-AP-10001366"/>
    <s v="Office Supplies"/>
    <s v="Appliances"/>
    <x v="162"/>
    <n v="43.92"/>
    <m/>
    <s v="Office Supplies"/>
    <s v="OS"/>
  </r>
  <r>
    <n v="4278"/>
    <s v="US-2017-107440"/>
    <s v="16/04/2017"/>
    <s v="20/04/2017"/>
    <s v="Standard Class"/>
    <x v="597"/>
    <x v="597"/>
    <s v="Corporate"/>
    <x v="0"/>
    <s v="Lakewood"/>
    <s v="New Jersey"/>
    <n v="8701"/>
    <s v="East"/>
    <s v="TEC-MA-10001047"/>
    <s v="Technology"/>
    <s v="Machines"/>
    <x v="588"/>
    <n v="9099.93"/>
    <m/>
    <s v="Technology"/>
    <s v="Technology"/>
  </r>
  <r>
    <n v="4334"/>
    <s v="CA-2016-112375"/>
    <s v="21/12/2016"/>
    <s v="27/12/2016"/>
    <s v="Standard Class"/>
    <x v="598"/>
    <x v="598"/>
    <s v="Consumer"/>
    <x v="0"/>
    <s v="Daytona Beach"/>
    <s v="Florida"/>
    <n v="32114"/>
    <s v="South"/>
    <s v="TEC-AC-10003237"/>
    <s v="Technology"/>
    <s v="Accessories"/>
    <x v="589"/>
    <n v="50.88"/>
    <m/>
    <s v="Technology"/>
    <s v="Technology"/>
  </r>
  <r>
    <n v="4348"/>
    <s v="CA-2017-120355"/>
    <s v="18/09/2017"/>
    <s v="25/09/2017"/>
    <s v="Standard Class"/>
    <x v="599"/>
    <x v="599"/>
    <s v="Consumer"/>
    <x v="0"/>
    <s v="New Rochelle"/>
    <s v="New York"/>
    <n v="10801"/>
    <s v="East"/>
    <s v="FUR-FU-10004053"/>
    <s v="Furniture"/>
    <s v="Furnishings"/>
    <x v="590"/>
    <n v="60.72"/>
    <m/>
    <s v="Cardbaord"/>
    <s v="cardbaord"/>
  </r>
  <r>
    <n v="4437"/>
    <s v="CA-2017-163398"/>
    <s v="03/05/2017"/>
    <s v="08/05/2017"/>
    <s v="Standard Class"/>
    <x v="600"/>
    <x v="600"/>
    <s v="Consumer"/>
    <x v="0"/>
    <s v="Chicago"/>
    <s v="Illinois"/>
    <n v="60653"/>
    <s v="Central"/>
    <s v="OFF-AR-10003217"/>
    <s v="Office Supplies"/>
    <s v="Art"/>
    <x v="591"/>
    <n v="27.384"/>
    <m/>
    <s v="Office Supplies"/>
    <s v="OS"/>
  </r>
  <r>
    <n v="4453"/>
    <s v="CA-2017-147137"/>
    <s v="04/07/2017"/>
    <s v="06/07/2017"/>
    <s v="First Class"/>
    <x v="601"/>
    <x v="601"/>
    <s v="Consumer"/>
    <x v="0"/>
    <s v="San Francisco"/>
    <s v="California"/>
    <n v="94109"/>
    <s v="West"/>
    <s v="OFF-EN-10003567"/>
    <s v="Office Supplies"/>
    <s v="Envelopes"/>
    <x v="592"/>
    <n v="43.96"/>
    <m/>
    <s v="Office Supplies"/>
    <s v="OS"/>
  </r>
  <r>
    <n v="4478"/>
    <s v="CA-2018-130211"/>
    <s v="22/10/2018"/>
    <s v="22/10/2018"/>
    <s v="Same Day"/>
    <x v="602"/>
    <x v="602"/>
    <s v="Consumer"/>
    <x v="0"/>
    <s v="Lawton"/>
    <s v="Oklahoma"/>
    <n v="73505"/>
    <s v="Central"/>
    <s v="OFF-ST-10000129"/>
    <s v="Office Supplies"/>
    <s v="Storage"/>
    <x v="593"/>
    <n v="333.09"/>
    <m/>
    <s v="Office Supplies"/>
    <s v="OS"/>
  </r>
  <r>
    <n v="4480"/>
    <s v="CA-2015-147235"/>
    <s v="24/03/2015"/>
    <s v="28/03/2015"/>
    <s v="Standard Class"/>
    <x v="603"/>
    <x v="603"/>
    <s v="Consumer"/>
    <x v="0"/>
    <s v="New York City"/>
    <s v="New York"/>
    <n v="10024"/>
    <s v="East"/>
    <s v="OFF-PA-10004948"/>
    <s v="Office Supplies"/>
    <s v="Paper"/>
    <x v="594"/>
    <n v="24.9"/>
    <m/>
    <s v="Office Supplies"/>
    <s v="OS"/>
  </r>
  <r>
    <n v="4520"/>
    <s v="CA-2018-107167"/>
    <s v="10/06/2018"/>
    <s v="14/06/2018"/>
    <s v="Standard Class"/>
    <x v="604"/>
    <x v="604"/>
    <s v="Corporate"/>
    <x v="0"/>
    <s v="Jacksonville"/>
    <s v="Florida"/>
    <n v="32216"/>
    <s v="South"/>
    <s v="OFF-ST-10003805"/>
    <s v="Office Supplies"/>
    <s v="Storage"/>
    <x v="595"/>
    <n v="1347.52"/>
    <m/>
    <s v="Office Supplies"/>
    <s v="OS"/>
  </r>
  <r>
    <n v="4543"/>
    <s v="CA-2018-113474"/>
    <s v="30/03/2018"/>
    <s v="31/03/2018"/>
    <s v="First Class"/>
    <x v="605"/>
    <x v="605"/>
    <s v="Consumer"/>
    <x v="0"/>
    <s v="Oklahoma City"/>
    <s v="Oklahoma"/>
    <n v="73120"/>
    <s v="Central"/>
    <s v="OFF-EN-10004206"/>
    <s v="Office Supplies"/>
    <s v="Envelopes"/>
    <x v="596"/>
    <n v="325.86"/>
    <m/>
    <s v="Office Supplies"/>
    <s v="OS"/>
  </r>
  <r>
    <n v="4587"/>
    <s v="US-2018-163790"/>
    <s v="02/11/2018"/>
    <s v="04/11/2018"/>
    <s v="Second Class"/>
    <x v="606"/>
    <x v="606"/>
    <s v="Home Office"/>
    <x v="0"/>
    <s v="Danville"/>
    <s v="California"/>
    <n v="94526"/>
    <s v="West"/>
    <s v="OFF-BI-10003718"/>
    <s v="Office Supplies"/>
    <s v="Binders"/>
    <x v="597"/>
    <n v="590.35199999999998"/>
    <m/>
    <s v="Office Supplies"/>
    <s v="OS"/>
  </r>
  <r>
    <n v="4661"/>
    <s v="CA-2016-112130"/>
    <s v="03/05/2016"/>
    <s v="07/05/2016"/>
    <s v="Standard Class"/>
    <x v="607"/>
    <x v="607"/>
    <s v="Consumer"/>
    <x v="0"/>
    <s v="Philadelphia"/>
    <s v="Pennsylvania"/>
    <n v="19140"/>
    <s v="East"/>
    <s v="TEC-AC-10001542"/>
    <s v="Technology"/>
    <s v="Accessories"/>
    <x v="598"/>
    <n v="27.552"/>
    <m/>
    <s v="Technology"/>
    <s v="Technology"/>
  </r>
  <r>
    <n v="4764"/>
    <s v="CA-2015-112851"/>
    <s v="17/09/2015"/>
    <s v="21/09/2015"/>
    <s v="Standard Class"/>
    <x v="608"/>
    <x v="608"/>
    <s v="Consumer"/>
    <x v="0"/>
    <s v="Chula Vista"/>
    <s v="California"/>
    <n v="91911"/>
    <s v="West"/>
    <s v="OFF-EN-10001453"/>
    <s v="Office Supplies"/>
    <s v="Envelopes"/>
    <x v="599"/>
    <n v="182.94"/>
    <m/>
    <s v="Office Supplies"/>
    <s v="OS"/>
  </r>
  <r>
    <n v="4814"/>
    <s v="CA-2017-121370"/>
    <s v="14/11/2017"/>
    <s v="19/11/2017"/>
    <s v="Second Class"/>
    <x v="609"/>
    <x v="609"/>
    <s v="Consumer"/>
    <x v="0"/>
    <s v="Philadelphia"/>
    <s v="Pennsylvania"/>
    <n v="19134"/>
    <s v="East"/>
    <s v="FUR-FU-10002813"/>
    <s v="Furniture"/>
    <s v="Furnishings"/>
    <x v="600"/>
    <n v="48.576000000000001"/>
    <m/>
    <s v="Cardbaord"/>
    <s v="cardbaord"/>
  </r>
  <r>
    <n v="4909"/>
    <s v="CA-2015-133809"/>
    <s v="18/11/2015"/>
    <s v="23/11/2015"/>
    <s v="Second Class"/>
    <x v="610"/>
    <x v="610"/>
    <s v="Consumer"/>
    <x v="0"/>
    <s v="Fairfield"/>
    <s v="Ohio"/>
    <n v="45014"/>
    <s v="East"/>
    <s v="TEC-PH-10004875"/>
    <s v="Technology"/>
    <s v="Phones"/>
    <x v="601"/>
    <n v="9.5879999999999992"/>
    <m/>
    <s v="Technology"/>
    <s v="Technology"/>
  </r>
  <r>
    <n v="4936"/>
    <s v="CA-2016-155124"/>
    <s v="15/03/2016"/>
    <s v="21/03/2016"/>
    <s v="Standard Class"/>
    <x v="611"/>
    <x v="611"/>
    <s v="Corporate"/>
    <x v="0"/>
    <s v="Lehi"/>
    <s v="Utah"/>
    <n v="84043"/>
    <s v="West"/>
    <s v="TEC-PH-10003356"/>
    <s v="Technology"/>
    <s v="Phones"/>
    <x v="602"/>
    <n v="16.776"/>
    <m/>
    <s v="Technology"/>
    <s v="Technology"/>
  </r>
  <r>
    <n v="5000"/>
    <s v="CA-2017-129238"/>
    <s v="31/01/2017"/>
    <s v="04/02/2017"/>
    <s v="Standard Class"/>
    <x v="612"/>
    <x v="612"/>
    <s v="Home Office"/>
    <x v="0"/>
    <s v="Los Angeles"/>
    <s v="California"/>
    <n v="90045"/>
    <s v="West"/>
    <s v="OFF-PA-10002764"/>
    <s v="Office Supplies"/>
    <s v="Paper"/>
    <x v="14"/>
    <n v="56.7"/>
    <m/>
    <s v="Office Supplies"/>
    <s v="OS"/>
  </r>
  <r>
    <n v="5004"/>
    <s v="CA-2017-155033"/>
    <s v="07/10/2017"/>
    <s v="12/10/2017"/>
    <s v="Standard Class"/>
    <x v="613"/>
    <x v="613"/>
    <s v="Consumer"/>
    <x v="0"/>
    <s v="Los Angeles"/>
    <s v="California"/>
    <n v="90032"/>
    <s v="West"/>
    <s v="OFF-PA-10000143"/>
    <s v="Office Supplies"/>
    <s v="Paper"/>
    <x v="603"/>
    <n v="10.56"/>
    <m/>
    <s v="Office Supplies"/>
    <s v="OS"/>
  </r>
  <r>
    <n v="5014"/>
    <s v="US-2018-160465"/>
    <s v="21/07/2018"/>
    <s v="26/07/2018"/>
    <s v="Standard Class"/>
    <x v="614"/>
    <x v="614"/>
    <s v="Home Office"/>
    <x v="0"/>
    <s v="Cleveland"/>
    <s v="Ohio"/>
    <n v="44105"/>
    <s v="East"/>
    <s v="OFF-ST-10000136"/>
    <s v="Office Supplies"/>
    <s v="Storage"/>
    <x v="604"/>
    <n v="222.32"/>
    <m/>
    <s v="Office Supplies"/>
    <s v="OS"/>
  </r>
  <r>
    <n v="5087"/>
    <s v="CA-2016-109001"/>
    <s v="05/03/2016"/>
    <s v="09/03/2016"/>
    <s v="Standard Class"/>
    <x v="615"/>
    <x v="615"/>
    <s v="Corporate"/>
    <x v="0"/>
    <s v="Philadelphia"/>
    <s v="Pennsylvania"/>
    <n v="19120"/>
    <s v="East"/>
    <s v="TEC-PH-10000562"/>
    <s v="Technology"/>
    <s v="Phones"/>
    <x v="605"/>
    <n v="466.15800000000002"/>
    <m/>
    <s v="Technology"/>
    <s v="Technology"/>
  </r>
  <r>
    <n v="5116"/>
    <s v="CA-2018-125640"/>
    <s v="25/07/2018"/>
    <s v="29/07/2018"/>
    <s v="Standard Class"/>
    <x v="616"/>
    <x v="616"/>
    <s v="Consumer"/>
    <x v="0"/>
    <s v="Philadelphia"/>
    <s v="Pennsylvania"/>
    <n v="19134"/>
    <s v="East"/>
    <s v="OFF-LA-10004178"/>
    <s v="Office Supplies"/>
    <s v="Labels"/>
    <x v="606"/>
    <n v="3.3039999999999998"/>
    <m/>
    <s v="Office Supplies"/>
    <s v="OS"/>
  </r>
  <r>
    <n v="5295"/>
    <s v="CA-2018-144883"/>
    <s v="15/08/2018"/>
    <s v="19/08/2018"/>
    <s v="Standard Class"/>
    <x v="617"/>
    <x v="617"/>
    <s v="Corporate"/>
    <x v="0"/>
    <s v="Roseville"/>
    <s v="Minnesota"/>
    <n v="55113"/>
    <s v="Central"/>
    <s v="OFF-LA-10000305"/>
    <s v="Office Supplies"/>
    <s v="Labels"/>
    <x v="607"/>
    <n v="50.4"/>
    <m/>
    <s v="Office Supplies"/>
    <s v="OS"/>
  </r>
  <r>
    <n v="5356"/>
    <s v="CA-2015-113768"/>
    <s v="13/05/2015"/>
    <s v="19/05/2015"/>
    <s v="Standard Class"/>
    <x v="618"/>
    <x v="618"/>
    <s v="Corporate"/>
    <x v="0"/>
    <s v="Los Angeles"/>
    <s v="California"/>
    <n v="90004"/>
    <s v="West"/>
    <s v="OFF-PA-10003063"/>
    <s v="Office Supplies"/>
    <s v="Paper"/>
    <x v="608"/>
    <n v="8"/>
    <m/>
    <s v="Office Supplies"/>
    <s v="OS"/>
  </r>
  <r>
    <n v="5381"/>
    <s v="CA-2017-136021"/>
    <s v="14/08/2017"/>
    <s v="18/08/2017"/>
    <s v="Standard Class"/>
    <x v="619"/>
    <x v="619"/>
    <s v="Consumer"/>
    <x v="0"/>
    <s v="Los Angeles"/>
    <s v="California"/>
    <n v="90045"/>
    <s v="West"/>
    <s v="TEC-MA-10000423"/>
    <s v="Technology"/>
    <s v="Machines"/>
    <x v="609"/>
    <n v="105.55200000000001"/>
    <m/>
    <s v="Technology"/>
    <s v="Technology"/>
  </r>
  <r>
    <n v="5413"/>
    <s v="CA-2018-166856"/>
    <s v="18/09/2018"/>
    <s v="22/09/2018"/>
    <s v="Standard Class"/>
    <x v="620"/>
    <x v="620"/>
    <s v="Consumer"/>
    <x v="0"/>
    <s v="Clovis"/>
    <s v="New Mexico"/>
    <n v="88101"/>
    <s v="West"/>
    <s v="TEC-AC-10004992"/>
    <s v="Technology"/>
    <s v="Accessories"/>
    <x v="610"/>
    <n v="101.34"/>
    <m/>
    <s v="Technology"/>
    <s v="Technology"/>
  </r>
  <r>
    <n v="5439"/>
    <s v="CA-2015-103317"/>
    <s v="05/07/2015"/>
    <s v="08/07/2015"/>
    <s v="First Class"/>
    <x v="621"/>
    <x v="621"/>
    <s v="Corporate"/>
    <x v="0"/>
    <s v="Palm Coast"/>
    <s v="Florida"/>
    <n v="32137"/>
    <s v="South"/>
    <s v="FUR-FU-10003192"/>
    <s v="Furniture"/>
    <s v="Furnishings"/>
    <x v="611"/>
    <n v="213.21600000000001"/>
    <m/>
    <s v="Cardbaord"/>
    <s v="cardbaord"/>
  </r>
  <r>
    <n v="5442"/>
    <s v="CA-2018-155929"/>
    <s v="09/09/2018"/>
    <s v="13/09/2018"/>
    <s v="Standard Class"/>
    <x v="622"/>
    <x v="622"/>
    <s v="Consumer"/>
    <x v="0"/>
    <s v="Glendale"/>
    <s v="Arizona"/>
    <n v="85301"/>
    <s v="West"/>
    <s v="OFF-PA-10000859"/>
    <s v="Office Supplies"/>
    <s v="Paper"/>
    <x v="612"/>
    <n v="6.3680000000000003"/>
    <m/>
    <s v="Office Supplies"/>
    <s v="OS"/>
  </r>
  <r>
    <n v="5638"/>
    <s v="CA-2018-113208"/>
    <s v="26/03/2018"/>
    <s v="02/04/2018"/>
    <s v="Standard Class"/>
    <x v="623"/>
    <x v="623"/>
    <s v="Corporate"/>
    <x v="0"/>
    <s v="Dearborn"/>
    <s v="Michigan"/>
    <n v="48126"/>
    <s v="Central"/>
    <s v="FUR-FU-10004245"/>
    <s v="Furniture"/>
    <s v="Furnishings"/>
    <x v="613"/>
    <n v="60.84"/>
    <m/>
    <s v="Cardbaord"/>
    <s v="cardbaord"/>
  </r>
  <r>
    <n v="5838"/>
    <s v="CA-2018-133207"/>
    <s v="27/11/2018"/>
    <s v="03/12/2018"/>
    <s v="Standard Class"/>
    <x v="624"/>
    <x v="624"/>
    <s v="Consumer"/>
    <x v="0"/>
    <s v="Los Angeles"/>
    <s v="California"/>
    <n v="90036"/>
    <s v="West"/>
    <s v="TEC-PH-10004100"/>
    <s v="Technology"/>
    <s v="Phones"/>
    <x v="614"/>
    <n v="57.567999999999998"/>
    <m/>
    <s v="Technology"/>
    <s v="Technology"/>
  </r>
  <r>
    <n v="5839"/>
    <s v="CA-2016-132948"/>
    <s v="27/03/2016"/>
    <s v="03/04/2016"/>
    <s v="Standard Class"/>
    <x v="625"/>
    <x v="625"/>
    <s v="Consumer"/>
    <x v="0"/>
    <s v="Seattle"/>
    <s v="Washington"/>
    <n v="98115"/>
    <s v="West"/>
    <s v="OFF-ST-10000636"/>
    <s v="Office Supplies"/>
    <s v="Storage"/>
    <x v="615"/>
    <n v="83.7"/>
    <m/>
    <s v="Office Supplies"/>
    <s v="OS"/>
  </r>
  <r>
    <n v="5842"/>
    <s v="CA-2016-126725"/>
    <s v="17/11/2016"/>
    <s v="21/11/2016"/>
    <s v="Standard Class"/>
    <x v="626"/>
    <x v="626"/>
    <s v="Consumer"/>
    <x v="0"/>
    <s v="San Diego"/>
    <s v="California"/>
    <n v="92105"/>
    <s v="West"/>
    <s v="TEC-PH-10003174"/>
    <s v="Technology"/>
    <s v="Phones"/>
    <x v="616"/>
    <n v="415.96800000000002"/>
    <m/>
    <s v="Technology"/>
    <s v="Technology"/>
  </r>
  <r>
    <n v="5862"/>
    <s v="CA-2017-101525"/>
    <s v="01/05/2017"/>
    <s v="04/05/2017"/>
    <s v="Second Class"/>
    <x v="627"/>
    <x v="627"/>
    <s v="Consumer"/>
    <x v="0"/>
    <s v="Little Rock"/>
    <s v="Arkansas"/>
    <n v="72209"/>
    <s v="South"/>
    <s v="OFF-PA-10001497"/>
    <s v="Office Supplies"/>
    <s v="Paper"/>
    <x v="617"/>
    <n v="109.92"/>
    <m/>
    <s v="Office Supplies"/>
    <s v="OS"/>
  </r>
  <r>
    <n v="6159"/>
    <s v="CA-2017-104150"/>
    <s v="03/08/2017"/>
    <s v="05/08/2017"/>
    <s v="Second Class"/>
    <x v="628"/>
    <x v="628"/>
    <s v="Consumer"/>
    <x v="0"/>
    <s v="Tulsa"/>
    <s v="Oklahoma"/>
    <n v="74133"/>
    <s v="Central"/>
    <s v="TEC-AC-10004803"/>
    <s v="Technology"/>
    <s v="Accessories"/>
    <x v="618"/>
    <n v="167.28"/>
    <m/>
    <s v="Technology"/>
    <s v="Technology"/>
  </r>
  <r>
    <n v="6427"/>
    <s v="CA-2017-143714"/>
    <s v="23/05/2017"/>
    <s v="27/05/2017"/>
    <s v="Standard Class"/>
    <x v="629"/>
    <x v="629"/>
    <s v="Consumer"/>
    <x v="0"/>
    <s v="Philadelphia"/>
    <s v="Pennsylvania"/>
    <n v="19120"/>
    <s v="East"/>
    <s v="OFF-BI-10004308"/>
    <s v="Office Supplies"/>
    <s v="Binders"/>
    <x v="619"/>
    <n v="6.2939999999999996"/>
    <m/>
    <s v="Office Supplies"/>
    <s v="OS"/>
  </r>
  <r>
    <n v="6523"/>
    <s v="CA-2018-138289"/>
    <s v="16/01/2018"/>
    <s v="18/01/2018"/>
    <s v="Second Class"/>
    <x v="630"/>
    <x v="630"/>
    <s v="Consumer"/>
    <x v="0"/>
    <s v="Jackson"/>
    <s v="Michigan"/>
    <n v="49201"/>
    <s v="Central"/>
    <s v="OFF-PA-10001260"/>
    <s v="Office Supplies"/>
    <s v="Paper"/>
    <x v="620"/>
    <n v="56.07"/>
    <m/>
    <s v="Office Supplies"/>
    <s v="OS"/>
  </r>
  <r>
    <n v="6575"/>
    <s v="CA-2017-160535"/>
    <s v="25/11/2017"/>
    <s v="30/11/2017"/>
    <s v="Standard Class"/>
    <x v="631"/>
    <x v="631"/>
    <s v="Corporate"/>
    <x v="0"/>
    <s v="Plainfield"/>
    <s v="New Jersey"/>
    <n v="7060"/>
    <s v="East"/>
    <s v="TEC-MA-10004255"/>
    <s v="Technology"/>
    <s v="Machines"/>
    <x v="621"/>
    <n v="319.92"/>
    <m/>
    <s v="Technology"/>
    <s v="Technology"/>
  </r>
  <r>
    <n v="6699"/>
    <s v="CA-2018-145429"/>
    <s v="21/07/2018"/>
    <s v="25/07/2018"/>
    <s v="Standard Class"/>
    <x v="632"/>
    <x v="632"/>
    <s v="Consumer"/>
    <x v="0"/>
    <s v="San Diego"/>
    <s v="California"/>
    <n v="92024"/>
    <s v="West"/>
    <s v="OFF-PA-10003205"/>
    <s v="Office Supplies"/>
    <s v="Paper"/>
    <x v="622"/>
    <n v="16.34"/>
    <m/>
    <s v="Office Supplies"/>
    <s v="OS"/>
  </r>
  <r>
    <n v="6814"/>
    <s v="CA-2018-156237"/>
    <s v="14/09/2018"/>
    <s v="15/09/2018"/>
    <s v="First Class"/>
    <x v="633"/>
    <x v="633"/>
    <s v="Consumer"/>
    <x v="0"/>
    <s v="Philadelphia"/>
    <s v="Pennsylvania"/>
    <n v="19140"/>
    <s v="East"/>
    <s v="FUR-FU-10001057"/>
    <s v="Furniture"/>
    <s v="Furnishings"/>
    <x v="623"/>
    <n v="127.93600000000001"/>
    <m/>
    <s v="Cardbaord"/>
    <s v="cardbaord"/>
  </r>
  <r>
    <n v="6944"/>
    <s v="CA-2016-139248"/>
    <s v="25/07/2016"/>
    <s v="30/07/2016"/>
    <s v="Standard Class"/>
    <x v="634"/>
    <x v="634"/>
    <s v="Consumer"/>
    <x v="0"/>
    <s v="Los Angeles"/>
    <s v="California"/>
    <n v="90032"/>
    <s v="West"/>
    <s v="TEC-PH-10004094"/>
    <s v="Technology"/>
    <s v="Phones"/>
    <x v="624"/>
    <n v="623.96"/>
    <m/>
    <s v="Technology"/>
    <s v="Technology"/>
  </r>
  <r>
    <n v="7642"/>
    <s v="US-2017-157490"/>
    <s v="06/10/2017"/>
    <s v="07/10/2017"/>
    <s v="First Class"/>
    <x v="635"/>
    <x v="635"/>
    <s v="Home Office"/>
    <x v="0"/>
    <s v="Pueblo"/>
    <s v="Colorado"/>
    <n v="81001"/>
    <s v="West"/>
    <s v="TEC-MA-10001695"/>
    <s v="Technology"/>
    <s v="Machines"/>
    <x v="625"/>
    <n v="703.71"/>
    <m/>
    <s v="Technology"/>
    <s v="Technology"/>
  </r>
  <r>
    <n v="7915"/>
    <s v="CA-2018-165323"/>
    <s v="17/06/2018"/>
    <s v="21/06/2018"/>
    <s v="Standard Class"/>
    <x v="636"/>
    <x v="636"/>
    <s v="Home Office"/>
    <x v="0"/>
    <s v="New York City"/>
    <s v="New York"/>
    <n v="10024"/>
    <s v="East"/>
    <s v="TEC-MA-10003673"/>
    <s v="Technology"/>
    <s v="Machines"/>
    <x v="626"/>
    <n v="3404.5"/>
    <m/>
    <s v="Technology"/>
    <s v="Technology"/>
  </r>
  <r>
    <n v="7968"/>
    <s v="CA-2017-157707"/>
    <s v="10/10/2017"/>
    <s v="12/10/2017"/>
    <s v="First Class"/>
    <x v="637"/>
    <x v="637"/>
    <s v="Corporate"/>
    <x v="0"/>
    <s v="Denver"/>
    <s v="Colorado"/>
    <n v="80219"/>
    <s v="West"/>
    <s v="FUR-BO-10001567"/>
    <s v="Furniture"/>
    <s v="Bookcases"/>
    <x v="627"/>
    <n v="90.882000000000005"/>
    <m/>
    <s v="Cardbaord"/>
    <s v="cardbaord"/>
  </r>
  <r>
    <n v="8107"/>
    <s v="CA-2018-159149"/>
    <s v="17/02/2018"/>
    <s v="19/02/2018"/>
    <s v="First Class"/>
    <x v="638"/>
    <x v="638"/>
    <s v="Home Office"/>
    <x v="0"/>
    <s v="Houston"/>
    <s v="Texas"/>
    <n v="77041"/>
    <s v="Central"/>
    <s v="OFF-AR-10000937"/>
    <s v="Office Supplies"/>
    <s v="Art"/>
    <x v="628"/>
    <n v="175.44"/>
    <m/>
    <s v="Office Supplies"/>
    <s v="OS"/>
  </r>
  <r>
    <n v="8367"/>
    <s v="CA-2015-109918"/>
    <s v="07/09/2015"/>
    <s v="12/09/2015"/>
    <s v="Second Class"/>
    <x v="639"/>
    <x v="639"/>
    <s v="Corporate"/>
    <x v="0"/>
    <s v="Santa Clara"/>
    <s v="California"/>
    <n v="95051"/>
    <s v="West"/>
    <s v="OFF-SU-10004290"/>
    <s v="Office Supplies"/>
    <s v="Supplies"/>
    <x v="629"/>
    <n v="27.36"/>
    <m/>
    <s v="Office Supplies"/>
    <s v="OS"/>
  </r>
  <r>
    <n v="8925"/>
    <s v="CA-2017-168032"/>
    <s v="30/01/2017"/>
    <s v="03/02/2017"/>
    <s v="Standard Class"/>
    <x v="640"/>
    <x v="640"/>
    <s v="Consumer"/>
    <x v="0"/>
    <s v="Rockford"/>
    <s v="Illinois"/>
    <n v="61107"/>
    <s v="Central"/>
    <s v="TEC-PH-10004241"/>
    <s v="Technology"/>
    <s v="Phones"/>
    <x v="630"/>
    <n v="1439.9680000000001"/>
    <m/>
    <s v="Technology"/>
    <s v="Technology"/>
  </r>
  <r>
    <n v="9379"/>
    <s v="CA-2017-117625"/>
    <s v="10/05/2017"/>
    <s v="15/05/2017"/>
    <s v="Standard Class"/>
    <x v="641"/>
    <x v="641"/>
    <s v="Consumer"/>
    <x v="0"/>
    <s v="Chicago"/>
    <s v="Illinois"/>
    <n v="60610"/>
    <s v="Central"/>
    <s v="OFF-EN-10001535"/>
    <s v="Office Supplies"/>
    <s v="Envelopes"/>
    <x v="631"/>
    <n v="7.0720000000000001"/>
    <m/>
    <s v="Office Supplies"/>
    <s v="OS"/>
  </r>
  <r>
    <n v="9563"/>
    <s v="CA-2017-129280"/>
    <s v="03/05/2017"/>
    <s v="05/05/2017"/>
    <s v="First Class"/>
    <x v="642"/>
    <x v="642"/>
    <s v="Consumer"/>
    <x v="0"/>
    <s v="Newark"/>
    <s v="Ohio"/>
    <n v="43055"/>
    <s v="East"/>
    <s v="TEC-MA-10003589"/>
    <s v="Technology"/>
    <s v="Machines"/>
    <x v="632"/>
    <n v="224.93700000000001"/>
    <m/>
    <s v="Technology"/>
    <s v="Technology"/>
  </r>
  <r>
    <m/>
    <m/>
    <m/>
    <m/>
    <m/>
    <x v="643"/>
    <x v="643"/>
    <m/>
    <x v="1"/>
    <m/>
    <m/>
    <m/>
    <m/>
    <m/>
    <m/>
    <m/>
    <x v="63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8DD7C-EAF1-4D03-AF64-D7A883624816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0:H1963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645">
        <item x="486"/>
        <item x="204"/>
        <item x="4"/>
        <item x="601"/>
        <item x="140"/>
        <item x="519"/>
        <item x="427"/>
        <item x="257"/>
        <item x="438"/>
        <item x="397"/>
        <item x="138"/>
        <item x="461"/>
        <item x="468"/>
        <item x="56"/>
        <item x="512"/>
        <item x="8"/>
        <item x="591"/>
        <item x="628"/>
        <item x="338"/>
        <item x="118"/>
        <item x="129"/>
        <item x="160"/>
        <item x="302"/>
        <item x="146"/>
        <item x="618"/>
        <item x="422"/>
        <item x="120"/>
        <item x="112"/>
        <item x="571"/>
        <item x="622"/>
        <item x="298"/>
        <item x="276"/>
        <item x="211"/>
        <item x="189"/>
        <item x="83"/>
        <item x="474"/>
        <item x="363"/>
        <item x="262"/>
        <item x="148"/>
        <item x="231"/>
        <item x="630"/>
        <item x="246"/>
        <item x="393"/>
        <item x="460"/>
        <item x="208"/>
        <item x="124"/>
        <item x="230"/>
        <item x="150"/>
        <item x="326"/>
        <item x="365"/>
        <item x="239"/>
        <item x="421"/>
        <item x="517"/>
        <item x="536"/>
        <item x="510"/>
        <item x="117"/>
        <item x="175"/>
        <item x="209"/>
        <item x="207"/>
        <item x="198"/>
        <item x="602"/>
        <item x="224"/>
        <item x="382"/>
        <item x="311"/>
        <item x="503"/>
        <item x="454"/>
        <item x="502"/>
        <item x="370"/>
        <item x="542"/>
        <item x="372"/>
        <item x="3"/>
        <item x="296"/>
        <item x="74"/>
        <item x="291"/>
        <item x="279"/>
        <item x="260"/>
        <item x="196"/>
        <item x="617"/>
        <item x="631"/>
        <item x="157"/>
        <item x="547"/>
        <item x="127"/>
        <item x="459"/>
        <item x="597"/>
        <item x="28"/>
        <item x="626"/>
        <item x="89"/>
        <item x="324"/>
        <item x="401"/>
        <item x="352"/>
        <item x="485"/>
        <item x="355"/>
        <item x="367"/>
        <item x="568"/>
        <item x="277"/>
        <item x="521"/>
        <item x="236"/>
        <item x="114"/>
        <item x="214"/>
        <item x="85"/>
        <item x="600"/>
        <item x="113"/>
        <item x="350"/>
        <item x="222"/>
        <item x="499"/>
        <item x="629"/>
        <item x="245"/>
        <item x="613"/>
        <item x="637"/>
        <item x="108"/>
        <item x="603"/>
        <item x="251"/>
        <item x="434"/>
        <item x="439"/>
        <item x="316"/>
        <item x="0"/>
        <item x="452"/>
        <item x="165"/>
        <item x="229"/>
        <item x="234"/>
        <item x="294"/>
        <item x="51"/>
        <item x="556"/>
        <item x="514"/>
        <item x="392"/>
        <item x="472"/>
        <item x="627"/>
        <item x="194"/>
        <item x="297"/>
        <item x="412"/>
        <item x="528"/>
        <item x="410"/>
        <item x="125"/>
        <item x="247"/>
        <item x="638"/>
        <item x="549"/>
        <item x="221"/>
        <item x="75"/>
        <item x="582"/>
        <item x="275"/>
        <item x="359"/>
        <item x="36"/>
        <item x="385"/>
        <item x="416"/>
        <item x="488"/>
        <item x="504"/>
        <item x="50"/>
        <item x="188"/>
        <item x="353"/>
        <item x="456"/>
        <item x="543"/>
        <item x="172"/>
        <item x="101"/>
        <item x="197"/>
        <item x="476"/>
        <item x="513"/>
        <item x="484"/>
        <item x="137"/>
        <item x="462"/>
        <item x="380"/>
        <item x="441"/>
        <item x="616"/>
        <item x="337"/>
        <item x="640"/>
        <item x="344"/>
        <item x="241"/>
        <item x="134"/>
        <item x="252"/>
        <item x="404"/>
        <item x="583"/>
        <item x="206"/>
        <item x="53"/>
        <item x="79"/>
        <item x="153"/>
        <item x="505"/>
        <item x="278"/>
        <item x="321"/>
        <item x="106"/>
        <item x="588"/>
        <item x="589"/>
        <item x="109"/>
        <item x="592"/>
        <item x="533"/>
        <item x="621"/>
        <item x="34"/>
        <item x="152"/>
        <item x="624"/>
        <item x="23"/>
        <item x="295"/>
        <item x="261"/>
        <item x="584"/>
        <item x="426"/>
        <item x="107"/>
        <item x="553"/>
        <item x="269"/>
        <item x="98"/>
        <item x="1"/>
        <item x="223"/>
        <item x="554"/>
        <item x="103"/>
        <item x="351"/>
        <item x="60"/>
        <item x="100"/>
        <item x="178"/>
        <item x="529"/>
        <item x="217"/>
        <item x="561"/>
        <item x="581"/>
        <item x="609"/>
        <item x="388"/>
        <item x="546"/>
        <item x="268"/>
        <item x="463"/>
        <item x="12"/>
        <item x="501"/>
        <item x="477"/>
        <item x="590"/>
        <item x="557"/>
        <item x="569"/>
        <item x="374"/>
        <item x="339"/>
        <item x="497"/>
        <item x="71"/>
        <item x="185"/>
        <item x="292"/>
        <item x="535"/>
        <item x="522"/>
        <item x="205"/>
        <item x="44"/>
        <item x="282"/>
        <item x="19"/>
        <item x="132"/>
        <item x="389"/>
        <item x="361"/>
        <item x="586"/>
        <item x="87"/>
        <item x="442"/>
        <item x="82"/>
        <item x="240"/>
        <item x="348"/>
        <item x="216"/>
        <item x="563"/>
        <item x="293"/>
        <item x="309"/>
        <item x="537"/>
        <item x="233"/>
        <item x="54"/>
        <item x="573"/>
        <item x="418"/>
        <item x="15"/>
        <item x="133"/>
        <item x="285"/>
        <item x="38"/>
        <item x="641"/>
        <item x="373"/>
        <item x="300"/>
        <item x="253"/>
        <item x="210"/>
        <item x="145"/>
        <item x="46"/>
        <item x="400"/>
        <item x="116"/>
        <item x="551"/>
        <item x="572"/>
        <item x="386"/>
        <item x="433"/>
        <item x="91"/>
        <item x="308"/>
        <item x="396"/>
        <item x="30"/>
        <item x="6"/>
        <item x="336"/>
        <item x="366"/>
        <item x="283"/>
        <item x="559"/>
        <item x="481"/>
        <item x="5"/>
        <item x="320"/>
        <item x="76"/>
        <item x="97"/>
        <item x="538"/>
        <item x="202"/>
        <item x="430"/>
        <item x="520"/>
        <item x="35"/>
        <item x="414"/>
        <item x="123"/>
        <item x="470"/>
        <item x="243"/>
        <item x="305"/>
        <item x="446"/>
        <item x="467"/>
        <item x="31"/>
        <item x="65"/>
        <item x="524"/>
        <item x="267"/>
        <item x="218"/>
        <item x="215"/>
        <item x="448"/>
        <item x="156"/>
        <item x="544"/>
        <item x="183"/>
        <item x="341"/>
        <item x="487"/>
        <item x="96"/>
        <item x="93"/>
        <item x="340"/>
        <item x="440"/>
        <item x="259"/>
        <item x="78"/>
        <item x="281"/>
        <item x="429"/>
        <item x="290"/>
        <item x="451"/>
        <item x="141"/>
        <item x="244"/>
        <item x="136"/>
        <item x="48"/>
        <item x="24"/>
        <item x="314"/>
        <item x="619"/>
        <item x="419"/>
        <item x="492"/>
        <item x="587"/>
        <item x="119"/>
        <item x="258"/>
        <item x="548"/>
        <item x="182"/>
        <item x="545"/>
        <item x="391"/>
        <item x="377"/>
        <item x="310"/>
        <item x="304"/>
        <item x="39"/>
        <item x="334"/>
        <item x="360"/>
        <item x="471"/>
        <item x="566"/>
        <item x="420"/>
        <item x="201"/>
        <item x="40"/>
        <item x="10"/>
        <item x="32"/>
        <item x="318"/>
        <item x="105"/>
        <item x="164"/>
        <item x="29"/>
        <item x="43"/>
        <item x="443"/>
        <item x="580"/>
        <item x="541"/>
        <item x="455"/>
        <item x="319"/>
        <item x="163"/>
        <item x="170"/>
        <item x="115"/>
        <item x="122"/>
        <item x="102"/>
        <item x="335"/>
        <item x="585"/>
        <item x="26"/>
        <item x="615"/>
        <item x="498"/>
        <item x="611"/>
        <item x="395"/>
        <item x="371"/>
        <item x="143"/>
        <item x="151"/>
        <item x="635"/>
        <item x="47"/>
        <item x="61"/>
        <item x="17"/>
        <item x="90"/>
        <item x="92"/>
        <item x="161"/>
        <item x="22"/>
        <item x="289"/>
        <item x="104"/>
        <item x="303"/>
        <item x="213"/>
        <item x="387"/>
        <item x="227"/>
        <item x="639"/>
        <item x="299"/>
        <item x="59"/>
        <item x="579"/>
        <item x="195"/>
        <item x="280"/>
        <item x="354"/>
        <item x="14"/>
        <item x="596"/>
        <item x="88"/>
        <item x="407"/>
        <item x="450"/>
        <item x="508"/>
        <item x="254"/>
        <item x="423"/>
        <item x="284"/>
        <item x="192"/>
        <item x="594"/>
        <item x="408"/>
        <item x="242"/>
        <item x="458"/>
        <item x="346"/>
        <item x="64"/>
        <item x="539"/>
        <item x="398"/>
        <item x="200"/>
        <item x="181"/>
        <item x="531"/>
        <item x="376"/>
        <item x="73"/>
        <item x="144"/>
        <item x="173"/>
        <item x="428"/>
        <item x="483"/>
        <item x="445"/>
        <item x="623"/>
        <item x="599"/>
        <item x="565"/>
        <item x="147"/>
        <item x="390"/>
        <item x="342"/>
        <item x="238"/>
        <item x="530"/>
        <item x="84"/>
        <item x="167"/>
        <item x="532"/>
        <item x="265"/>
        <item x="323"/>
        <item x="610"/>
        <item x="349"/>
        <item x="411"/>
        <item x="226"/>
        <item x="94"/>
        <item x="332"/>
        <item x="186"/>
        <item x="625"/>
        <item x="155"/>
        <item x="328"/>
        <item x="193"/>
        <item x="424"/>
        <item x="595"/>
        <item x="464"/>
        <item x="232"/>
        <item x="362"/>
        <item x="570"/>
        <item x="593"/>
        <item x="457"/>
        <item x="394"/>
        <item x="604"/>
        <item x="168"/>
        <item x="345"/>
        <item x="235"/>
        <item x="154"/>
        <item x="68"/>
        <item x="606"/>
        <item x="131"/>
        <item x="358"/>
        <item x="256"/>
        <item x="69"/>
        <item x="409"/>
        <item x="375"/>
        <item x="608"/>
        <item x="437"/>
        <item x="343"/>
        <item x="431"/>
        <item x="121"/>
        <item x="20"/>
        <item x="212"/>
        <item x="49"/>
        <item x="482"/>
        <item x="272"/>
        <item x="166"/>
        <item x="449"/>
        <item x="307"/>
        <item x="415"/>
        <item x="575"/>
        <item x="57"/>
        <item x="379"/>
        <item x="288"/>
        <item x="37"/>
        <item x="199"/>
        <item x="495"/>
        <item x="286"/>
        <item x="301"/>
        <item x="7"/>
        <item x="417"/>
        <item x="42"/>
        <item x="135"/>
        <item x="21"/>
        <item x="174"/>
        <item x="270"/>
        <item x="399"/>
        <item x="558"/>
        <item x="633"/>
        <item x="27"/>
        <item x="356"/>
        <item x="550"/>
        <item x="357"/>
        <item x="511"/>
        <item x="436"/>
        <item x="255"/>
        <item x="18"/>
        <item x="149"/>
        <item x="331"/>
        <item x="177"/>
        <item x="516"/>
        <item x="45"/>
        <item x="250"/>
        <item x="540"/>
        <item x="41"/>
        <item x="171"/>
        <item x="111"/>
        <item x="52"/>
        <item x="425"/>
        <item x="329"/>
        <item x="598"/>
        <item x="264"/>
        <item x="72"/>
        <item x="634"/>
        <item x="478"/>
        <item x="273"/>
        <item x="162"/>
        <item x="330"/>
        <item x="489"/>
        <item x="315"/>
        <item x="203"/>
        <item x="80"/>
        <item x="191"/>
        <item x="317"/>
        <item x="249"/>
        <item x="447"/>
        <item x="527"/>
        <item x="496"/>
        <item x="263"/>
        <item x="403"/>
        <item x="312"/>
        <item x="469"/>
        <item x="187"/>
        <item x="525"/>
        <item x="110"/>
        <item x="562"/>
        <item x="612"/>
        <item x="179"/>
        <item x="465"/>
        <item x="500"/>
        <item x="577"/>
        <item x="534"/>
        <item x="266"/>
        <item x="55"/>
        <item x="33"/>
        <item x="473"/>
        <item x="169"/>
        <item x="313"/>
        <item x="11"/>
        <item x="219"/>
        <item x="237"/>
        <item x="63"/>
        <item x="506"/>
        <item x="62"/>
        <item x="126"/>
        <item x="490"/>
        <item x="555"/>
        <item x="77"/>
        <item x="81"/>
        <item x="453"/>
        <item x="493"/>
        <item x="642"/>
        <item x="378"/>
        <item x="475"/>
        <item x="16"/>
        <item x="2"/>
        <item x="381"/>
        <item x="369"/>
        <item x="67"/>
        <item x="130"/>
        <item x="636"/>
        <item x="159"/>
        <item x="190"/>
        <item x="271"/>
        <item x="405"/>
        <item x="564"/>
        <item x="466"/>
        <item x="607"/>
        <item x="402"/>
        <item x="509"/>
        <item x="364"/>
        <item x="614"/>
        <item x="632"/>
        <item x="368"/>
        <item x="560"/>
        <item x="523"/>
        <item x="25"/>
        <item x="322"/>
        <item x="515"/>
        <item x="432"/>
        <item x="383"/>
        <item x="526"/>
        <item x="13"/>
        <item x="176"/>
        <item x="480"/>
        <item x="552"/>
        <item x="574"/>
        <item x="384"/>
        <item x="139"/>
        <item x="491"/>
        <item x="220"/>
        <item x="435"/>
        <item x="248"/>
        <item x="306"/>
        <item x="507"/>
        <item x="605"/>
        <item x="180"/>
        <item x="228"/>
        <item x="494"/>
        <item x="287"/>
        <item x="406"/>
        <item x="347"/>
        <item x="128"/>
        <item x="327"/>
        <item x="413"/>
        <item x="620"/>
        <item x="58"/>
        <item x="70"/>
        <item x="518"/>
        <item x="444"/>
        <item x="66"/>
        <item x="325"/>
        <item x="142"/>
        <item x="99"/>
        <item x="567"/>
        <item x="333"/>
        <item x="578"/>
        <item x="86"/>
        <item x="158"/>
        <item x="576"/>
        <item x="95"/>
        <item x="479"/>
        <item x="184"/>
        <item x="274"/>
        <item x="225"/>
        <item x="9"/>
        <item x="643"/>
        <item t="default"/>
      </items>
    </pivotField>
    <pivotField axis="axisRow" showAll="0">
      <items count="645">
        <item x="618"/>
        <item x="393"/>
        <item x="140"/>
        <item x="422"/>
        <item x="460"/>
        <item x="519"/>
        <item x="208"/>
        <item x="427"/>
        <item x="257"/>
        <item x="56"/>
        <item x="120"/>
        <item x="112"/>
        <item x="124"/>
        <item x="230"/>
        <item x="438"/>
        <item x="8"/>
        <item x="150"/>
        <item x="591"/>
        <item x="486"/>
        <item x="628"/>
        <item x="83"/>
        <item x="204"/>
        <item x="338"/>
        <item x="148"/>
        <item x="138"/>
        <item x="365"/>
        <item x="461"/>
        <item x="4"/>
        <item x="118"/>
        <item x="231"/>
        <item x="129"/>
        <item x="630"/>
        <item x="536"/>
        <item x="397"/>
        <item x="468"/>
        <item x="326"/>
        <item x="601"/>
        <item x="160"/>
        <item x="571"/>
        <item x="474"/>
        <item x="363"/>
        <item x="239"/>
        <item x="510"/>
        <item x="302"/>
        <item x="298"/>
        <item x="276"/>
        <item x="246"/>
        <item x="421"/>
        <item x="622"/>
        <item x="512"/>
        <item x="146"/>
        <item x="262"/>
        <item x="517"/>
        <item x="211"/>
        <item x="189"/>
        <item x="454"/>
        <item x="117"/>
        <item x="502"/>
        <item x="631"/>
        <item x="157"/>
        <item x="521"/>
        <item x="74"/>
        <item x="547"/>
        <item x="370"/>
        <item x="127"/>
        <item x="542"/>
        <item x="459"/>
        <item x="277"/>
        <item x="296"/>
        <item x="401"/>
        <item x="209"/>
        <item x="311"/>
        <item x="617"/>
        <item x="597"/>
        <item x="352"/>
        <item x="485"/>
        <item x="503"/>
        <item x="260"/>
        <item x="355"/>
        <item x="207"/>
        <item x="196"/>
        <item x="367"/>
        <item x="175"/>
        <item x="28"/>
        <item x="198"/>
        <item x="602"/>
        <item x="291"/>
        <item x="626"/>
        <item x="568"/>
        <item x="372"/>
        <item x="3"/>
        <item x="224"/>
        <item x="89"/>
        <item x="382"/>
        <item x="279"/>
        <item x="324"/>
        <item x="556"/>
        <item x="549"/>
        <item x="188"/>
        <item x="603"/>
        <item x="514"/>
        <item x="221"/>
        <item x="251"/>
        <item x="488"/>
        <item x="165"/>
        <item x="85"/>
        <item x="316"/>
        <item x="452"/>
        <item x="528"/>
        <item x="350"/>
        <item x="392"/>
        <item x="75"/>
        <item x="222"/>
        <item x="582"/>
        <item x="472"/>
        <item x="229"/>
        <item x="499"/>
        <item x="627"/>
        <item x="275"/>
        <item x="236"/>
        <item x="434"/>
        <item x="504"/>
        <item x="114"/>
        <item x="410"/>
        <item x="359"/>
        <item x="629"/>
        <item x="194"/>
        <item x="36"/>
        <item x="600"/>
        <item x="245"/>
        <item x="297"/>
        <item x="385"/>
        <item x="613"/>
        <item x="416"/>
        <item x="0"/>
        <item x="113"/>
        <item x="51"/>
        <item x="234"/>
        <item x="637"/>
        <item x="125"/>
        <item x="412"/>
        <item x="108"/>
        <item x="247"/>
        <item x="353"/>
        <item x="294"/>
        <item x="214"/>
        <item x="439"/>
        <item x="50"/>
        <item x="638"/>
        <item x="404"/>
        <item x="380"/>
        <item x="278"/>
        <item x="107"/>
        <item x="583"/>
        <item x="543"/>
        <item x="321"/>
        <item x="553"/>
        <item x="206"/>
        <item x="23"/>
        <item x="592"/>
        <item x="269"/>
        <item x="1"/>
        <item x="172"/>
        <item x="53"/>
        <item x="295"/>
        <item x="101"/>
        <item x="640"/>
        <item x="79"/>
        <item x="261"/>
        <item x="98"/>
        <item x="554"/>
        <item x="197"/>
        <item x="153"/>
        <item x="584"/>
        <item x="337"/>
        <item x="476"/>
        <item x="441"/>
        <item x="344"/>
        <item x="106"/>
        <item x="588"/>
        <item x="533"/>
        <item x="505"/>
        <item x="426"/>
        <item x="513"/>
        <item x="241"/>
        <item x="152"/>
        <item x="456"/>
        <item x="223"/>
        <item x="103"/>
        <item x="589"/>
        <item x="134"/>
        <item x="621"/>
        <item x="351"/>
        <item x="484"/>
        <item x="616"/>
        <item x="60"/>
        <item x="109"/>
        <item x="137"/>
        <item x="252"/>
        <item x="624"/>
        <item x="462"/>
        <item x="34"/>
        <item x="178"/>
        <item x="569"/>
        <item x="339"/>
        <item x="529"/>
        <item x="463"/>
        <item x="522"/>
        <item x="497"/>
        <item x="217"/>
        <item x="44"/>
        <item x="561"/>
        <item x="268"/>
        <item x="205"/>
        <item x="581"/>
        <item x="12"/>
        <item x="71"/>
        <item x="501"/>
        <item x="477"/>
        <item x="282"/>
        <item x="100"/>
        <item x="546"/>
        <item x="185"/>
        <item x="19"/>
        <item x="292"/>
        <item x="609"/>
        <item x="590"/>
        <item x="535"/>
        <item x="374"/>
        <item x="388"/>
        <item x="557"/>
        <item x="442"/>
        <item x="132"/>
        <item x="389"/>
        <item x="361"/>
        <item x="82"/>
        <item x="348"/>
        <item x="216"/>
        <item x="586"/>
        <item x="87"/>
        <item x="240"/>
        <item x="573"/>
        <item x="418"/>
        <item x="285"/>
        <item x="38"/>
        <item x="46"/>
        <item x="15"/>
        <item x="641"/>
        <item x="563"/>
        <item x="309"/>
        <item x="537"/>
        <item x="233"/>
        <item x="133"/>
        <item x="253"/>
        <item x="54"/>
        <item x="373"/>
        <item x="210"/>
        <item x="293"/>
        <item x="300"/>
        <item x="145"/>
        <item x="336"/>
        <item x="6"/>
        <item x="366"/>
        <item x="572"/>
        <item x="396"/>
        <item x="91"/>
        <item x="400"/>
        <item x="116"/>
        <item x="283"/>
        <item x="559"/>
        <item x="386"/>
        <item x="30"/>
        <item x="551"/>
        <item x="433"/>
        <item x="308"/>
        <item x="5"/>
        <item x="481"/>
        <item x="156"/>
        <item x="587"/>
        <item x="290"/>
        <item x="440"/>
        <item x="451"/>
        <item x="48"/>
        <item x="24"/>
        <item x="119"/>
        <item x="524"/>
        <item x="544"/>
        <item x="202"/>
        <item x="267"/>
        <item x="259"/>
        <item x="430"/>
        <item x="76"/>
        <item x="218"/>
        <item x="341"/>
        <item x="340"/>
        <item x="548"/>
        <item x="305"/>
        <item x="215"/>
        <item x="141"/>
        <item x="182"/>
        <item x="314"/>
        <item x="258"/>
        <item x="448"/>
        <item x="619"/>
        <item x="304"/>
        <item x="446"/>
        <item x="78"/>
        <item x="419"/>
        <item x="391"/>
        <item x="39"/>
        <item x="377"/>
        <item x="467"/>
        <item x="281"/>
        <item x="31"/>
        <item x="520"/>
        <item x="414"/>
        <item x="183"/>
        <item x="487"/>
        <item x="244"/>
        <item x="136"/>
        <item x="334"/>
        <item x="123"/>
        <item x="96"/>
        <item x="97"/>
        <item x="360"/>
        <item x="566"/>
        <item x="320"/>
        <item x="93"/>
        <item x="470"/>
        <item x="471"/>
        <item x="538"/>
        <item x="420"/>
        <item x="35"/>
        <item x="429"/>
        <item x="545"/>
        <item x="243"/>
        <item x="65"/>
        <item x="492"/>
        <item x="310"/>
        <item x="335"/>
        <item x="201"/>
        <item x="318"/>
        <item x="29"/>
        <item x="541"/>
        <item x="611"/>
        <item x="40"/>
        <item x="455"/>
        <item x="43"/>
        <item x="319"/>
        <item x="615"/>
        <item x="580"/>
        <item x="143"/>
        <item x="395"/>
        <item x="371"/>
        <item x="443"/>
        <item x="163"/>
        <item x="105"/>
        <item x="122"/>
        <item x="10"/>
        <item x="32"/>
        <item x="170"/>
        <item x="102"/>
        <item x="585"/>
        <item x="164"/>
        <item x="115"/>
        <item x="498"/>
        <item x="26"/>
        <item x="151"/>
        <item x="635"/>
        <item x="92"/>
        <item x="303"/>
        <item x="47"/>
        <item x="61"/>
        <item x="22"/>
        <item x="227"/>
        <item x="17"/>
        <item x="299"/>
        <item x="59"/>
        <item x="354"/>
        <item x="289"/>
        <item x="639"/>
        <item x="213"/>
        <item x="387"/>
        <item x="280"/>
        <item x="90"/>
        <item x="104"/>
        <item x="161"/>
        <item x="579"/>
        <item x="195"/>
        <item x="599"/>
        <item x="88"/>
        <item x="408"/>
        <item x="595"/>
        <item x="192"/>
        <item x="323"/>
        <item x="193"/>
        <item x="428"/>
        <item x="483"/>
        <item x="407"/>
        <item x="84"/>
        <item x="625"/>
        <item x="342"/>
        <item x="464"/>
        <item x="610"/>
        <item x="265"/>
        <item x="14"/>
        <item x="450"/>
        <item x="508"/>
        <item x="346"/>
        <item x="64"/>
        <item x="349"/>
        <item x="242"/>
        <item x="73"/>
        <item x="445"/>
        <item x="411"/>
        <item x="181"/>
        <item x="238"/>
        <item x="332"/>
        <item x="226"/>
        <item x="254"/>
        <item x="594"/>
        <item x="539"/>
        <item x="398"/>
        <item x="144"/>
        <item x="565"/>
        <item x="390"/>
        <item x="530"/>
        <item x="167"/>
        <item x="94"/>
        <item x="596"/>
        <item x="458"/>
        <item x="531"/>
        <item x="623"/>
        <item x="186"/>
        <item x="423"/>
        <item x="376"/>
        <item x="284"/>
        <item x="200"/>
        <item x="173"/>
        <item x="532"/>
        <item x="155"/>
        <item x="328"/>
        <item x="147"/>
        <item x="424"/>
        <item x="606"/>
        <item x="256"/>
        <item x="362"/>
        <item x="235"/>
        <item x="394"/>
        <item x="168"/>
        <item x="431"/>
        <item x="570"/>
        <item x="154"/>
        <item x="131"/>
        <item x="604"/>
        <item x="68"/>
        <item x="437"/>
        <item x="358"/>
        <item x="593"/>
        <item x="608"/>
        <item x="121"/>
        <item x="345"/>
        <item x="457"/>
        <item x="343"/>
        <item x="232"/>
        <item x="69"/>
        <item x="409"/>
        <item x="375"/>
        <item x="20"/>
        <item x="212"/>
        <item x="307"/>
        <item x="633"/>
        <item x="42"/>
        <item x="199"/>
        <item x="482"/>
        <item x="288"/>
        <item x="495"/>
        <item x="135"/>
        <item x="21"/>
        <item x="558"/>
        <item x="37"/>
        <item x="301"/>
        <item x="417"/>
        <item x="399"/>
        <item x="27"/>
        <item x="357"/>
        <item x="415"/>
        <item x="286"/>
        <item x="356"/>
        <item x="49"/>
        <item x="7"/>
        <item x="550"/>
        <item x="272"/>
        <item x="575"/>
        <item x="166"/>
        <item x="57"/>
        <item x="174"/>
        <item x="270"/>
        <item x="449"/>
        <item x="379"/>
        <item x="511"/>
        <item x="436"/>
        <item x="317"/>
        <item x="255"/>
        <item x="315"/>
        <item x="478"/>
        <item x="177"/>
        <item x="249"/>
        <item x="496"/>
        <item x="516"/>
        <item x="45"/>
        <item x="425"/>
        <item x="330"/>
        <item x="489"/>
        <item x="527"/>
        <item x="403"/>
        <item x="250"/>
        <item x="329"/>
        <item x="203"/>
        <item x="312"/>
        <item x="540"/>
        <item x="80"/>
        <item x="469"/>
        <item x="41"/>
        <item x="598"/>
        <item x="273"/>
        <item x="263"/>
        <item x="191"/>
        <item x="171"/>
        <item x="264"/>
        <item x="111"/>
        <item x="162"/>
        <item x="447"/>
        <item x="18"/>
        <item x="72"/>
        <item x="149"/>
        <item x="634"/>
        <item x="331"/>
        <item x="52"/>
        <item x="62"/>
        <item x="81"/>
        <item x="562"/>
        <item x="560"/>
        <item x="612"/>
        <item x="11"/>
        <item x="63"/>
        <item x="179"/>
        <item x="313"/>
        <item x="490"/>
        <item x="159"/>
        <item x="453"/>
        <item x="525"/>
        <item x="219"/>
        <item x="555"/>
        <item x="465"/>
        <item x="500"/>
        <item x="364"/>
        <item x="110"/>
        <item x="577"/>
        <item x="493"/>
        <item x="2"/>
        <item x="614"/>
        <item x="466"/>
        <item x="534"/>
        <item x="126"/>
        <item x="632"/>
        <item x="169"/>
        <item x="77"/>
        <item x="405"/>
        <item x="381"/>
        <item x="475"/>
        <item x="190"/>
        <item x="506"/>
        <item x="369"/>
        <item x="67"/>
        <item x="564"/>
        <item x="266"/>
        <item x="16"/>
        <item x="55"/>
        <item x="636"/>
        <item x="368"/>
        <item x="33"/>
        <item x="607"/>
        <item x="473"/>
        <item x="402"/>
        <item x="187"/>
        <item x="130"/>
        <item x="271"/>
        <item x="642"/>
        <item x="509"/>
        <item x="378"/>
        <item x="237"/>
        <item x="552"/>
        <item x="139"/>
        <item x="507"/>
        <item x="66"/>
        <item x="180"/>
        <item x="25"/>
        <item x="70"/>
        <item x="406"/>
        <item x="435"/>
        <item x="228"/>
        <item x="347"/>
        <item x="322"/>
        <item x="128"/>
        <item x="518"/>
        <item x="248"/>
        <item x="515"/>
        <item x="432"/>
        <item x="574"/>
        <item x="491"/>
        <item x="287"/>
        <item x="327"/>
        <item x="383"/>
        <item x="413"/>
        <item x="523"/>
        <item x="526"/>
        <item x="494"/>
        <item x="444"/>
        <item x="605"/>
        <item x="620"/>
        <item x="13"/>
        <item x="384"/>
        <item x="306"/>
        <item x="325"/>
        <item x="176"/>
        <item x="58"/>
        <item x="480"/>
        <item x="220"/>
        <item x="99"/>
        <item x="86"/>
        <item x="576"/>
        <item x="567"/>
        <item x="158"/>
        <item x="142"/>
        <item x="95"/>
        <item x="333"/>
        <item x="578"/>
        <item x="479"/>
        <item x="184"/>
        <item x="274"/>
        <item x="225"/>
        <item x="9"/>
        <item x="64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635">
        <item x="325"/>
        <item h="1" x="262"/>
        <item h="1" x="535"/>
        <item h="1" x="16"/>
        <item h="1" x="33"/>
        <item h="1" x="159"/>
        <item h="1" x="595"/>
        <item h="1" x="466"/>
        <item h="1" x="588"/>
        <item h="1" x="347"/>
        <item h="1" x="513"/>
        <item h="1" x="42"/>
        <item h="1" x="135"/>
        <item h="1" x="473"/>
        <item h="1" x="558"/>
        <item h="1" x="385"/>
        <item h="1" x="77"/>
        <item h="1" x="402"/>
        <item h="1" x="497"/>
        <item h="1" x="411"/>
        <item h="1" x="311"/>
        <item h="1" x="302"/>
        <item h="1" x="499"/>
        <item h="1" x="326"/>
        <item h="1" x="629"/>
        <item h="1" x="560"/>
        <item h="1" x="266"/>
        <item h="1" x="228"/>
        <item h="1" x="248"/>
        <item h="1" x="75"/>
        <item h="1" x="410"/>
        <item h="1" x="290"/>
        <item h="1" x="115"/>
        <item h="1" x="96"/>
        <item h="1" x="19"/>
        <item h="1" x="526"/>
        <item h="1" x="440"/>
        <item h="1" x="24"/>
        <item h="1" x="121"/>
        <item h="1" x="210"/>
        <item h="1" x="215"/>
        <item h="1" x="186"/>
        <item h="1" x="339"/>
        <item h="1" x="506"/>
        <item h="1" x="357"/>
        <item h="1" x="117"/>
        <item h="1" x="378"/>
        <item h="1" x="306"/>
        <item h="1" x="155"/>
        <item h="1" x="231"/>
        <item h="1" x="60"/>
        <item h="1" x="471"/>
        <item h="1" x="305"/>
        <item h="1" x="524"/>
        <item h="1" x="187"/>
        <item h="1" x="419"/>
        <item h="1" x="55"/>
        <item h="1" x="603"/>
        <item h="1" x="129"/>
        <item h="1" x="556"/>
        <item h="1" x="136"/>
        <item h="1" x="441"/>
        <item h="1" x="223"/>
        <item h="1" x="80"/>
        <item h="1" x="480"/>
        <item h="1" x="84"/>
        <item h="1" x="561"/>
        <item h="1" x="212"/>
        <item h="1" x="298"/>
        <item h="1" x="299"/>
        <item h="1" x="351"/>
        <item h="1" x="258"/>
        <item h="1" x="606"/>
        <item h="1" x="232"/>
        <item h="1" x="607"/>
        <item h="1" x="507"/>
        <item h="1" x="282"/>
        <item h="1" x="435"/>
        <item h="1" x="358"/>
        <item h="1" x="95"/>
        <item h="1" x="270"/>
        <item h="1" x="445"/>
        <item h="1" x="254"/>
        <item h="1" x="69"/>
        <item h="1" x="30"/>
        <item h="1" x="319"/>
        <item h="1" x="348"/>
        <item h="1" x="58"/>
        <item h="1" x="322"/>
        <item h="1" x="252"/>
        <item h="1" x="465"/>
        <item h="1" x="619"/>
        <item h="1" x="557"/>
        <item h="1" x="45"/>
        <item h="1" x="81"/>
        <item h="1" x="208"/>
        <item h="1" x="486"/>
        <item h="1" x="386"/>
        <item h="1" x="191"/>
        <item h="1" x="491"/>
        <item h="1" x="562"/>
        <item h="1" x="107"/>
        <item h="1" x="66"/>
        <item h="1" x="510"/>
        <item h="1" x="350"/>
        <item h="1" x="142"/>
        <item h="1" x="272"/>
        <item h="1" x="239"/>
        <item h="1" x="57"/>
        <item h="1" x="505"/>
        <item h="1" x="119"/>
        <item h="1" x="166"/>
        <item h="1" x="463"/>
        <item h="1" x="324"/>
        <item h="1" x="74"/>
        <item h="1" x="139"/>
        <item h="1" x="381"/>
        <item h="1" x="430"/>
        <item h="1" x="307"/>
        <item h="1" x="85"/>
        <item h="1" x="554"/>
        <item h="1" x="571"/>
        <item h="1" x="263"/>
        <item h="1" x="369"/>
        <item h="1" x="587"/>
        <item h="1" x="575"/>
        <item h="1" x="130"/>
        <item h="1" x="89"/>
        <item h="1" x="2"/>
        <item h="1" x="275"/>
        <item h="1" x="165"/>
        <item h="1" x="180"/>
        <item h="1" x="255"/>
        <item h="1" x="538"/>
        <item h="1" x="569"/>
        <item h="1" x="0"/>
        <item h="1" x="627"/>
        <item h="1" x="174"/>
        <item h="1" x="517"/>
        <item h="1" x="370"/>
        <item h="1" x="277"/>
        <item h="1" x="236"/>
        <item h="1" x="613"/>
        <item h="1" x="197"/>
        <item h="1" x="632"/>
        <item h="1" x="391"/>
        <item h="1" x="409"/>
        <item h="1" x="111"/>
        <item h="1" x="460"/>
        <item h="1" x="548"/>
        <item h="1" x="216"/>
        <item h="1" x="281"/>
        <item h="1" x="127"/>
        <item h="1" x="23"/>
        <item h="1" x="323"/>
        <item h="1" x="433"/>
        <item h="1" x="523"/>
        <item h="1" x="515"/>
        <item h="1" x="221"/>
        <item h="1" x="154"/>
        <item h="1" x="253"/>
        <item h="1" x="218"/>
        <item h="1" x="457"/>
        <item h="1" x="303"/>
        <item h="1" x="600"/>
        <item h="1" x="568"/>
        <item h="1" x="399"/>
        <item h="1" x="235"/>
        <item h="1" x="530"/>
        <item h="1" x="590"/>
        <item h="1" x="86"/>
        <item h="1" x="128"/>
        <item h="1" x="297"/>
        <item h="1" x="178"/>
        <item h="1" x="170"/>
        <item h="1" x="278"/>
        <item h="1" x="295"/>
        <item h="1" x="628"/>
        <item h="1" x="344"/>
        <item h="1" x="420"/>
        <item h="1" x="131"/>
        <item h="1" x="224"/>
        <item h="1" x="395"/>
        <item h="1" x="14"/>
        <item h="1" x="181"/>
        <item h="1" x="32"/>
        <item h="1" x="244"/>
        <item h="1" x="608"/>
        <item h="1" x="243"/>
        <item h="1" x="91"/>
        <item h="1" x="566"/>
        <item h="1" x="338"/>
        <item h="1" x="343"/>
        <item h="1" x="18"/>
        <item h="1" x="485"/>
        <item h="1" x="59"/>
        <item h="1" x="332"/>
        <item h="1" x="552"/>
        <item h="1" x="532"/>
        <item h="1" x="527"/>
        <item h="1" x="3"/>
        <item h="1" x="573"/>
        <item h="1" x="475"/>
        <item h="1" x="200"/>
        <item h="1" x="371"/>
        <item h="1" x="508"/>
        <item h="1" x="38"/>
        <item h="1" x="468"/>
        <item h="1" x="285"/>
        <item h="1" x="124"/>
        <item h="1" x="276"/>
        <item h="1" x="333"/>
        <item h="1" x="207"/>
        <item h="1" x="169"/>
        <item h="1" x="109"/>
        <item h="1" x="384"/>
        <item h="1" x="90"/>
        <item h="1" x="206"/>
        <item h="1" x="245"/>
        <item h="1" x="283"/>
        <item h="1" x="452"/>
        <item h="1" x="195"/>
        <item h="1" x="126"/>
        <item h="1" x="372"/>
        <item h="1" x="481"/>
        <item h="1" x="379"/>
        <item h="1" x="44"/>
        <item h="1" x="292"/>
        <item h="1" x="304"/>
        <item h="1" x="354"/>
        <item h="1" x="189"/>
        <item h="1" x="5"/>
        <item h="1" x="327"/>
        <item h="1" x="106"/>
        <item h="1" x="593"/>
        <item h="1" x="8"/>
        <item h="1" x="330"/>
        <item h="1" x="227"/>
        <item h="1" x="246"/>
        <item h="1" x="484"/>
        <item h="1" x="451"/>
        <item h="1" x="41"/>
        <item h="1" x="334"/>
        <item h="1" x="542"/>
        <item h="1" x="125"/>
        <item h="1" x="54"/>
        <item h="1" x="458"/>
        <item h="1" x="456"/>
        <item h="1" x="273"/>
        <item h="1" x="301"/>
        <item h="1" x="100"/>
        <item h="1" x="520"/>
        <item h="1" x="335"/>
        <item h="1" x="213"/>
        <item h="1" x="171"/>
        <item h="1" x="289"/>
        <item h="1" x="398"/>
        <item h="1" x="597"/>
        <item h="1" x="462"/>
        <item h="1" x="432"/>
        <item h="1" x="120"/>
        <item h="1" x="15"/>
        <item h="1" x="426"/>
        <item h="1" x="368"/>
        <item h="1" x="176"/>
        <item h="1" x="362"/>
        <item h="1" x="199"/>
        <item h="1" x="56"/>
        <item h="1" x="11"/>
        <item h="1" x="143"/>
        <item h="1" x="179"/>
        <item h="1" x="521"/>
        <item h="1" x="496"/>
        <item h="1" x="543"/>
        <item h="1" x="104"/>
        <item h="1" x="99"/>
        <item h="1" x="237"/>
        <item h="1" x="27"/>
        <item h="1" x="21"/>
        <item h="1" x="614"/>
        <item h="1" x="631"/>
        <item h="1" x="529"/>
        <item h="1" x="446"/>
        <item h="1" x="274"/>
        <item h="1" x="626"/>
        <item h="1" x="31"/>
        <item h="1" x="388"/>
        <item h="1" x="149"/>
        <item h="1" x="464"/>
        <item h="1" x="6"/>
        <item h="1" x="25"/>
        <item h="1" x="412"/>
        <item h="1" x="209"/>
        <item h="1" x="555"/>
        <item h="1" x="168"/>
        <item h="1" x="373"/>
        <item h="1" x="450"/>
        <item h="1" x="152"/>
        <item h="1" x="53"/>
        <item h="1" x="503"/>
        <item h="1" x="449"/>
        <item h="1" x="251"/>
        <item h="1" x="360"/>
        <item h="1" x="230"/>
        <item h="1" x="122"/>
        <item h="1" x="570"/>
        <item h="1" x="514"/>
        <item h="1" x="28"/>
        <item h="1" x="51"/>
        <item h="1" x="225"/>
        <item h="1" x="406"/>
        <item h="1" x="504"/>
        <item h="1" x="257"/>
        <item h="1" x="22"/>
        <item h="1" x="184"/>
        <item h="1" x="443"/>
        <item h="1" x="352"/>
        <item h="1" x="173"/>
        <item h="1" x="592"/>
        <item h="1" x="394"/>
        <item h="1" x="579"/>
        <item h="1" x="509"/>
        <item h="1" x="427"/>
        <item h="1" x="35"/>
        <item h="1" x="250"/>
        <item h="1" x="76"/>
        <item h="1" x="533"/>
        <item h="1" x="417"/>
        <item h="1" x="288"/>
        <item h="1" x="610"/>
        <item h="1" x="621"/>
        <item h="1" x="259"/>
        <item h="1" x="300"/>
        <item h="1" x="328"/>
        <item h="1" x="393"/>
        <item h="1" x="71"/>
        <item h="1" x="172"/>
        <item h="1" x="604"/>
        <item h="1" x="153"/>
        <item h="1" x="413"/>
        <item h="1" x="280"/>
        <item h="1" x="293"/>
        <item h="1" x="116"/>
        <item h="1" x="396"/>
        <item h="1" x="492"/>
        <item h="1" x="567"/>
        <item h="1" x="185"/>
        <item h="1" x="47"/>
        <item h="1" x="536"/>
        <item h="1" x="133"/>
        <item h="1" x="49"/>
        <item h="1" x="269"/>
        <item h="1" x="37"/>
        <item h="1" x="611"/>
        <item h="1" x="320"/>
        <item h="1" x="256"/>
        <item h="1" x="50"/>
        <item h="1" x="483"/>
        <item h="1" x="267"/>
        <item h="1" x="222"/>
        <item h="1" x="238"/>
        <item h="1" x="249"/>
        <item h="1" x="341"/>
        <item h="1" x="312"/>
        <item h="1" x="512"/>
        <item h="1" x="294"/>
        <item h="1" x="442"/>
        <item h="1" x="444"/>
        <item h="1" x="577"/>
        <item h="1" x="495"/>
        <item h="1" x="589"/>
        <item h="1" x="94"/>
        <item h="1" x="434"/>
        <item h="1" x="48"/>
        <item h="1" x="317"/>
        <item h="1" x="553"/>
        <item h="1" x="112"/>
        <item h="1" x="229"/>
        <item h="1" x="474"/>
        <item h="1" x="624"/>
        <item h="1" x="596"/>
        <item h="1" x="146"/>
        <item h="1" x="455"/>
        <item h="1" x="68"/>
        <item h="1" x="226"/>
        <item h="1" x="366"/>
        <item h="1" x="591"/>
        <item h="1" x="10"/>
        <item h="1" x="586"/>
        <item h="1" x="414"/>
        <item h="1" x="355"/>
        <item h="1" x="196"/>
        <item h="1" x="349"/>
        <item h="1" x="219"/>
        <item h="1" x="453"/>
        <item h="1" x="291"/>
        <item h="1" x="340"/>
        <item h="1" x="582"/>
        <item h="1" x="545"/>
        <item h="1" x="407"/>
        <item h="1" x="9"/>
        <item h="1" x="62"/>
        <item h="1" x="177"/>
        <item h="1" x="418"/>
        <item h="1" x="630"/>
        <item h="1" x="528"/>
        <item h="1" x="479"/>
        <item h="1" x="92"/>
        <item h="1" x="156"/>
        <item h="1" x="148"/>
        <item h="1" x="564"/>
        <item h="1" x="241"/>
        <item h="1" x="132"/>
        <item h="1" x="97"/>
        <item h="1" x="52"/>
        <item h="1" x="461"/>
        <item h="1" x="583"/>
        <item h="1" x="467"/>
        <item h="1" x="261"/>
        <item h="1" x="436"/>
        <item h="1" x="387"/>
        <item h="1" x="380"/>
        <item h="1" x="516"/>
        <item h="1" x="203"/>
        <item h="1" x="501"/>
        <item h="1" x="17"/>
        <item h="1" x="364"/>
        <item h="1" x="425"/>
        <item h="1" x="377"/>
        <item h="1" x="217"/>
        <item h="1" x="83"/>
        <item h="1" x="401"/>
        <item h="1" x="65"/>
        <item h="1" x="329"/>
        <item h="1" x="550"/>
        <item h="1" x="522"/>
        <item h="1" x="601"/>
        <item h="1" x="310"/>
        <item h="1" x="478"/>
        <item h="1" x="448"/>
        <item h="1" x="118"/>
        <item h="1" x="361"/>
        <item h="1" x="183"/>
        <item h="1" x="580"/>
        <item h="1" x="205"/>
        <item h="1" x="242"/>
        <item h="1" x="34"/>
        <item h="1" x="87"/>
        <item h="1" x="234"/>
        <item h="1" x="421"/>
        <item h="1" x="472"/>
        <item h="1" x="342"/>
        <item h="1" x="113"/>
        <item h="1" x="502"/>
        <item h="1" x="287"/>
        <item h="1" x="286"/>
        <item h="1" x="616"/>
        <item h="1" x="431"/>
        <item h="1" x="482"/>
        <item h="1" x="220"/>
        <item h="1" x="356"/>
        <item h="1" x="13"/>
        <item h="1" x="194"/>
        <item h="1" x="416"/>
        <item h="1" x="615"/>
        <item h="1" x="314"/>
        <item h="1" x="581"/>
        <item h="1" x="108"/>
        <item h="1" x="182"/>
        <item h="1" x="114"/>
        <item h="1" x="389"/>
        <item h="1" x="201"/>
        <item h="1" x="454"/>
        <item h="1" x="563"/>
        <item h="1" x="36"/>
        <item h="1" x="518"/>
        <item h="1" x="437"/>
        <item h="1" x="103"/>
        <item h="1" x="279"/>
        <item h="1" x="585"/>
        <item h="1" x="605"/>
        <item h="1" x="447"/>
        <item h="1" x="547"/>
        <item h="1" x="598"/>
        <item h="1" x="82"/>
        <item h="1" x="78"/>
        <item h="1" x="98"/>
        <item h="1" x="214"/>
        <item h="1" x="63"/>
        <item h="1" x="141"/>
        <item h="1" x="382"/>
        <item h="1" x="422"/>
        <item h="1" x="1"/>
        <item h="1" x="64"/>
        <item h="1" x="265"/>
        <item h="1" x="163"/>
        <item h="1" x="400"/>
        <item h="1" x="534"/>
        <item h="1" x="602"/>
        <item h="1" x="29"/>
        <item h="1" x="151"/>
        <item h="1" x="618"/>
        <item h="1" x="190"/>
        <item h="1" x="67"/>
        <item h="1" x="337"/>
        <item h="1" x="88"/>
        <item h="1" x="469"/>
        <item h="1" x="150"/>
        <item h="1" x="188"/>
        <item h="1" x="72"/>
        <item h="1" x="162"/>
        <item h="1" x="459"/>
        <item h="1" x="318"/>
        <item h="1" x="363"/>
        <item h="1" x="198"/>
        <item h="1" x="559"/>
        <item h="1" x="204"/>
        <item h="1" x="546"/>
        <item h="1" x="345"/>
        <item h="1" x="137"/>
        <item h="1" x="192"/>
        <item h="1" x="7"/>
        <item h="1" x="346"/>
        <item h="1" x="160"/>
        <item h="1" x="405"/>
        <item h="1" x="134"/>
        <item h="1" x="202"/>
        <item h="1" x="551"/>
        <item h="1" x="79"/>
        <item h="1" x="93"/>
        <item h="1" x="240"/>
        <item h="1" x="511"/>
        <item h="1" x="390"/>
        <item h="1" x="623"/>
        <item h="1" x="609"/>
        <item h="1" x="308"/>
        <item h="1" x="565"/>
        <item h="1" x="264"/>
        <item h="1" x="620"/>
        <item h="1" x="519"/>
        <item h="1" x="365"/>
        <item h="1" x="43"/>
        <item h="1" x="494"/>
        <item h="1" x="247"/>
        <item h="1" x="138"/>
        <item h="1" x="158"/>
        <item h="1" x="39"/>
        <item h="1" x="359"/>
        <item h="1" x="599"/>
        <item h="1" x="574"/>
        <item h="1" x="331"/>
        <item h="1" x="46"/>
        <item h="1" x="539"/>
        <item h="1" x="612"/>
        <item h="1" x="20"/>
        <item h="1" x="26"/>
        <item h="1" x="193"/>
        <item h="1" x="537"/>
        <item h="1" x="424"/>
        <item h="1" x="493"/>
        <item h="1" x="576"/>
        <item h="1" x="408"/>
        <item h="1" x="374"/>
        <item h="1" x="383"/>
        <item h="1" x="167"/>
        <item h="1" x="428"/>
        <item h="1" x="397"/>
        <item h="1" x="438"/>
        <item h="1" x="439"/>
        <item h="1" x="144"/>
        <item h="1" x="12"/>
        <item h="1" x="157"/>
        <item h="1" x="476"/>
        <item h="1" x="404"/>
        <item h="1" x="309"/>
        <item h="1" x="544"/>
        <item h="1" x="73"/>
        <item h="1" x="367"/>
        <item h="1" x="375"/>
        <item h="1" x="315"/>
        <item h="1" x="105"/>
        <item h="1" x="622"/>
        <item h="1" x="140"/>
        <item h="1" x="296"/>
        <item h="1" x="578"/>
        <item h="1" x="175"/>
        <item h="1" x="594"/>
        <item h="1" x="423"/>
        <item h="1" x="541"/>
        <item h="1" x="392"/>
        <item h="1" x="164"/>
        <item h="1" x="617"/>
        <item h="1" x="70"/>
        <item h="1" x="470"/>
        <item h="1" x="572"/>
        <item h="1" x="145"/>
        <item h="1" x="429"/>
        <item h="1" x="61"/>
        <item h="1" x="353"/>
        <item h="1" x="498"/>
        <item h="1" x="102"/>
        <item h="1" x="487"/>
        <item h="1" x="271"/>
        <item h="1" x="147"/>
        <item h="1" x="268"/>
        <item h="1" x="490"/>
        <item h="1" x="4"/>
        <item h="1" x="415"/>
        <item h="1" x="233"/>
        <item h="1" x="161"/>
        <item h="1" x="540"/>
        <item h="1" x="477"/>
        <item h="1" x="489"/>
        <item h="1" x="313"/>
        <item h="1" x="488"/>
        <item h="1" x="584"/>
        <item h="1" x="531"/>
        <item h="1" x="40"/>
        <item h="1" x="336"/>
        <item h="1" x="403"/>
        <item h="1" x="316"/>
        <item h="1" x="284"/>
        <item h="1" x="500"/>
        <item h="1" x="260"/>
        <item h="1" x="549"/>
        <item h="1" x="123"/>
        <item h="1" x="525"/>
        <item h="1" x="101"/>
        <item h="1" x="110"/>
        <item h="1" x="376"/>
        <item h="1" x="625"/>
        <item h="1" x="211"/>
        <item h="1" x="321"/>
        <item h="1" x="633"/>
        <item t="default"/>
      </items>
    </pivotField>
    <pivotField showAll="0"/>
    <pivotField showAll="0"/>
    <pivotField showAll="0"/>
    <pivotField showAll="0"/>
  </pivotFields>
  <rowFields count="3">
    <field x="5"/>
    <field x="8"/>
    <field x="6"/>
  </rowFields>
  <rowItems count="1933">
    <i>
      <x/>
    </i>
    <i r="1">
      <x/>
    </i>
    <i r="2">
      <x v="18"/>
    </i>
    <i>
      <x v="1"/>
    </i>
    <i r="1">
      <x/>
    </i>
    <i r="2">
      <x v="21"/>
    </i>
    <i>
      <x v="2"/>
    </i>
    <i r="1">
      <x/>
    </i>
    <i r="2">
      <x v="27"/>
    </i>
    <i>
      <x v="3"/>
    </i>
    <i r="1">
      <x/>
    </i>
    <i r="2">
      <x v="36"/>
    </i>
    <i>
      <x v="4"/>
    </i>
    <i r="1">
      <x/>
    </i>
    <i r="2">
      <x v="2"/>
    </i>
    <i>
      <x v="5"/>
    </i>
    <i r="1">
      <x/>
    </i>
    <i r="2">
      <x v="5"/>
    </i>
    <i>
      <x v="6"/>
    </i>
    <i r="1">
      <x/>
    </i>
    <i r="2">
      <x v="7"/>
    </i>
    <i>
      <x v="7"/>
    </i>
    <i r="1">
      <x/>
    </i>
    <i r="2">
      <x v="8"/>
    </i>
    <i>
      <x v="8"/>
    </i>
    <i r="1">
      <x/>
    </i>
    <i r="2">
      <x v="14"/>
    </i>
    <i>
      <x v="9"/>
    </i>
    <i r="1">
      <x/>
    </i>
    <i r="2">
      <x v="33"/>
    </i>
    <i>
      <x v="10"/>
    </i>
    <i r="1">
      <x/>
    </i>
    <i r="2">
      <x v="24"/>
    </i>
    <i>
      <x v="11"/>
    </i>
    <i r="1">
      <x/>
    </i>
    <i r="2">
      <x v="26"/>
    </i>
    <i>
      <x v="12"/>
    </i>
    <i r="1">
      <x/>
    </i>
    <i r="2">
      <x v="34"/>
    </i>
    <i>
      <x v="13"/>
    </i>
    <i r="1">
      <x/>
    </i>
    <i r="2">
      <x v="9"/>
    </i>
    <i>
      <x v="14"/>
    </i>
    <i r="1">
      <x/>
    </i>
    <i r="2">
      <x v="49"/>
    </i>
    <i>
      <x v="15"/>
    </i>
    <i r="1">
      <x/>
    </i>
    <i r="2">
      <x v="15"/>
    </i>
    <i>
      <x v="16"/>
    </i>
    <i r="1">
      <x/>
    </i>
    <i r="2">
      <x v="17"/>
    </i>
    <i>
      <x v="17"/>
    </i>
    <i r="1">
      <x/>
    </i>
    <i r="2">
      <x v="19"/>
    </i>
    <i>
      <x v="18"/>
    </i>
    <i r="1">
      <x/>
    </i>
    <i r="2">
      <x v="22"/>
    </i>
    <i>
      <x v="19"/>
    </i>
    <i r="1">
      <x/>
    </i>
    <i r="2">
      <x v="28"/>
    </i>
    <i>
      <x v="20"/>
    </i>
    <i r="1">
      <x/>
    </i>
    <i r="2">
      <x v="30"/>
    </i>
    <i>
      <x v="21"/>
    </i>
    <i r="1">
      <x/>
    </i>
    <i r="2">
      <x v="37"/>
    </i>
    <i>
      <x v="22"/>
    </i>
    <i r="1">
      <x/>
    </i>
    <i r="2">
      <x v="43"/>
    </i>
    <i>
      <x v="23"/>
    </i>
    <i r="1">
      <x/>
    </i>
    <i r="2">
      <x v="50"/>
    </i>
    <i>
      <x v="24"/>
    </i>
    <i r="1">
      <x/>
    </i>
    <i r="2">
      <x/>
    </i>
    <i>
      <x v="25"/>
    </i>
    <i r="1">
      <x/>
    </i>
    <i r="2">
      <x v="3"/>
    </i>
    <i>
      <x v="26"/>
    </i>
    <i r="1">
      <x/>
    </i>
    <i r="2">
      <x v="10"/>
    </i>
    <i>
      <x v="27"/>
    </i>
    <i r="1">
      <x/>
    </i>
    <i r="2">
      <x v="11"/>
    </i>
    <i>
      <x v="28"/>
    </i>
    <i r="1">
      <x/>
    </i>
    <i r="2">
      <x v="38"/>
    </i>
    <i>
      <x v="29"/>
    </i>
    <i r="1">
      <x/>
    </i>
    <i r="2">
      <x v="48"/>
    </i>
    <i>
      <x v="30"/>
    </i>
    <i r="1">
      <x/>
    </i>
    <i r="2">
      <x v="44"/>
    </i>
    <i>
      <x v="31"/>
    </i>
    <i r="1">
      <x/>
    </i>
    <i r="2">
      <x v="45"/>
    </i>
    <i>
      <x v="32"/>
    </i>
    <i r="1">
      <x/>
    </i>
    <i r="2">
      <x v="53"/>
    </i>
    <i>
      <x v="33"/>
    </i>
    <i r="1">
      <x/>
    </i>
    <i r="2">
      <x v="54"/>
    </i>
    <i>
      <x v="34"/>
    </i>
    <i r="1">
      <x/>
    </i>
    <i r="2">
      <x v="20"/>
    </i>
    <i>
      <x v="35"/>
    </i>
    <i r="1">
      <x/>
    </i>
    <i r="2">
      <x v="39"/>
    </i>
    <i>
      <x v="36"/>
    </i>
    <i r="1">
      <x/>
    </i>
    <i r="2">
      <x v="40"/>
    </i>
    <i>
      <x v="37"/>
    </i>
    <i r="1">
      <x/>
    </i>
    <i r="2">
      <x v="51"/>
    </i>
    <i>
      <x v="38"/>
    </i>
    <i r="1">
      <x/>
    </i>
    <i r="2">
      <x v="23"/>
    </i>
    <i>
      <x v="39"/>
    </i>
    <i r="1">
      <x/>
    </i>
    <i r="2">
      <x v="29"/>
    </i>
    <i>
      <x v="40"/>
    </i>
    <i r="1">
      <x/>
    </i>
    <i r="2">
      <x v="31"/>
    </i>
    <i>
      <x v="41"/>
    </i>
    <i r="1">
      <x/>
    </i>
    <i r="2">
      <x v="46"/>
    </i>
    <i>
      <x v="42"/>
    </i>
    <i r="1">
      <x/>
    </i>
    <i r="2">
      <x v="1"/>
    </i>
    <i>
      <x v="43"/>
    </i>
    <i r="1">
      <x/>
    </i>
    <i r="2">
      <x v="4"/>
    </i>
    <i>
      <x v="44"/>
    </i>
    <i r="1">
      <x/>
    </i>
    <i r="2">
      <x v="6"/>
    </i>
    <i>
      <x v="45"/>
    </i>
    <i r="1">
      <x/>
    </i>
    <i r="2">
      <x v="12"/>
    </i>
    <i>
      <x v="46"/>
    </i>
    <i r="1">
      <x/>
    </i>
    <i r="2">
      <x v="13"/>
    </i>
    <i>
      <x v="47"/>
    </i>
    <i r="1">
      <x/>
    </i>
    <i r="2">
      <x v="16"/>
    </i>
    <i>
      <x v="48"/>
    </i>
    <i r="1">
      <x/>
    </i>
    <i r="2">
      <x v="35"/>
    </i>
    <i>
      <x v="49"/>
    </i>
    <i r="1">
      <x/>
    </i>
    <i r="2">
      <x v="25"/>
    </i>
    <i>
      <x v="50"/>
    </i>
    <i r="1">
      <x/>
    </i>
    <i r="2">
      <x v="41"/>
    </i>
    <i>
      <x v="51"/>
    </i>
    <i r="1">
      <x/>
    </i>
    <i r="2">
      <x v="47"/>
    </i>
    <i>
      <x v="52"/>
    </i>
    <i r="1">
      <x/>
    </i>
    <i r="2">
      <x v="52"/>
    </i>
    <i>
      <x v="53"/>
    </i>
    <i r="1">
      <x/>
    </i>
    <i r="2">
      <x v="32"/>
    </i>
    <i>
      <x v="54"/>
    </i>
    <i r="1">
      <x/>
    </i>
    <i r="2">
      <x v="42"/>
    </i>
    <i>
      <x v="55"/>
    </i>
    <i r="1">
      <x/>
    </i>
    <i r="2">
      <x v="56"/>
    </i>
    <i>
      <x v="56"/>
    </i>
    <i r="1">
      <x/>
    </i>
    <i r="2">
      <x v="82"/>
    </i>
    <i>
      <x v="57"/>
    </i>
    <i r="1">
      <x/>
    </i>
    <i r="2">
      <x v="70"/>
    </i>
    <i>
      <x v="58"/>
    </i>
    <i r="1">
      <x/>
    </i>
    <i r="2">
      <x v="79"/>
    </i>
    <i>
      <x v="59"/>
    </i>
    <i r="1">
      <x/>
    </i>
    <i r="2">
      <x v="84"/>
    </i>
    <i>
      <x v="60"/>
    </i>
    <i r="1">
      <x/>
    </i>
    <i r="2">
      <x v="85"/>
    </i>
    <i>
      <x v="61"/>
    </i>
    <i r="1">
      <x/>
    </i>
    <i r="2">
      <x v="91"/>
    </i>
    <i>
      <x v="62"/>
    </i>
    <i r="1">
      <x/>
    </i>
    <i r="2">
      <x v="93"/>
    </i>
    <i>
      <x v="63"/>
    </i>
    <i r="1">
      <x/>
    </i>
    <i r="2">
      <x v="71"/>
    </i>
    <i>
      <x v="64"/>
    </i>
    <i r="1">
      <x/>
    </i>
    <i r="2">
      <x v="76"/>
    </i>
    <i>
      <x v="65"/>
    </i>
    <i r="1">
      <x/>
    </i>
    <i r="2">
      <x v="55"/>
    </i>
    <i>
      <x v="66"/>
    </i>
    <i r="1">
      <x/>
    </i>
    <i r="2">
      <x v="57"/>
    </i>
    <i>
      <x v="67"/>
    </i>
    <i r="1">
      <x/>
    </i>
    <i r="2">
      <x v="63"/>
    </i>
    <i>
      <x v="68"/>
    </i>
    <i r="1">
      <x/>
    </i>
    <i r="2">
      <x v="65"/>
    </i>
    <i>
      <x v="69"/>
    </i>
    <i r="1">
      <x/>
    </i>
    <i r="2">
      <x v="89"/>
    </i>
    <i>
      <x v="70"/>
    </i>
    <i r="1">
      <x/>
    </i>
    <i r="2">
      <x v="90"/>
    </i>
    <i>
      <x v="71"/>
    </i>
    <i r="1">
      <x/>
    </i>
    <i r="2">
      <x v="68"/>
    </i>
    <i>
      <x v="72"/>
    </i>
    <i r="1">
      <x/>
    </i>
    <i r="2">
      <x v="61"/>
    </i>
    <i>
      <x v="73"/>
    </i>
    <i r="1">
      <x/>
    </i>
    <i r="2">
      <x v="86"/>
    </i>
    <i>
      <x v="74"/>
    </i>
    <i r="1">
      <x/>
    </i>
    <i r="2">
      <x v="94"/>
    </i>
    <i>
      <x v="75"/>
    </i>
    <i r="1">
      <x/>
    </i>
    <i r="2">
      <x v="77"/>
    </i>
    <i>
      <x v="76"/>
    </i>
    <i r="1">
      <x/>
    </i>
    <i r="2">
      <x v="80"/>
    </i>
    <i>
      <x v="77"/>
    </i>
    <i r="1">
      <x/>
    </i>
    <i r="2">
      <x v="72"/>
    </i>
    <i>
      <x v="78"/>
    </i>
    <i r="1">
      <x/>
    </i>
    <i r="2">
      <x v="58"/>
    </i>
    <i>
      <x v="79"/>
    </i>
    <i r="1">
      <x/>
    </i>
    <i r="2">
      <x v="59"/>
    </i>
    <i>
      <x v="80"/>
    </i>
    <i r="1">
      <x/>
    </i>
    <i r="2">
      <x v="62"/>
    </i>
    <i>
      <x v="81"/>
    </i>
    <i r="1">
      <x/>
    </i>
    <i r="2">
      <x v="64"/>
    </i>
    <i>
      <x v="82"/>
    </i>
    <i r="1">
      <x/>
    </i>
    <i r="2">
      <x v="66"/>
    </i>
    <i>
      <x v="83"/>
    </i>
    <i r="1">
      <x/>
    </i>
    <i r="2">
      <x v="73"/>
    </i>
    <i>
      <x v="84"/>
    </i>
    <i r="1">
      <x/>
    </i>
    <i r="2">
      <x v="83"/>
    </i>
    <i>
      <x v="85"/>
    </i>
    <i r="1">
      <x/>
    </i>
    <i r="2">
      <x v="87"/>
    </i>
    <i>
      <x v="86"/>
    </i>
    <i r="1">
      <x/>
    </i>
    <i r="2">
      <x v="92"/>
    </i>
    <i>
      <x v="87"/>
    </i>
    <i r="1">
      <x/>
    </i>
    <i r="2">
      <x v="95"/>
    </i>
    <i>
      <x v="88"/>
    </i>
    <i r="1">
      <x/>
    </i>
    <i r="2">
      <x v="69"/>
    </i>
    <i>
      <x v="89"/>
    </i>
    <i r="1">
      <x/>
    </i>
    <i r="2">
      <x v="74"/>
    </i>
    <i>
      <x v="90"/>
    </i>
    <i r="1">
      <x/>
    </i>
    <i r="2">
      <x v="75"/>
    </i>
    <i>
      <x v="91"/>
    </i>
    <i r="1">
      <x/>
    </i>
    <i r="2">
      <x v="78"/>
    </i>
    <i>
      <x v="92"/>
    </i>
    <i r="1">
      <x/>
    </i>
    <i r="2">
      <x v="81"/>
    </i>
    <i>
      <x v="93"/>
    </i>
    <i r="1">
      <x/>
    </i>
    <i r="2">
      <x v="88"/>
    </i>
    <i>
      <x v="94"/>
    </i>
    <i r="1">
      <x/>
    </i>
    <i r="2">
      <x v="67"/>
    </i>
    <i>
      <x v="95"/>
    </i>
    <i r="1">
      <x/>
    </i>
    <i r="2">
      <x v="60"/>
    </i>
    <i>
      <x v="96"/>
    </i>
    <i r="1">
      <x/>
    </i>
    <i r="2">
      <x v="119"/>
    </i>
    <i>
      <x v="97"/>
    </i>
    <i r="1">
      <x/>
    </i>
    <i r="2">
      <x v="122"/>
    </i>
    <i>
      <x v="98"/>
    </i>
    <i r="1">
      <x/>
    </i>
    <i r="2">
      <x v="145"/>
    </i>
    <i>
      <x v="99"/>
    </i>
    <i r="1">
      <x/>
    </i>
    <i r="2">
      <x v="105"/>
    </i>
    <i>
      <x v="100"/>
    </i>
    <i r="1">
      <x/>
    </i>
    <i r="2">
      <x v="128"/>
    </i>
    <i>
      <x v="101"/>
    </i>
    <i r="1">
      <x/>
    </i>
    <i r="2">
      <x v="135"/>
    </i>
    <i>
      <x v="102"/>
    </i>
    <i r="1">
      <x/>
    </i>
    <i r="2">
      <x v="109"/>
    </i>
    <i>
      <x v="103"/>
    </i>
    <i r="1">
      <x/>
    </i>
    <i r="2">
      <x v="112"/>
    </i>
    <i>
      <x v="104"/>
    </i>
    <i r="1">
      <x/>
    </i>
    <i r="2">
      <x v="116"/>
    </i>
    <i>
      <x v="105"/>
    </i>
    <i r="1">
      <x/>
    </i>
    <i r="2">
      <x v="125"/>
    </i>
    <i>
      <x v="106"/>
    </i>
    <i r="1">
      <x/>
    </i>
    <i r="2">
      <x v="129"/>
    </i>
    <i>
      <x v="107"/>
    </i>
    <i r="1">
      <x/>
    </i>
    <i r="2">
      <x v="132"/>
    </i>
    <i>
      <x v="108"/>
    </i>
    <i r="1">
      <x/>
    </i>
    <i r="2">
      <x v="138"/>
    </i>
    <i>
      <x v="109"/>
    </i>
    <i r="1">
      <x/>
    </i>
    <i r="2">
      <x v="141"/>
    </i>
    <i>
      <x v="110"/>
    </i>
    <i r="1">
      <x/>
    </i>
    <i r="2">
      <x v="99"/>
    </i>
    <i>
      <x v="111"/>
    </i>
    <i r="1">
      <x/>
    </i>
    <i r="2">
      <x v="102"/>
    </i>
    <i>
      <x v="112"/>
    </i>
    <i r="1">
      <x/>
    </i>
    <i r="2">
      <x v="120"/>
    </i>
    <i>
      <x v="113"/>
    </i>
    <i r="1">
      <x/>
    </i>
    <i r="2">
      <x v="146"/>
    </i>
    <i>
      <x v="114"/>
    </i>
    <i r="1">
      <x/>
    </i>
    <i r="2">
      <x v="106"/>
    </i>
    <i>
      <x v="115"/>
    </i>
    <i r="1">
      <x/>
    </i>
    <i r="2">
      <x v="134"/>
    </i>
    <i>
      <x v="116"/>
    </i>
    <i r="1">
      <x/>
    </i>
    <i r="2">
      <x v="107"/>
    </i>
    <i>
      <x v="117"/>
    </i>
    <i r="1">
      <x/>
    </i>
    <i r="2">
      <x v="104"/>
    </i>
    <i>
      <x v="118"/>
    </i>
    <i r="1">
      <x/>
    </i>
    <i r="2">
      <x v="115"/>
    </i>
    <i>
      <x v="119"/>
    </i>
    <i r="1">
      <x/>
    </i>
    <i r="2">
      <x v="137"/>
    </i>
    <i>
      <x v="120"/>
    </i>
    <i r="1">
      <x/>
    </i>
    <i r="2">
      <x v="144"/>
    </i>
    <i>
      <x v="121"/>
    </i>
    <i r="1">
      <x/>
    </i>
    <i r="2">
      <x v="136"/>
    </i>
    <i>
      <x v="122"/>
    </i>
    <i r="1">
      <x/>
    </i>
    <i r="2">
      <x v="96"/>
    </i>
    <i>
      <x v="123"/>
    </i>
    <i r="1">
      <x/>
    </i>
    <i r="2">
      <x v="100"/>
    </i>
    <i>
      <x v="124"/>
    </i>
    <i r="1">
      <x/>
    </i>
    <i r="2">
      <x v="110"/>
    </i>
    <i>
      <x v="125"/>
    </i>
    <i r="1">
      <x/>
    </i>
    <i r="2">
      <x v="114"/>
    </i>
    <i>
      <x v="126"/>
    </i>
    <i r="1">
      <x/>
    </i>
    <i r="2">
      <x v="117"/>
    </i>
    <i>
      <x v="127"/>
    </i>
    <i r="1">
      <x/>
    </i>
    <i r="2">
      <x v="126"/>
    </i>
    <i>
      <x v="128"/>
    </i>
    <i r="1">
      <x/>
    </i>
    <i r="2">
      <x v="130"/>
    </i>
    <i>
      <x v="129"/>
    </i>
    <i r="1">
      <x/>
    </i>
    <i r="2">
      <x v="140"/>
    </i>
    <i>
      <x v="130"/>
    </i>
    <i r="1">
      <x/>
    </i>
    <i r="2">
      <x v="108"/>
    </i>
    <i>
      <x v="131"/>
    </i>
    <i r="1">
      <x/>
    </i>
    <i r="2">
      <x v="123"/>
    </i>
    <i>
      <x v="132"/>
    </i>
    <i r="1">
      <x/>
    </i>
    <i r="2">
      <x v="139"/>
    </i>
    <i>
      <x v="133"/>
    </i>
    <i r="1">
      <x/>
    </i>
    <i r="2">
      <x v="142"/>
    </i>
    <i>
      <x v="134"/>
    </i>
    <i r="1">
      <x/>
    </i>
    <i r="2">
      <x v="148"/>
    </i>
    <i>
      <x v="135"/>
    </i>
    <i r="1">
      <x/>
    </i>
    <i r="2">
      <x v="97"/>
    </i>
    <i>
      <x v="136"/>
    </i>
    <i r="1">
      <x/>
    </i>
    <i r="2">
      <x v="101"/>
    </i>
    <i>
      <x v="137"/>
    </i>
    <i r="1">
      <x/>
    </i>
    <i r="2">
      <x v="111"/>
    </i>
    <i>
      <x v="138"/>
    </i>
    <i r="1">
      <x/>
    </i>
    <i r="2">
      <x v="113"/>
    </i>
    <i>
      <x v="139"/>
    </i>
    <i r="1">
      <x/>
    </i>
    <i r="2">
      <x v="118"/>
    </i>
    <i>
      <x v="140"/>
    </i>
    <i r="1">
      <x/>
    </i>
    <i r="2">
      <x v="124"/>
    </i>
    <i>
      <x v="141"/>
    </i>
    <i r="1">
      <x/>
    </i>
    <i r="2">
      <x v="127"/>
    </i>
    <i>
      <x v="142"/>
    </i>
    <i r="1">
      <x/>
    </i>
    <i r="2">
      <x v="131"/>
    </i>
    <i>
      <x v="143"/>
    </i>
    <i r="1">
      <x/>
    </i>
    <i r="2">
      <x v="133"/>
    </i>
    <i>
      <x v="144"/>
    </i>
    <i r="1">
      <x/>
    </i>
    <i r="2">
      <x v="103"/>
    </i>
    <i>
      <x v="145"/>
    </i>
    <i r="1">
      <x/>
    </i>
    <i r="2">
      <x v="121"/>
    </i>
    <i>
      <x v="146"/>
    </i>
    <i r="1">
      <x/>
    </i>
    <i r="2">
      <x v="147"/>
    </i>
    <i>
      <x v="147"/>
    </i>
    <i r="1">
      <x/>
    </i>
    <i r="2">
      <x v="98"/>
    </i>
    <i>
      <x v="148"/>
    </i>
    <i r="1">
      <x/>
    </i>
    <i r="2">
      <x v="143"/>
    </i>
    <i>
      <x v="149"/>
    </i>
    <i r="1">
      <x/>
    </i>
    <i r="2">
      <x v="186"/>
    </i>
    <i>
      <x v="150"/>
    </i>
    <i r="1">
      <x/>
    </i>
    <i r="2">
      <x v="154"/>
    </i>
    <i>
      <x v="151"/>
    </i>
    <i r="1">
      <x/>
    </i>
    <i r="2">
      <x v="162"/>
    </i>
    <i>
      <x v="152"/>
    </i>
    <i r="1">
      <x/>
    </i>
    <i r="2">
      <x v="165"/>
    </i>
    <i>
      <x v="153"/>
    </i>
    <i r="1">
      <x/>
    </i>
    <i r="2">
      <x v="171"/>
    </i>
    <i>
      <x v="154"/>
    </i>
    <i r="1">
      <x/>
    </i>
    <i r="2">
      <x v="175"/>
    </i>
    <i>
      <x v="155"/>
    </i>
    <i r="1">
      <x/>
    </i>
    <i r="2">
      <x v="183"/>
    </i>
    <i>
      <x v="156"/>
    </i>
    <i r="1">
      <x/>
    </i>
    <i r="2">
      <x v="193"/>
    </i>
    <i>
      <x v="157"/>
    </i>
    <i r="1">
      <x/>
    </i>
    <i r="2">
      <x v="197"/>
    </i>
    <i>
      <x v="158"/>
    </i>
    <i r="1">
      <x/>
    </i>
    <i r="2">
      <x v="200"/>
    </i>
    <i>
      <x v="159"/>
    </i>
    <i r="1">
      <x/>
    </i>
    <i r="2">
      <x v="150"/>
    </i>
    <i>
      <x v="160"/>
    </i>
    <i r="1">
      <x/>
    </i>
    <i r="2">
      <x v="176"/>
    </i>
    <i>
      <x v="161"/>
    </i>
    <i r="1">
      <x/>
    </i>
    <i r="2">
      <x v="194"/>
    </i>
    <i>
      <x v="162"/>
    </i>
    <i r="1">
      <x/>
    </i>
    <i r="2">
      <x v="174"/>
    </i>
    <i>
      <x v="163"/>
    </i>
    <i r="1">
      <x/>
    </i>
    <i r="2">
      <x v="166"/>
    </i>
    <i>
      <x v="164"/>
    </i>
    <i r="1">
      <x/>
    </i>
    <i r="2">
      <x v="177"/>
    </i>
    <i>
      <x v="165"/>
    </i>
    <i r="1">
      <x/>
    </i>
    <i r="2">
      <x v="184"/>
    </i>
    <i>
      <x v="166"/>
    </i>
    <i r="1">
      <x/>
    </i>
    <i r="2">
      <x v="190"/>
    </i>
    <i>
      <x v="167"/>
    </i>
    <i r="1">
      <x/>
    </i>
    <i r="2">
      <x v="198"/>
    </i>
    <i>
      <x v="168"/>
    </i>
    <i r="1">
      <x/>
    </i>
    <i r="2">
      <x v="149"/>
    </i>
    <i>
      <x v="169"/>
    </i>
    <i r="1">
      <x/>
    </i>
    <i r="2">
      <x v="153"/>
    </i>
    <i>
      <x v="170"/>
    </i>
    <i r="1">
      <x/>
    </i>
    <i r="2">
      <x v="157"/>
    </i>
    <i>
      <x v="171"/>
    </i>
    <i r="1">
      <x/>
    </i>
    <i r="2">
      <x v="163"/>
    </i>
    <i>
      <x v="172"/>
    </i>
    <i r="1">
      <x/>
    </i>
    <i r="2">
      <x v="167"/>
    </i>
    <i>
      <x v="173"/>
    </i>
    <i r="1">
      <x/>
    </i>
    <i r="2">
      <x v="172"/>
    </i>
    <i>
      <x v="174"/>
    </i>
    <i r="1">
      <x/>
    </i>
    <i r="2">
      <x v="181"/>
    </i>
    <i>
      <x v="175"/>
    </i>
    <i r="1">
      <x/>
    </i>
    <i r="2">
      <x v="151"/>
    </i>
    <i>
      <x v="176"/>
    </i>
    <i r="1">
      <x/>
    </i>
    <i r="2">
      <x v="155"/>
    </i>
    <i>
      <x v="177"/>
    </i>
    <i r="1">
      <x/>
    </i>
    <i r="2">
      <x v="178"/>
    </i>
    <i>
      <x v="178"/>
    </i>
    <i r="1">
      <x/>
    </i>
    <i r="2">
      <x v="179"/>
    </i>
    <i>
      <x v="179"/>
    </i>
    <i r="1">
      <x/>
    </i>
    <i r="2">
      <x v="189"/>
    </i>
    <i>
      <x v="180"/>
    </i>
    <i r="1">
      <x/>
    </i>
    <i r="2">
      <x v="196"/>
    </i>
    <i>
      <x v="181"/>
    </i>
    <i r="1">
      <x/>
    </i>
    <i r="2">
      <x v="159"/>
    </i>
    <i>
      <x v="182"/>
    </i>
    <i r="1">
      <x/>
    </i>
    <i r="2">
      <x v="180"/>
    </i>
    <i>
      <x v="183"/>
    </i>
    <i r="1">
      <x/>
    </i>
    <i r="2">
      <x v="191"/>
    </i>
    <i>
      <x v="184"/>
    </i>
    <i r="1">
      <x/>
    </i>
    <i r="2">
      <x v="201"/>
    </i>
    <i>
      <x v="185"/>
    </i>
    <i r="1">
      <x/>
    </i>
    <i r="2">
      <x v="185"/>
    </i>
    <i>
      <x v="186"/>
    </i>
    <i r="1">
      <x/>
    </i>
    <i r="2">
      <x v="199"/>
    </i>
    <i>
      <x v="187"/>
    </i>
    <i r="1">
      <x/>
    </i>
    <i r="2">
      <x v="158"/>
    </i>
    <i>
      <x v="188"/>
    </i>
    <i r="1">
      <x/>
    </i>
    <i r="2">
      <x v="164"/>
    </i>
    <i>
      <x v="189"/>
    </i>
    <i r="1">
      <x/>
    </i>
    <i r="2">
      <x v="168"/>
    </i>
    <i>
      <x v="190"/>
    </i>
    <i r="1">
      <x/>
    </i>
    <i r="2">
      <x v="173"/>
    </i>
    <i>
      <x v="191"/>
    </i>
    <i r="1">
      <x/>
    </i>
    <i r="2">
      <x v="182"/>
    </i>
    <i>
      <x v="192"/>
    </i>
    <i r="1">
      <x/>
    </i>
    <i r="2">
      <x v="152"/>
    </i>
    <i>
      <x v="193"/>
    </i>
    <i r="1">
      <x/>
    </i>
    <i r="2">
      <x v="156"/>
    </i>
    <i>
      <x v="194"/>
    </i>
    <i r="1">
      <x/>
    </i>
    <i r="2">
      <x v="160"/>
    </i>
    <i>
      <x v="195"/>
    </i>
    <i r="1">
      <x/>
    </i>
    <i r="2">
      <x v="169"/>
    </i>
    <i>
      <x v="196"/>
    </i>
    <i r="1">
      <x/>
    </i>
    <i r="2">
      <x v="161"/>
    </i>
    <i>
      <x v="197"/>
    </i>
    <i r="1">
      <x/>
    </i>
    <i r="2">
      <x v="187"/>
    </i>
    <i>
      <x v="198"/>
    </i>
    <i r="1">
      <x/>
    </i>
    <i r="2">
      <x v="170"/>
    </i>
    <i>
      <x v="199"/>
    </i>
    <i r="1">
      <x/>
    </i>
    <i r="2">
      <x v="188"/>
    </i>
    <i>
      <x v="200"/>
    </i>
    <i r="1">
      <x/>
    </i>
    <i r="2">
      <x v="192"/>
    </i>
    <i>
      <x v="201"/>
    </i>
    <i r="1">
      <x/>
    </i>
    <i r="2">
      <x v="195"/>
    </i>
    <i>
      <x v="202"/>
    </i>
    <i r="1">
      <x/>
    </i>
    <i r="2">
      <x v="220"/>
    </i>
    <i>
      <x v="203"/>
    </i>
    <i r="1">
      <x/>
    </i>
    <i r="2">
      <x v="202"/>
    </i>
    <i>
      <x v="204"/>
    </i>
    <i r="1">
      <x/>
    </i>
    <i r="2">
      <x v="205"/>
    </i>
    <i>
      <x v="205"/>
    </i>
    <i r="1">
      <x/>
    </i>
    <i r="2">
      <x v="209"/>
    </i>
    <i>
      <x v="206"/>
    </i>
    <i r="1">
      <x/>
    </i>
    <i r="2">
      <x v="211"/>
    </i>
    <i>
      <x v="207"/>
    </i>
    <i r="1">
      <x/>
    </i>
    <i r="2">
      <x v="214"/>
    </i>
    <i>
      <x v="208"/>
    </i>
    <i r="1">
      <x/>
    </i>
    <i r="2">
      <x v="225"/>
    </i>
    <i>
      <x v="209"/>
    </i>
    <i r="1">
      <x/>
    </i>
    <i r="2">
      <x v="229"/>
    </i>
    <i>
      <x v="210"/>
    </i>
    <i r="1">
      <x/>
    </i>
    <i r="2">
      <x v="221"/>
    </i>
    <i>
      <x v="211"/>
    </i>
    <i r="1">
      <x/>
    </i>
    <i r="2">
      <x v="212"/>
    </i>
    <i>
      <x v="212"/>
    </i>
    <i r="1">
      <x/>
    </i>
    <i r="2">
      <x v="206"/>
    </i>
    <i>
      <x v="213"/>
    </i>
    <i r="1">
      <x/>
    </i>
    <i r="2">
      <x v="215"/>
    </i>
    <i>
      <x v="214"/>
    </i>
    <i r="1">
      <x/>
    </i>
    <i r="2">
      <x v="217"/>
    </i>
    <i>
      <x v="215"/>
    </i>
    <i r="1">
      <x/>
    </i>
    <i r="2">
      <x v="218"/>
    </i>
    <i>
      <x v="216"/>
    </i>
    <i r="1">
      <x/>
    </i>
    <i r="2">
      <x v="226"/>
    </i>
    <i>
      <x v="217"/>
    </i>
    <i r="1">
      <x/>
    </i>
    <i r="2">
      <x v="230"/>
    </i>
    <i>
      <x v="218"/>
    </i>
    <i r="1">
      <x/>
    </i>
    <i r="2">
      <x v="203"/>
    </i>
    <i>
      <x v="219"/>
    </i>
    <i r="1">
      <x/>
    </i>
    <i r="2">
      <x v="228"/>
    </i>
    <i>
      <x v="220"/>
    </i>
    <i r="1">
      <x/>
    </i>
    <i r="2">
      <x v="204"/>
    </i>
    <i>
      <x v="221"/>
    </i>
    <i r="1">
      <x/>
    </i>
    <i r="2">
      <x v="208"/>
    </i>
    <i>
      <x v="222"/>
    </i>
    <i r="1">
      <x/>
    </i>
    <i r="2">
      <x v="216"/>
    </i>
    <i>
      <x v="223"/>
    </i>
    <i r="1">
      <x/>
    </i>
    <i r="2">
      <x v="222"/>
    </i>
    <i>
      <x v="224"/>
    </i>
    <i r="1">
      <x/>
    </i>
    <i r="2">
      <x v="224"/>
    </i>
    <i>
      <x v="225"/>
    </i>
    <i r="1">
      <x/>
    </i>
    <i r="2">
      <x v="227"/>
    </i>
    <i>
      <x v="226"/>
    </i>
    <i r="1">
      <x/>
    </i>
    <i r="2">
      <x v="207"/>
    </i>
    <i>
      <x v="227"/>
    </i>
    <i r="1">
      <x/>
    </i>
    <i r="2">
      <x v="213"/>
    </i>
    <i>
      <x v="228"/>
    </i>
    <i r="1">
      <x/>
    </i>
    <i r="2">
      <x v="210"/>
    </i>
    <i>
      <x v="229"/>
    </i>
    <i r="1">
      <x/>
    </i>
    <i r="2">
      <x v="219"/>
    </i>
    <i>
      <x v="230"/>
    </i>
    <i r="1">
      <x/>
    </i>
    <i r="2">
      <x v="223"/>
    </i>
    <i>
      <x v="231"/>
    </i>
    <i r="1">
      <x/>
    </i>
    <i r="2">
      <x v="232"/>
    </i>
    <i>
      <x v="232"/>
    </i>
    <i r="1">
      <x/>
    </i>
    <i r="2">
      <x v="233"/>
    </i>
    <i>
      <x v="233"/>
    </i>
    <i r="1">
      <x/>
    </i>
    <i r="2">
      <x v="234"/>
    </i>
    <i>
      <x v="234"/>
    </i>
    <i r="1">
      <x/>
    </i>
    <i r="2">
      <x v="238"/>
    </i>
    <i>
      <x v="235"/>
    </i>
    <i r="1">
      <x/>
    </i>
    <i r="2">
      <x v="239"/>
    </i>
    <i>
      <x v="236"/>
    </i>
    <i r="1">
      <x/>
    </i>
    <i r="2">
      <x v="231"/>
    </i>
    <i>
      <x v="237"/>
    </i>
    <i r="1">
      <x/>
    </i>
    <i r="2">
      <x v="235"/>
    </i>
    <i>
      <x v="238"/>
    </i>
    <i r="1">
      <x/>
    </i>
    <i r="2">
      <x v="240"/>
    </i>
    <i>
      <x v="239"/>
    </i>
    <i r="1">
      <x/>
    </i>
    <i r="2">
      <x v="236"/>
    </i>
    <i>
      <x v="240"/>
    </i>
    <i r="1">
      <x/>
    </i>
    <i r="2">
      <x v="237"/>
    </i>
    <i>
      <x v="241"/>
    </i>
    <i r="1">
      <x/>
    </i>
    <i r="2">
      <x v="248"/>
    </i>
    <i>
      <x v="242"/>
    </i>
    <i r="1">
      <x/>
    </i>
    <i r="2">
      <x v="257"/>
    </i>
    <i>
      <x v="243"/>
    </i>
    <i r="1">
      <x/>
    </i>
    <i r="2">
      <x v="249"/>
    </i>
    <i>
      <x v="244"/>
    </i>
    <i r="1">
      <x/>
    </i>
    <i r="2">
      <x v="250"/>
    </i>
    <i>
      <x v="245"/>
    </i>
    <i r="1">
      <x/>
    </i>
    <i r="2">
      <x v="251"/>
    </i>
    <i>
      <x v="246"/>
    </i>
    <i r="1">
      <x/>
    </i>
    <i r="2">
      <x v="254"/>
    </i>
    <i>
      <x v="247"/>
    </i>
    <i r="1">
      <x/>
    </i>
    <i r="2">
      <x v="241"/>
    </i>
    <i>
      <x v="248"/>
    </i>
    <i r="1">
      <x/>
    </i>
    <i r="2">
      <x v="242"/>
    </i>
    <i>
      <x v="249"/>
    </i>
    <i r="1">
      <x/>
    </i>
    <i r="2">
      <x v="246"/>
    </i>
    <i>
      <x v="250"/>
    </i>
    <i r="1">
      <x/>
    </i>
    <i r="2">
      <x v="252"/>
    </i>
    <i>
      <x v="251"/>
    </i>
    <i r="1">
      <x/>
    </i>
    <i r="2">
      <x v="243"/>
    </i>
    <i>
      <x v="252"/>
    </i>
    <i r="1">
      <x/>
    </i>
    <i r="2">
      <x v="244"/>
    </i>
    <i>
      <x v="253"/>
    </i>
    <i r="1">
      <x/>
    </i>
    <i r="2">
      <x v="247"/>
    </i>
    <i>
      <x v="254"/>
    </i>
    <i r="1">
      <x/>
    </i>
    <i r="2">
      <x v="255"/>
    </i>
    <i>
      <x v="255"/>
    </i>
    <i r="1">
      <x/>
    </i>
    <i r="2">
      <x v="258"/>
    </i>
    <i>
      <x v="256"/>
    </i>
    <i r="1">
      <x/>
    </i>
    <i r="2">
      <x v="253"/>
    </i>
    <i>
      <x v="257"/>
    </i>
    <i r="1">
      <x/>
    </i>
    <i r="2">
      <x v="256"/>
    </i>
    <i>
      <x v="258"/>
    </i>
    <i r="1">
      <x/>
    </i>
    <i r="2">
      <x v="259"/>
    </i>
    <i>
      <x v="259"/>
    </i>
    <i r="1">
      <x/>
    </i>
    <i r="2">
      <x v="245"/>
    </i>
    <i>
      <x v="260"/>
    </i>
    <i r="1">
      <x/>
    </i>
    <i r="2">
      <x v="266"/>
    </i>
    <i>
      <x v="261"/>
    </i>
    <i r="1">
      <x/>
    </i>
    <i r="2">
      <x v="267"/>
    </i>
    <i>
      <x v="262"/>
    </i>
    <i r="1">
      <x/>
    </i>
    <i r="2">
      <x v="272"/>
    </i>
    <i>
      <x v="263"/>
    </i>
    <i r="1">
      <x/>
    </i>
    <i r="2">
      <x v="263"/>
    </i>
    <i>
      <x v="264"/>
    </i>
    <i r="1">
      <x/>
    </i>
    <i r="2">
      <x v="270"/>
    </i>
    <i>
      <x v="265"/>
    </i>
    <i r="1">
      <x/>
    </i>
    <i r="2">
      <x v="273"/>
    </i>
    <i>
      <x v="266"/>
    </i>
    <i r="1">
      <x/>
    </i>
    <i r="2">
      <x v="265"/>
    </i>
    <i>
      <x v="267"/>
    </i>
    <i r="1">
      <x/>
    </i>
    <i r="2">
      <x v="274"/>
    </i>
    <i>
      <x v="268"/>
    </i>
    <i r="1">
      <x/>
    </i>
    <i r="2">
      <x v="264"/>
    </i>
    <i>
      <x v="269"/>
    </i>
    <i r="1">
      <x/>
    </i>
    <i r="2">
      <x v="271"/>
    </i>
    <i>
      <x v="270"/>
    </i>
    <i r="1">
      <x/>
    </i>
    <i r="2">
      <x v="261"/>
    </i>
    <i>
      <x v="271"/>
    </i>
    <i r="1">
      <x/>
    </i>
    <i r="2">
      <x v="260"/>
    </i>
    <i>
      <x v="272"/>
    </i>
    <i r="1">
      <x/>
    </i>
    <i r="2">
      <x v="262"/>
    </i>
    <i>
      <x v="273"/>
    </i>
    <i r="1">
      <x/>
    </i>
    <i r="2">
      <x v="268"/>
    </i>
    <i>
      <x v="274"/>
    </i>
    <i r="1">
      <x/>
    </i>
    <i r="2">
      <x v="269"/>
    </i>
    <i>
      <x v="275"/>
    </i>
    <i r="1">
      <x/>
    </i>
    <i r="2">
      <x v="276"/>
    </i>
    <i>
      <x v="276"/>
    </i>
    <i r="1">
      <x/>
    </i>
    <i r="2">
      <x v="275"/>
    </i>
    <i>
      <x v="277"/>
    </i>
    <i r="1">
      <x/>
    </i>
    <i r="2">
      <x v="326"/>
    </i>
    <i>
      <x v="278"/>
    </i>
    <i r="1">
      <x/>
    </i>
    <i r="2">
      <x v="291"/>
    </i>
    <i>
      <x v="279"/>
    </i>
    <i r="1">
      <x/>
    </i>
    <i r="2">
      <x v="323"/>
    </i>
    <i>
      <x v="280"/>
    </i>
    <i r="1">
      <x/>
    </i>
    <i r="2">
      <x v="330"/>
    </i>
    <i>
      <x v="281"/>
    </i>
    <i r="1">
      <x/>
    </i>
    <i r="2">
      <x v="287"/>
    </i>
    <i>
      <x v="282"/>
    </i>
    <i r="1">
      <x/>
    </i>
    <i r="2">
      <x v="290"/>
    </i>
    <i>
      <x v="283"/>
    </i>
    <i r="1">
      <x/>
    </i>
    <i r="2">
      <x v="314"/>
    </i>
    <i>
      <x v="284"/>
    </i>
    <i r="1">
      <x/>
    </i>
    <i r="2">
      <x v="332"/>
    </i>
    <i>
      <x v="285"/>
    </i>
    <i r="1">
      <x/>
    </i>
    <i r="2">
      <x v="315"/>
    </i>
    <i>
      <x v="286"/>
    </i>
    <i r="1">
      <x/>
    </i>
    <i r="2">
      <x v="321"/>
    </i>
    <i>
      <x v="287"/>
    </i>
    <i r="1">
      <x/>
    </i>
    <i r="2">
      <x v="328"/>
    </i>
    <i>
      <x v="288"/>
    </i>
    <i r="1">
      <x/>
    </i>
    <i r="2">
      <x v="335"/>
    </i>
    <i>
      <x v="289"/>
    </i>
    <i r="1">
      <x/>
    </i>
    <i r="2">
      <x v="296"/>
    </i>
    <i>
      <x v="290"/>
    </i>
    <i r="1">
      <x/>
    </i>
    <i r="2">
      <x v="305"/>
    </i>
    <i>
      <x v="291"/>
    </i>
    <i r="1">
      <x/>
    </i>
    <i r="2">
      <x v="311"/>
    </i>
    <i>
      <x v="292"/>
    </i>
    <i r="1">
      <x/>
    </i>
    <i r="2">
      <x v="313"/>
    </i>
    <i>
      <x v="293"/>
    </i>
    <i r="1">
      <x/>
    </i>
    <i r="2">
      <x v="336"/>
    </i>
    <i>
      <x v="294"/>
    </i>
    <i r="1">
      <x/>
    </i>
    <i r="2">
      <x v="285"/>
    </i>
    <i>
      <x v="295"/>
    </i>
    <i r="1">
      <x/>
    </i>
    <i r="2">
      <x v="288"/>
    </i>
    <i>
      <x v="296"/>
    </i>
    <i r="1">
      <x/>
    </i>
    <i r="2">
      <x v="292"/>
    </i>
    <i>
      <x v="297"/>
    </i>
    <i r="1">
      <x/>
    </i>
    <i r="2">
      <x v="297"/>
    </i>
    <i>
      <x v="298"/>
    </i>
    <i r="1">
      <x/>
    </i>
    <i r="2">
      <x v="302"/>
    </i>
    <i>
      <x v="299"/>
    </i>
    <i r="1">
      <x/>
    </i>
    <i r="2">
      <x v="277"/>
    </i>
    <i>
      <x v="300"/>
    </i>
    <i r="1">
      <x/>
    </i>
    <i r="2">
      <x v="286"/>
    </i>
    <i>
      <x v="301"/>
    </i>
    <i r="1">
      <x/>
    </i>
    <i r="2">
      <x v="316"/>
    </i>
    <i>
      <x v="302"/>
    </i>
    <i r="1">
      <x/>
    </i>
    <i r="2">
      <x v="293"/>
    </i>
    <i>
      <x v="303"/>
    </i>
    <i r="1">
      <x/>
    </i>
    <i r="2">
      <x v="317"/>
    </i>
    <i>
      <x v="304"/>
    </i>
    <i r="1">
      <x/>
    </i>
    <i r="2">
      <x v="322"/>
    </i>
    <i>
      <x v="305"/>
    </i>
    <i r="1">
      <x/>
    </i>
    <i r="2">
      <x v="327"/>
    </i>
    <i>
      <x v="306"/>
    </i>
    <i r="1">
      <x/>
    </i>
    <i r="2">
      <x v="294"/>
    </i>
    <i>
      <x v="307"/>
    </i>
    <i r="1">
      <x/>
    </i>
    <i r="2">
      <x v="280"/>
    </i>
    <i>
      <x v="308"/>
    </i>
    <i r="1">
      <x/>
    </i>
    <i r="2">
      <x v="289"/>
    </i>
    <i>
      <x v="309"/>
    </i>
    <i r="1">
      <x/>
    </i>
    <i r="2">
      <x v="306"/>
    </i>
    <i>
      <x v="310"/>
    </i>
    <i r="1">
      <x/>
    </i>
    <i r="2">
      <x v="312"/>
    </i>
    <i>
      <x v="311"/>
    </i>
    <i r="1">
      <x/>
    </i>
    <i r="2">
      <x v="333"/>
    </i>
    <i>
      <x v="312"/>
    </i>
    <i r="1">
      <x/>
    </i>
    <i r="2">
      <x v="279"/>
    </i>
    <i>
      <x v="313"/>
    </i>
    <i r="1">
      <x/>
    </i>
    <i r="2">
      <x v="281"/>
    </i>
    <i>
      <x v="314"/>
    </i>
    <i r="1">
      <x/>
    </i>
    <i r="2">
      <x v="298"/>
    </i>
    <i>
      <x v="315"/>
    </i>
    <i r="1">
      <x/>
    </i>
    <i r="2">
      <x v="318"/>
    </i>
    <i>
      <x v="316"/>
    </i>
    <i r="1">
      <x/>
    </i>
    <i r="2">
      <x v="319"/>
    </i>
    <i>
      <x v="317"/>
    </i>
    <i r="1">
      <x/>
    </i>
    <i r="2">
      <x v="282"/>
    </i>
    <i>
      <x v="318"/>
    </i>
    <i r="1">
      <x/>
    </i>
    <i r="2">
      <x v="283"/>
    </i>
    <i>
      <x v="319"/>
    </i>
    <i r="1">
      <x/>
    </i>
    <i r="2">
      <x v="300"/>
    </i>
    <i>
      <x v="320"/>
    </i>
    <i r="1">
      <x/>
    </i>
    <i r="2">
      <x v="303"/>
    </i>
    <i>
      <x v="321"/>
    </i>
    <i r="1">
      <x/>
    </i>
    <i r="2">
      <x v="307"/>
    </i>
    <i>
      <x v="322"/>
    </i>
    <i r="1">
      <x/>
    </i>
    <i r="2">
      <x v="337"/>
    </i>
    <i>
      <x v="323"/>
    </i>
    <i r="1">
      <x/>
    </i>
    <i r="2">
      <x v="278"/>
    </i>
    <i>
      <x v="324"/>
    </i>
    <i r="1">
      <x/>
    </i>
    <i r="2">
      <x v="284"/>
    </i>
    <i>
      <x v="325"/>
    </i>
    <i r="1">
      <x/>
    </i>
    <i r="2">
      <x v="301"/>
    </i>
    <i>
      <x v="326"/>
    </i>
    <i r="1">
      <x/>
    </i>
    <i r="2">
      <x v="295"/>
    </i>
    <i>
      <x v="327"/>
    </i>
    <i r="1">
      <x/>
    </i>
    <i r="2">
      <x v="299"/>
    </i>
    <i>
      <x v="328"/>
    </i>
    <i r="1">
      <x/>
    </i>
    <i r="2">
      <x v="334"/>
    </i>
    <i>
      <x v="329"/>
    </i>
    <i r="1">
      <x/>
    </i>
    <i r="2">
      <x v="308"/>
    </i>
    <i>
      <x v="330"/>
    </i>
    <i r="1">
      <x/>
    </i>
    <i r="2">
      <x v="310"/>
    </i>
    <i>
      <x v="331"/>
    </i>
    <i r="1">
      <x/>
    </i>
    <i r="2">
      <x v="338"/>
    </i>
    <i>
      <x v="332"/>
    </i>
    <i r="1">
      <x/>
    </i>
    <i r="2">
      <x v="304"/>
    </i>
    <i>
      <x v="333"/>
    </i>
    <i r="1">
      <x/>
    </i>
    <i r="2">
      <x v="309"/>
    </i>
    <i>
      <x v="334"/>
    </i>
    <i r="1">
      <x/>
    </i>
    <i r="2">
      <x v="320"/>
    </i>
    <i>
      <x v="335"/>
    </i>
    <i r="1">
      <x/>
    </i>
    <i r="2">
      <x v="324"/>
    </i>
    <i>
      <x v="336"/>
    </i>
    <i r="1">
      <x/>
    </i>
    <i r="2">
      <x v="329"/>
    </i>
    <i>
      <x v="337"/>
    </i>
    <i r="1">
      <x/>
    </i>
    <i r="2">
      <x v="325"/>
    </i>
    <i>
      <x v="338"/>
    </i>
    <i r="1">
      <x/>
    </i>
    <i r="2">
      <x v="331"/>
    </i>
    <i>
      <x v="339"/>
    </i>
    <i r="1">
      <x/>
    </i>
    <i r="2">
      <x v="340"/>
    </i>
    <i>
      <x v="340"/>
    </i>
    <i r="1">
      <x/>
    </i>
    <i r="2">
      <x v="345"/>
    </i>
    <i>
      <x v="341"/>
    </i>
    <i r="1">
      <x/>
    </i>
    <i r="2">
      <x v="358"/>
    </i>
    <i>
      <x v="342"/>
    </i>
    <i r="1">
      <x/>
    </i>
    <i r="2">
      <x v="359"/>
    </i>
    <i>
      <x v="343"/>
    </i>
    <i r="1">
      <x/>
    </i>
    <i r="2">
      <x v="341"/>
    </i>
    <i>
      <x v="344"/>
    </i>
    <i r="1">
      <x/>
    </i>
    <i r="2">
      <x v="356"/>
    </i>
    <i>
      <x v="345"/>
    </i>
    <i r="1">
      <x/>
    </i>
    <i r="2">
      <x v="363"/>
    </i>
    <i>
      <x v="346"/>
    </i>
    <i r="1">
      <x/>
    </i>
    <i r="2">
      <x v="342"/>
    </i>
    <i>
      <x v="347"/>
    </i>
    <i r="1">
      <x/>
    </i>
    <i r="2">
      <x v="347"/>
    </i>
    <i>
      <x v="348"/>
    </i>
    <i r="1">
      <x/>
    </i>
    <i r="2">
      <x v="354"/>
    </i>
    <i>
      <x v="349"/>
    </i>
    <i r="1">
      <x/>
    </i>
    <i r="2">
      <x v="350"/>
    </i>
    <i>
      <x v="350"/>
    </i>
    <i r="1">
      <x/>
    </i>
    <i r="2">
      <x v="343"/>
    </i>
    <i>
      <x v="351"/>
    </i>
    <i r="1">
      <x/>
    </i>
    <i r="2">
      <x v="346"/>
    </i>
    <i>
      <x v="352"/>
    </i>
    <i r="1">
      <x/>
    </i>
    <i r="2">
      <x v="348"/>
    </i>
    <i>
      <x v="353"/>
    </i>
    <i r="1">
      <x/>
    </i>
    <i r="2">
      <x v="355"/>
    </i>
    <i>
      <x v="354"/>
    </i>
    <i r="1">
      <x/>
    </i>
    <i r="2">
      <x v="360"/>
    </i>
    <i>
      <x v="355"/>
    </i>
    <i r="1">
      <x/>
    </i>
    <i r="2">
      <x v="364"/>
    </i>
    <i>
      <x v="356"/>
    </i>
    <i r="1">
      <x/>
    </i>
    <i r="2">
      <x v="357"/>
    </i>
    <i>
      <x v="357"/>
    </i>
    <i r="1">
      <x/>
    </i>
    <i r="2">
      <x v="361"/>
    </i>
    <i>
      <x v="358"/>
    </i>
    <i r="1">
      <x/>
    </i>
    <i r="2">
      <x v="339"/>
    </i>
    <i>
      <x v="359"/>
    </i>
    <i r="1">
      <x/>
    </i>
    <i r="2">
      <x v="362"/>
    </i>
    <i>
      <x v="360"/>
    </i>
    <i r="1">
      <x/>
    </i>
    <i r="2">
      <x v="366"/>
    </i>
    <i>
      <x v="361"/>
    </i>
    <i r="1">
      <x/>
    </i>
    <i r="2">
      <x v="349"/>
    </i>
    <i>
      <x v="362"/>
    </i>
    <i r="1">
      <x/>
    </i>
    <i r="2">
      <x v="365"/>
    </i>
    <i>
      <x v="363"/>
    </i>
    <i r="1">
      <x/>
    </i>
    <i r="2">
      <x v="344"/>
    </i>
    <i>
      <x v="364"/>
    </i>
    <i r="1">
      <x/>
    </i>
    <i r="2">
      <x v="352"/>
    </i>
    <i>
      <x v="365"/>
    </i>
    <i r="1">
      <x/>
    </i>
    <i r="2">
      <x v="353"/>
    </i>
    <i>
      <x v="366"/>
    </i>
    <i r="1">
      <x/>
    </i>
    <i r="2">
      <x v="351"/>
    </i>
    <i>
      <x v="367"/>
    </i>
    <i r="1">
      <x/>
    </i>
    <i r="2">
      <x v="367"/>
    </i>
    <i>
      <x v="368"/>
    </i>
    <i r="1">
      <x/>
    </i>
    <i r="2">
      <x v="368"/>
    </i>
    <i>
      <x v="369"/>
    </i>
    <i r="1">
      <x/>
    </i>
    <i r="2">
      <x v="371"/>
    </i>
    <i>
      <x v="370"/>
    </i>
    <i r="1">
      <x/>
    </i>
    <i r="2">
      <x v="372"/>
    </i>
    <i>
      <x v="371"/>
    </i>
    <i r="1">
      <x/>
    </i>
    <i r="2">
      <x v="375"/>
    </i>
    <i>
      <x v="372"/>
    </i>
    <i r="1">
      <x/>
    </i>
    <i r="2">
      <x v="384"/>
    </i>
    <i>
      <x v="373"/>
    </i>
    <i r="1">
      <x/>
    </i>
    <i r="2">
      <x v="369"/>
    </i>
    <i>
      <x v="374"/>
    </i>
    <i r="1">
      <x/>
    </i>
    <i r="2">
      <x v="386"/>
    </i>
    <i>
      <x v="375"/>
    </i>
    <i r="1">
      <x/>
    </i>
    <i r="2">
      <x v="373"/>
    </i>
    <i>
      <x v="376"/>
    </i>
    <i r="1">
      <x/>
    </i>
    <i r="2">
      <x v="379"/>
    </i>
    <i>
      <x v="377"/>
    </i>
    <i r="1">
      <x/>
    </i>
    <i r="2">
      <x v="385"/>
    </i>
    <i>
      <x v="378"/>
    </i>
    <i r="1">
      <x/>
    </i>
    <i r="2">
      <x v="370"/>
    </i>
    <i>
      <x v="379"/>
    </i>
    <i r="1">
      <x/>
    </i>
    <i r="2">
      <x v="381"/>
    </i>
    <i>
      <x v="380"/>
    </i>
    <i r="1">
      <x/>
    </i>
    <i r="2">
      <x v="382"/>
    </i>
    <i>
      <x v="381"/>
    </i>
    <i r="1">
      <x/>
    </i>
    <i r="2">
      <x v="374"/>
    </i>
    <i>
      <x v="382"/>
    </i>
    <i r="1">
      <x/>
    </i>
    <i r="2">
      <x v="380"/>
    </i>
    <i>
      <x v="383"/>
    </i>
    <i r="1">
      <x/>
    </i>
    <i r="2">
      <x v="376"/>
    </i>
    <i>
      <x v="384"/>
    </i>
    <i r="1">
      <x/>
    </i>
    <i r="2">
      <x v="377"/>
    </i>
    <i>
      <x v="385"/>
    </i>
    <i r="1">
      <x/>
    </i>
    <i r="2">
      <x v="387"/>
    </i>
    <i>
      <x v="386"/>
    </i>
    <i r="1">
      <x/>
    </i>
    <i r="2">
      <x v="388"/>
    </i>
    <i>
      <x v="387"/>
    </i>
    <i r="1">
      <x/>
    </i>
    <i r="2">
      <x v="383"/>
    </i>
    <i>
      <x v="388"/>
    </i>
    <i r="1">
      <x/>
    </i>
    <i r="2">
      <x v="378"/>
    </i>
    <i>
      <x v="389"/>
    </i>
    <i r="1">
      <x/>
    </i>
    <i r="2">
      <x v="405"/>
    </i>
    <i>
      <x v="390"/>
    </i>
    <i r="1">
      <x/>
    </i>
    <i r="2">
      <x v="429"/>
    </i>
    <i>
      <x v="391"/>
    </i>
    <i r="1">
      <x/>
    </i>
    <i r="2">
      <x v="390"/>
    </i>
    <i>
      <x v="392"/>
    </i>
    <i r="1">
      <x/>
    </i>
    <i r="2">
      <x v="398"/>
    </i>
    <i>
      <x v="393"/>
    </i>
    <i r="1">
      <x/>
    </i>
    <i r="2">
      <x v="406"/>
    </i>
    <i>
      <x v="394"/>
    </i>
    <i r="1">
      <x/>
    </i>
    <i r="2">
      <x v="407"/>
    </i>
    <i>
      <x v="395"/>
    </i>
    <i r="1">
      <x/>
    </i>
    <i r="2">
      <x v="419"/>
    </i>
    <i>
      <x v="396"/>
    </i>
    <i r="1">
      <x/>
    </i>
    <i r="2">
      <x v="434"/>
    </i>
    <i>
      <x v="397"/>
    </i>
    <i r="1">
      <x/>
    </i>
    <i r="2">
      <x v="436"/>
    </i>
    <i>
      <x v="398"/>
    </i>
    <i r="1">
      <x/>
    </i>
    <i r="2">
      <x v="393"/>
    </i>
    <i>
      <x v="399"/>
    </i>
    <i r="1">
      <x/>
    </i>
    <i r="2">
      <x v="420"/>
    </i>
    <i>
      <x v="400"/>
    </i>
    <i r="1">
      <x/>
    </i>
    <i r="2">
      <x v="391"/>
    </i>
    <i>
      <x v="401"/>
    </i>
    <i r="1">
      <x/>
    </i>
    <i r="2">
      <x v="411"/>
    </i>
    <i>
      <x v="402"/>
    </i>
    <i r="1">
      <x/>
    </i>
    <i r="2">
      <x v="430"/>
    </i>
    <i>
      <x v="403"/>
    </i>
    <i r="1">
      <x/>
    </i>
    <i r="2">
      <x v="408"/>
    </i>
    <i>
      <x v="404"/>
    </i>
    <i r="1">
      <x/>
    </i>
    <i r="2">
      <x v="409"/>
    </i>
    <i>
      <x v="405"/>
    </i>
    <i r="1">
      <x/>
    </i>
    <i r="2">
      <x v="421"/>
    </i>
    <i>
      <x v="406"/>
    </i>
    <i r="1">
      <x/>
    </i>
    <i r="2">
      <x v="422"/>
    </i>
    <i>
      <x v="407"/>
    </i>
    <i r="1">
      <x/>
    </i>
    <i r="2">
      <x v="437"/>
    </i>
    <i>
      <x v="408"/>
    </i>
    <i r="1">
      <x/>
    </i>
    <i r="2">
      <x v="415"/>
    </i>
    <i>
      <x v="409"/>
    </i>
    <i r="1">
      <x/>
    </i>
    <i r="2">
      <x v="431"/>
    </i>
    <i>
      <x v="410"/>
    </i>
    <i r="1">
      <x/>
    </i>
    <i r="2">
      <x v="435"/>
    </i>
    <i>
      <x v="411"/>
    </i>
    <i r="1">
      <x/>
    </i>
    <i r="2">
      <x v="412"/>
    </i>
    <i>
      <x v="412"/>
    </i>
    <i r="1">
      <x/>
    </i>
    <i r="2">
      <x v="423"/>
    </i>
    <i>
      <x v="413"/>
    </i>
    <i r="1">
      <x/>
    </i>
    <i r="2">
      <x v="438"/>
    </i>
    <i>
      <x v="414"/>
    </i>
    <i r="1">
      <x/>
    </i>
    <i r="2">
      <x v="396"/>
    </i>
    <i>
      <x v="415"/>
    </i>
    <i r="1">
      <x/>
    </i>
    <i r="2">
      <x v="397"/>
    </i>
    <i>
      <x v="416"/>
    </i>
    <i r="1">
      <x/>
    </i>
    <i r="2">
      <x v="413"/>
    </i>
    <i>
      <x v="417"/>
    </i>
    <i r="1">
      <x/>
    </i>
    <i r="2">
      <x v="432"/>
    </i>
    <i>
      <x v="418"/>
    </i>
    <i r="1">
      <x/>
    </i>
    <i r="2">
      <x v="389"/>
    </i>
    <i>
      <x v="419"/>
    </i>
    <i r="1">
      <x/>
    </i>
    <i r="2">
      <x v="424"/>
    </i>
    <i>
      <x v="420"/>
    </i>
    <i r="1">
      <x/>
    </i>
    <i r="2">
      <x v="442"/>
    </i>
    <i>
      <x v="421"/>
    </i>
    <i r="1">
      <x/>
    </i>
    <i r="2">
      <x v="425"/>
    </i>
    <i>
      <x v="422"/>
    </i>
    <i r="1">
      <x/>
    </i>
    <i r="2">
      <x v="401"/>
    </i>
    <i>
      <x v="423"/>
    </i>
    <i r="1">
      <x/>
    </i>
    <i r="2">
      <x v="416"/>
    </i>
    <i>
      <x v="424"/>
    </i>
    <i r="1">
      <x/>
    </i>
    <i r="2">
      <x v="426"/>
    </i>
    <i>
      <x v="425"/>
    </i>
    <i r="1">
      <x/>
    </i>
    <i r="2">
      <x v="399"/>
    </i>
    <i>
      <x v="426"/>
    </i>
    <i r="1">
      <x/>
    </i>
    <i r="2">
      <x v="427"/>
    </i>
    <i>
      <x v="427"/>
    </i>
    <i r="1">
      <x/>
    </i>
    <i r="2">
      <x v="439"/>
    </i>
    <i>
      <x v="428"/>
    </i>
    <i r="1">
      <x/>
    </i>
    <i r="2">
      <x v="404"/>
    </i>
    <i>
      <x v="429"/>
    </i>
    <i r="1">
      <x/>
    </i>
    <i r="2">
      <x v="394"/>
    </i>
    <i>
      <x v="430"/>
    </i>
    <i r="1">
      <x/>
    </i>
    <i r="2">
      <x v="403"/>
    </i>
    <i>
      <x v="431"/>
    </i>
    <i r="1">
      <x/>
    </i>
    <i r="2">
      <x v="410"/>
    </i>
    <i>
      <x v="432"/>
    </i>
    <i r="1">
      <x/>
    </i>
    <i r="2">
      <x v="414"/>
    </i>
    <i>
      <x v="433"/>
    </i>
    <i r="1">
      <x/>
    </i>
    <i r="2">
      <x v="418"/>
    </i>
    <i>
      <x v="434"/>
    </i>
    <i r="1">
      <x/>
    </i>
    <i r="2">
      <x v="428"/>
    </i>
    <i>
      <x v="435"/>
    </i>
    <i r="1">
      <x/>
    </i>
    <i r="2">
      <x v="417"/>
    </i>
    <i>
      <x v="436"/>
    </i>
    <i r="1">
      <x/>
    </i>
    <i r="2">
      <x v="433"/>
    </i>
    <i>
      <x v="437"/>
    </i>
    <i r="1">
      <x/>
    </i>
    <i r="2">
      <x v="400"/>
    </i>
    <i>
      <x v="438"/>
    </i>
    <i r="1">
      <x/>
    </i>
    <i r="2">
      <x v="440"/>
    </i>
    <i>
      <x v="439"/>
    </i>
    <i r="1">
      <x/>
    </i>
    <i r="2">
      <x v="441"/>
    </i>
    <i>
      <x v="440"/>
    </i>
    <i r="1">
      <x/>
    </i>
    <i r="2">
      <x v="395"/>
    </i>
    <i>
      <x v="441"/>
    </i>
    <i r="1">
      <x/>
    </i>
    <i r="2">
      <x v="443"/>
    </i>
    <i>
      <x v="442"/>
    </i>
    <i r="1">
      <x/>
    </i>
    <i r="2">
      <x v="392"/>
    </i>
    <i>
      <x v="443"/>
    </i>
    <i r="1">
      <x/>
    </i>
    <i r="2">
      <x v="402"/>
    </i>
    <i>
      <x v="444"/>
    </i>
    <i r="1">
      <x/>
    </i>
    <i r="2">
      <x v="464"/>
    </i>
    <i>
      <x v="445"/>
    </i>
    <i r="1">
      <x/>
    </i>
    <i r="2">
      <x v="446"/>
    </i>
    <i>
      <x v="446"/>
    </i>
    <i r="1">
      <x/>
    </i>
    <i r="2">
      <x v="451"/>
    </i>
    <i>
      <x v="447"/>
    </i>
    <i r="1">
      <x/>
    </i>
    <i r="2">
      <x v="458"/>
    </i>
    <i>
      <x v="448"/>
    </i>
    <i r="1">
      <x/>
    </i>
    <i r="2">
      <x v="462"/>
    </i>
    <i>
      <x v="449"/>
    </i>
    <i r="1">
      <x/>
    </i>
    <i r="2">
      <x v="448"/>
    </i>
    <i>
      <x v="450"/>
    </i>
    <i r="1">
      <x/>
    </i>
    <i r="2">
      <x v="454"/>
    </i>
    <i>
      <x v="451"/>
    </i>
    <i r="1">
      <x/>
    </i>
    <i r="2">
      <x v="449"/>
    </i>
    <i>
      <x v="452"/>
    </i>
    <i r="1">
      <x/>
    </i>
    <i r="2">
      <x v="461"/>
    </i>
    <i>
      <x v="453"/>
    </i>
    <i r="1">
      <x/>
    </i>
    <i r="2">
      <x v="447"/>
    </i>
    <i>
      <x v="454"/>
    </i>
    <i r="1">
      <x/>
    </i>
    <i r="2">
      <x v="452"/>
    </i>
    <i>
      <x v="455"/>
    </i>
    <i r="1">
      <x/>
    </i>
    <i r="2">
      <x v="455"/>
    </i>
    <i>
      <x v="456"/>
    </i>
    <i r="1">
      <x/>
    </i>
    <i r="2">
      <x v="444"/>
    </i>
    <i>
      <x v="457"/>
    </i>
    <i r="1">
      <x/>
    </i>
    <i r="2">
      <x v="453"/>
    </i>
    <i>
      <x v="458"/>
    </i>
    <i r="1">
      <x/>
    </i>
    <i r="2">
      <x v="457"/>
    </i>
    <i>
      <x v="459"/>
    </i>
    <i r="1">
      <x/>
    </i>
    <i r="2">
      <x v="445"/>
    </i>
    <i>
      <x v="460"/>
    </i>
    <i r="1">
      <x/>
    </i>
    <i r="2">
      <x v="465"/>
    </i>
    <i>
      <x v="461"/>
    </i>
    <i r="1">
      <x/>
    </i>
    <i r="2">
      <x v="466"/>
    </i>
    <i>
      <x v="462"/>
    </i>
    <i r="1">
      <x/>
    </i>
    <i r="2">
      <x v="467"/>
    </i>
    <i>
      <x v="463"/>
    </i>
    <i r="1">
      <x/>
    </i>
    <i r="2">
      <x v="459"/>
    </i>
    <i>
      <x v="464"/>
    </i>
    <i r="1">
      <x/>
    </i>
    <i r="2">
      <x v="456"/>
    </i>
    <i>
      <x v="465"/>
    </i>
    <i r="1">
      <x/>
    </i>
    <i r="2">
      <x v="463"/>
    </i>
    <i>
      <x v="466"/>
    </i>
    <i r="1">
      <x/>
    </i>
    <i r="2">
      <x v="450"/>
    </i>
    <i>
      <x v="467"/>
    </i>
    <i r="1">
      <x/>
    </i>
    <i r="2">
      <x v="460"/>
    </i>
    <i>
      <x v="468"/>
    </i>
    <i r="1">
      <x/>
    </i>
    <i r="2">
      <x v="468"/>
    </i>
    <i>
      <x v="469"/>
    </i>
    <i r="1">
      <x/>
    </i>
    <i r="2">
      <x v="469"/>
    </i>
    <i>
      <x v="470"/>
    </i>
    <i r="1">
      <x/>
    </i>
    <i r="2">
      <x v="489"/>
    </i>
    <i>
      <x v="471"/>
    </i>
    <i r="1">
      <x/>
    </i>
    <i r="2">
      <x v="474"/>
    </i>
    <i>
      <x v="472"/>
    </i>
    <i r="1">
      <x/>
    </i>
    <i r="2">
      <x v="492"/>
    </i>
    <i>
      <x v="473"/>
    </i>
    <i r="1">
      <x/>
    </i>
    <i r="2">
      <x v="494"/>
    </i>
    <i>
      <x v="474"/>
    </i>
    <i r="1">
      <x/>
    </i>
    <i r="2">
      <x v="498"/>
    </i>
    <i>
      <x v="475"/>
    </i>
    <i r="1">
      <x/>
    </i>
    <i r="2">
      <x v="470"/>
    </i>
    <i>
      <x v="476"/>
    </i>
    <i r="1">
      <x/>
    </i>
    <i r="2">
      <x v="486"/>
    </i>
    <i>
      <x v="477"/>
    </i>
    <i r="1">
      <x/>
    </i>
    <i r="2">
      <x v="493"/>
    </i>
    <i>
      <x v="478"/>
    </i>
    <i r="1">
      <x/>
    </i>
    <i r="2">
      <x v="495"/>
    </i>
    <i>
      <x v="479"/>
    </i>
    <i r="1">
      <x/>
    </i>
    <i r="2">
      <x v="499"/>
    </i>
    <i>
      <x v="480"/>
    </i>
    <i r="1">
      <x/>
    </i>
    <i r="2">
      <x v="475"/>
    </i>
    <i>
      <x v="481"/>
    </i>
    <i r="1">
      <x/>
    </i>
    <i r="2">
      <x v="480"/>
    </i>
    <i>
      <x v="482"/>
    </i>
    <i r="1">
      <x/>
    </i>
    <i r="2">
      <x v="473"/>
    </i>
    <i>
      <x v="483"/>
    </i>
    <i r="1">
      <x/>
    </i>
    <i r="2">
      <x v="476"/>
    </i>
    <i>
      <x v="484"/>
    </i>
    <i r="1">
      <x/>
    </i>
    <i r="2">
      <x v="487"/>
    </i>
    <i>
      <x v="485"/>
    </i>
    <i r="1">
      <x/>
    </i>
    <i r="2">
      <x v="481"/>
    </i>
    <i>
      <x v="486"/>
    </i>
    <i r="1">
      <x/>
    </i>
    <i r="2">
      <x v="490"/>
    </i>
    <i>
      <x v="487"/>
    </i>
    <i r="1">
      <x/>
    </i>
    <i r="2">
      <x v="482"/>
    </i>
    <i>
      <x v="488"/>
    </i>
    <i r="1">
      <x/>
    </i>
    <i r="2">
      <x v="472"/>
    </i>
    <i>
      <x v="489"/>
    </i>
    <i r="1">
      <x/>
    </i>
    <i r="2">
      <x v="477"/>
    </i>
    <i>
      <x v="490"/>
    </i>
    <i r="1">
      <x/>
    </i>
    <i r="2">
      <x v="478"/>
    </i>
    <i>
      <x v="491"/>
    </i>
    <i r="1">
      <x/>
    </i>
    <i r="2">
      <x v="496"/>
    </i>
    <i>
      <x v="492"/>
    </i>
    <i r="1">
      <x/>
    </i>
    <i r="2">
      <x v="497"/>
    </i>
    <i>
      <x v="493"/>
    </i>
    <i r="1">
      <x/>
    </i>
    <i r="2">
      <x v="483"/>
    </i>
    <i>
      <x v="494"/>
    </i>
    <i r="1">
      <x/>
    </i>
    <i r="2">
      <x v="479"/>
    </i>
    <i>
      <x v="495"/>
    </i>
    <i r="1">
      <x/>
    </i>
    <i r="2">
      <x v="471"/>
    </i>
    <i>
      <x v="496"/>
    </i>
    <i r="1">
      <x/>
    </i>
    <i r="2">
      <x v="484"/>
    </i>
    <i>
      <x v="497"/>
    </i>
    <i r="1">
      <x/>
    </i>
    <i r="2">
      <x v="488"/>
    </i>
    <i>
      <x v="498"/>
    </i>
    <i r="1">
      <x/>
    </i>
    <i r="2">
      <x v="491"/>
    </i>
    <i>
      <x v="499"/>
    </i>
    <i r="1">
      <x/>
    </i>
    <i r="2">
      <x v="485"/>
    </i>
    <i>
      <x v="500"/>
    </i>
    <i r="1">
      <x/>
    </i>
    <i r="2">
      <x v="500"/>
    </i>
    <i>
      <x v="501"/>
    </i>
    <i r="1">
      <x/>
    </i>
    <i r="2">
      <x v="501"/>
    </i>
    <i>
      <x v="502"/>
    </i>
    <i r="1">
      <x/>
    </i>
    <i r="2">
      <x v="503"/>
    </i>
    <i>
      <x v="503"/>
    </i>
    <i r="1">
      <x/>
    </i>
    <i r="2">
      <x v="533"/>
    </i>
    <i>
      <x v="504"/>
    </i>
    <i r="1">
      <x/>
    </i>
    <i r="2">
      <x v="535"/>
    </i>
    <i>
      <x v="505"/>
    </i>
    <i r="1">
      <x/>
    </i>
    <i r="2">
      <x v="537"/>
    </i>
    <i>
      <x v="506"/>
    </i>
    <i r="1">
      <x/>
    </i>
    <i r="2">
      <x v="506"/>
    </i>
    <i>
      <x v="507"/>
    </i>
    <i r="1">
      <x/>
    </i>
    <i r="2">
      <x v="509"/>
    </i>
    <i>
      <x v="508"/>
    </i>
    <i r="1">
      <x/>
    </i>
    <i r="2">
      <x v="510"/>
    </i>
    <i>
      <x v="509"/>
    </i>
    <i r="1">
      <x/>
    </i>
    <i r="2">
      <x v="516"/>
    </i>
    <i>
      <x v="510"/>
    </i>
    <i r="1">
      <x/>
    </i>
    <i r="2">
      <x v="520"/>
    </i>
    <i>
      <x v="511"/>
    </i>
    <i r="1">
      <x/>
    </i>
    <i r="2">
      <x v="523"/>
    </i>
    <i>
      <x v="512"/>
    </i>
    <i r="1">
      <x/>
    </i>
    <i r="2">
      <x v="528"/>
    </i>
    <i>
      <x v="513"/>
    </i>
    <i r="1">
      <x/>
    </i>
    <i r="2">
      <x v="530"/>
    </i>
    <i>
      <x v="514"/>
    </i>
    <i r="1">
      <x/>
    </i>
    <i r="2">
      <x v="538"/>
    </i>
    <i>
      <x v="515"/>
    </i>
    <i r="1">
      <x/>
    </i>
    <i r="2">
      <x v="511"/>
    </i>
    <i>
      <x v="516"/>
    </i>
    <i r="1">
      <x/>
    </i>
    <i r="2">
      <x v="517"/>
    </i>
    <i>
      <x v="517"/>
    </i>
    <i r="1">
      <x/>
    </i>
    <i r="2">
      <x v="524"/>
    </i>
    <i>
      <x v="518"/>
    </i>
    <i r="1">
      <x/>
    </i>
    <i r="2">
      <x v="529"/>
    </i>
    <i>
      <x v="519"/>
    </i>
    <i r="1">
      <x/>
    </i>
    <i r="2">
      <x v="534"/>
    </i>
    <i>
      <x v="520"/>
    </i>
    <i r="1">
      <x/>
    </i>
    <i r="2">
      <x v="536"/>
    </i>
    <i>
      <x v="521"/>
    </i>
    <i r="1">
      <x/>
    </i>
    <i r="2">
      <x v="505"/>
    </i>
    <i>
      <x v="522"/>
    </i>
    <i r="1">
      <x/>
    </i>
    <i r="2">
      <x v="525"/>
    </i>
    <i>
      <x v="523"/>
    </i>
    <i r="1">
      <x/>
    </i>
    <i r="2">
      <x v="531"/>
    </i>
    <i>
      <x v="524"/>
    </i>
    <i r="1">
      <x/>
    </i>
    <i r="2">
      <x v="512"/>
    </i>
    <i>
      <x v="525"/>
    </i>
    <i r="1">
      <x/>
    </i>
    <i r="2">
      <x v="513"/>
    </i>
    <i>
      <x v="526"/>
    </i>
    <i r="1">
      <x/>
    </i>
    <i r="2">
      <x v="504"/>
    </i>
    <i>
      <x v="527"/>
    </i>
    <i r="1">
      <x/>
    </i>
    <i r="2">
      <x v="518"/>
    </i>
    <i>
      <x v="528"/>
    </i>
    <i r="1">
      <x/>
    </i>
    <i r="2">
      <x v="521"/>
    </i>
    <i>
      <x v="529"/>
    </i>
    <i r="1">
      <x/>
    </i>
    <i r="2">
      <x v="527"/>
    </i>
    <i>
      <x v="530"/>
    </i>
    <i r="1">
      <x/>
    </i>
    <i r="2">
      <x v="502"/>
    </i>
    <i>
      <x v="531"/>
    </i>
    <i r="1">
      <x/>
    </i>
    <i r="2">
      <x v="507"/>
    </i>
    <i>
      <x v="532"/>
    </i>
    <i r="1">
      <x/>
    </i>
    <i r="2">
      <x v="532"/>
    </i>
    <i>
      <x v="533"/>
    </i>
    <i r="1">
      <x/>
    </i>
    <i r="2">
      <x v="514"/>
    </i>
    <i>
      <x v="534"/>
    </i>
    <i r="1">
      <x/>
    </i>
    <i r="2">
      <x v="508"/>
    </i>
    <i>
      <x v="535"/>
    </i>
    <i r="1">
      <x/>
    </i>
    <i r="2">
      <x v="526"/>
    </i>
    <i>
      <x v="536"/>
    </i>
    <i r="1">
      <x/>
    </i>
    <i r="2">
      <x v="515"/>
    </i>
    <i>
      <x v="537"/>
    </i>
    <i r="1">
      <x/>
    </i>
    <i r="2">
      <x v="519"/>
    </i>
    <i>
      <x v="538"/>
    </i>
    <i r="1">
      <x/>
    </i>
    <i r="2">
      <x v="522"/>
    </i>
    <i>
      <x v="539"/>
    </i>
    <i r="1">
      <x/>
    </i>
    <i r="2">
      <x v="585"/>
    </i>
    <i>
      <x v="540"/>
    </i>
    <i r="1">
      <x/>
    </i>
    <i r="2">
      <x v="551"/>
    </i>
    <i>
      <x v="541"/>
    </i>
    <i r="1">
      <x/>
    </i>
    <i r="2">
      <x v="557"/>
    </i>
    <i>
      <x v="542"/>
    </i>
    <i r="1">
      <x/>
    </i>
    <i r="2">
      <x v="541"/>
    </i>
    <i>
      <x v="543"/>
    </i>
    <i r="1">
      <x/>
    </i>
    <i r="2">
      <x v="543"/>
    </i>
    <i>
      <x v="544"/>
    </i>
    <i r="1">
      <x/>
    </i>
    <i r="2">
      <x v="546"/>
    </i>
    <i>
      <x v="545"/>
    </i>
    <i r="1">
      <x/>
    </i>
    <i r="2">
      <x v="554"/>
    </i>
    <i>
      <x v="546"/>
    </i>
    <i r="1">
      <x/>
    </i>
    <i r="2">
      <x v="555"/>
    </i>
    <i>
      <x v="547"/>
    </i>
    <i r="1">
      <x/>
    </i>
    <i r="2">
      <x v="558"/>
    </i>
    <i>
      <x v="548"/>
    </i>
    <i r="1">
      <x/>
    </i>
    <i r="2">
      <x v="563"/>
    </i>
    <i>
      <x v="549"/>
    </i>
    <i r="1">
      <x/>
    </i>
    <i r="2">
      <x v="576"/>
    </i>
    <i>
      <x v="550"/>
    </i>
    <i r="1">
      <x/>
    </i>
    <i r="2">
      <x v="578"/>
    </i>
    <i>
      <x v="551"/>
    </i>
    <i r="1">
      <x/>
    </i>
    <i r="2">
      <x v="581"/>
    </i>
    <i>
      <x v="552"/>
    </i>
    <i r="1">
      <x/>
    </i>
    <i r="2">
      <x v="583"/>
    </i>
    <i>
      <x v="553"/>
    </i>
    <i r="1">
      <x/>
    </i>
    <i r="2">
      <x v="566"/>
    </i>
    <i>
      <x v="554"/>
    </i>
    <i r="1">
      <x/>
    </i>
    <i r="2">
      <x v="547"/>
    </i>
    <i>
      <x v="555"/>
    </i>
    <i r="1">
      <x/>
    </i>
    <i r="2">
      <x v="544"/>
    </i>
    <i>
      <x v="556"/>
    </i>
    <i r="1">
      <x/>
    </i>
    <i r="2">
      <x v="552"/>
    </i>
    <i>
      <x v="557"/>
    </i>
    <i r="1">
      <x/>
    </i>
    <i r="2">
      <x v="591"/>
    </i>
    <i>
      <x v="558"/>
    </i>
    <i r="1">
      <x/>
    </i>
    <i r="2">
      <x v="545"/>
    </i>
    <i>
      <x v="559"/>
    </i>
    <i r="1">
      <x/>
    </i>
    <i r="2">
      <x v="572"/>
    </i>
    <i>
      <x v="560"/>
    </i>
    <i r="1">
      <x/>
    </i>
    <i r="2">
      <x v="539"/>
    </i>
    <i>
      <x v="561"/>
    </i>
    <i r="1">
      <x/>
    </i>
    <i r="2">
      <x v="564"/>
    </i>
    <i>
      <x v="562"/>
    </i>
    <i r="1">
      <x/>
    </i>
    <i r="2">
      <x v="548"/>
    </i>
    <i>
      <x v="563"/>
    </i>
    <i r="1">
      <x/>
    </i>
    <i r="2">
      <x v="553"/>
    </i>
    <i>
      <x v="564"/>
    </i>
    <i r="1">
      <x/>
    </i>
    <i r="2">
      <x v="567"/>
    </i>
    <i>
      <x v="565"/>
    </i>
    <i r="1">
      <x/>
    </i>
    <i r="2">
      <x v="540"/>
    </i>
    <i>
      <x v="566"/>
    </i>
    <i r="1">
      <x/>
    </i>
    <i r="2">
      <x v="550"/>
    </i>
    <i>
      <x v="567"/>
    </i>
    <i r="1">
      <x/>
    </i>
    <i r="2">
      <x v="559"/>
    </i>
    <i>
      <x v="568"/>
    </i>
    <i r="1">
      <x/>
    </i>
    <i r="2">
      <x v="588"/>
    </i>
    <i>
      <x v="569"/>
    </i>
    <i r="1">
      <x/>
    </i>
    <i r="2">
      <x v="590"/>
    </i>
    <i>
      <x v="570"/>
    </i>
    <i r="1">
      <x/>
    </i>
    <i r="2">
      <x v="570"/>
    </i>
    <i>
      <x v="571"/>
    </i>
    <i r="1">
      <x/>
    </i>
    <i r="2">
      <x v="577"/>
    </i>
    <i>
      <x v="572"/>
    </i>
    <i r="1">
      <x/>
    </i>
    <i r="2">
      <x v="560"/>
    </i>
    <i>
      <x v="573"/>
    </i>
    <i r="1">
      <x/>
    </i>
    <i r="2">
      <x v="569"/>
    </i>
    <i>
      <x v="574"/>
    </i>
    <i r="1">
      <x/>
    </i>
    <i r="2">
      <x v="573"/>
    </i>
    <i>
      <x v="575"/>
    </i>
    <i r="1">
      <x/>
    </i>
    <i r="2">
      <x v="574"/>
    </i>
    <i>
      <x v="576"/>
    </i>
    <i r="1">
      <x/>
    </i>
    <i r="2">
      <x v="586"/>
    </i>
    <i>
      <x v="577"/>
    </i>
    <i r="1">
      <x/>
    </i>
    <i r="2">
      <x v="579"/>
    </i>
    <i>
      <x v="578"/>
    </i>
    <i r="1">
      <x/>
    </i>
    <i r="2">
      <x v="549"/>
    </i>
    <i>
      <x v="579"/>
    </i>
    <i r="1">
      <x/>
    </i>
    <i r="2">
      <x v="571"/>
    </i>
    <i>
      <x v="580"/>
    </i>
    <i r="1">
      <x/>
    </i>
    <i r="2">
      <x v="587"/>
    </i>
    <i>
      <x v="581"/>
    </i>
    <i r="1">
      <x/>
    </i>
    <i r="2">
      <x v="568"/>
    </i>
    <i>
      <x v="582"/>
    </i>
    <i r="1">
      <x/>
    </i>
    <i r="2">
      <x v="575"/>
    </i>
    <i>
      <x v="583"/>
    </i>
    <i r="1">
      <x/>
    </i>
    <i r="2">
      <x v="562"/>
    </i>
    <i>
      <x v="584"/>
    </i>
    <i r="1">
      <x/>
    </i>
    <i r="2">
      <x v="582"/>
    </i>
    <i>
      <x v="585"/>
    </i>
    <i r="1">
      <x/>
    </i>
    <i r="2">
      <x v="584"/>
    </i>
    <i>
      <x v="586"/>
    </i>
    <i r="1">
      <x/>
    </i>
    <i r="2">
      <x v="589"/>
    </i>
    <i>
      <x v="587"/>
    </i>
    <i r="1">
      <x/>
    </i>
    <i r="2">
      <x v="556"/>
    </i>
    <i>
      <x v="588"/>
    </i>
    <i r="1">
      <x/>
    </i>
    <i r="2">
      <x v="561"/>
    </i>
    <i>
      <x v="589"/>
    </i>
    <i r="1">
      <x/>
    </i>
    <i r="2">
      <x v="565"/>
    </i>
    <i>
      <x v="590"/>
    </i>
    <i r="1">
      <x/>
    </i>
    <i r="2">
      <x v="580"/>
    </i>
    <i>
      <x v="591"/>
    </i>
    <i r="1">
      <x/>
    </i>
    <i r="2">
      <x v="542"/>
    </i>
    <i>
      <x v="592"/>
    </i>
    <i r="1">
      <x/>
    </i>
    <i r="2">
      <x v="615"/>
    </i>
    <i>
      <x v="593"/>
    </i>
    <i r="1">
      <x/>
    </i>
    <i r="2">
      <x v="597"/>
    </i>
    <i>
      <x v="594"/>
    </i>
    <i r="1">
      <x/>
    </i>
    <i r="2">
      <x v="603"/>
    </i>
    <i>
      <x v="595"/>
    </i>
    <i r="1">
      <x/>
    </i>
    <i r="2">
      <x v="607"/>
    </i>
    <i>
      <x v="596"/>
    </i>
    <i r="1">
      <x/>
    </i>
    <i r="2">
      <x v="608"/>
    </i>
    <i>
      <x v="597"/>
    </i>
    <i r="1">
      <x/>
    </i>
    <i r="2">
      <x v="613"/>
    </i>
    <i>
      <x v="598"/>
    </i>
    <i r="1">
      <x/>
    </i>
    <i r="2">
      <x v="616"/>
    </i>
    <i>
      <x v="599"/>
    </i>
    <i r="1">
      <x/>
    </i>
    <i r="2">
      <x v="621"/>
    </i>
    <i>
      <x v="600"/>
    </i>
    <i r="1">
      <x/>
    </i>
    <i r="2">
      <x v="625"/>
    </i>
    <i>
      <x v="601"/>
    </i>
    <i r="1">
      <x/>
    </i>
    <i r="2">
      <x v="627"/>
    </i>
    <i>
      <x v="602"/>
    </i>
    <i r="1">
      <x/>
    </i>
    <i r="2">
      <x v="592"/>
    </i>
    <i>
      <x v="603"/>
    </i>
    <i r="1">
      <x/>
    </i>
    <i r="2">
      <x v="609"/>
    </i>
    <i>
      <x v="604"/>
    </i>
    <i r="1">
      <x/>
    </i>
    <i r="2">
      <x v="622"/>
    </i>
    <i>
      <x v="605"/>
    </i>
    <i r="1">
      <x/>
    </i>
    <i r="2">
      <x v="593"/>
    </i>
    <i>
      <x v="606"/>
    </i>
    <i r="1">
      <x/>
    </i>
    <i r="2">
      <x v="610"/>
    </i>
    <i>
      <x v="607"/>
    </i>
    <i r="1">
      <x/>
    </i>
    <i r="2">
      <x v="628"/>
    </i>
    <i>
      <x v="608"/>
    </i>
    <i r="1">
      <x/>
    </i>
    <i r="2">
      <x v="600"/>
    </i>
    <i>
      <x v="609"/>
    </i>
    <i r="1">
      <x/>
    </i>
    <i r="2">
      <x v="606"/>
    </i>
    <i>
      <x v="610"/>
    </i>
    <i r="1">
      <x/>
    </i>
    <i r="2">
      <x v="623"/>
    </i>
    <i>
      <x v="611"/>
    </i>
    <i r="1">
      <x/>
    </i>
    <i r="2">
      <x v="594"/>
    </i>
    <i>
      <x v="612"/>
    </i>
    <i r="1">
      <x/>
    </i>
    <i r="2">
      <x v="619"/>
    </i>
    <i>
      <x v="613"/>
    </i>
    <i r="1">
      <x/>
    </i>
    <i r="2">
      <x v="596"/>
    </i>
    <i>
      <x v="614"/>
    </i>
    <i r="1">
      <x/>
    </i>
    <i r="2">
      <x v="601"/>
    </i>
    <i>
      <x v="615"/>
    </i>
    <i r="1">
      <x/>
    </i>
    <i r="2">
      <x v="617"/>
    </i>
    <i>
      <x v="616"/>
    </i>
    <i r="1">
      <x/>
    </i>
    <i r="2">
      <x v="611"/>
    </i>
    <i>
      <x v="617"/>
    </i>
    <i r="1">
      <x/>
    </i>
    <i r="2">
      <x v="599"/>
    </i>
    <i>
      <x v="618"/>
    </i>
    <i r="1">
      <x/>
    </i>
    <i r="2">
      <x v="602"/>
    </i>
    <i>
      <x v="619"/>
    </i>
    <i r="1">
      <x/>
    </i>
    <i r="2">
      <x v="604"/>
    </i>
    <i>
      <x v="620"/>
    </i>
    <i r="1">
      <x/>
    </i>
    <i r="2">
      <x v="612"/>
    </i>
    <i>
      <x v="621"/>
    </i>
    <i r="1">
      <x/>
    </i>
    <i r="2">
      <x v="614"/>
    </i>
    <i>
      <x v="622"/>
    </i>
    <i r="1">
      <x/>
    </i>
    <i r="2">
      <x v="620"/>
    </i>
    <i>
      <x v="623"/>
    </i>
    <i r="1">
      <x/>
    </i>
    <i r="2">
      <x v="626"/>
    </i>
    <i>
      <x v="624"/>
    </i>
    <i r="1">
      <x/>
    </i>
    <i r="2">
      <x v="598"/>
    </i>
    <i>
      <x v="625"/>
    </i>
    <i r="1">
      <x/>
    </i>
    <i r="2">
      <x v="605"/>
    </i>
    <i>
      <x v="626"/>
    </i>
    <i r="1">
      <x/>
    </i>
    <i r="2">
      <x v="618"/>
    </i>
    <i>
      <x v="627"/>
    </i>
    <i r="1">
      <x/>
    </i>
    <i r="2">
      <x v="595"/>
    </i>
    <i>
      <x v="628"/>
    </i>
    <i r="1">
      <x/>
    </i>
    <i r="2">
      <x v="624"/>
    </i>
    <i>
      <x v="629"/>
    </i>
    <i r="1">
      <x/>
    </i>
    <i r="2">
      <x v="634"/>
    </i>
    <i>
      <x v="630"/>
    </i>
    <i r="1">
      <x/>
    </i>
    <i r="2">
      <x v="629"/>
    </i>
    <i>
      <x v="631"/>
    </i>
    <i r="1">
      <x/>
    </i>
    <i r="2">
      <x v="632"/>
    </i>
    <i>
      <x v="632"/>
    </i>
    <i r="1">
      <x/>
    </i>
    <i r="2">
      <x v="636"/>
    </i>
    <i>
      <x v="633"/>
    </i>
    <i r="1">
      <x/>
    </i>
    <i r="2">
      <x v="637"/>
    </i>
    <i>
      <x v="634"/>
    </i>
    <i r="1">
      <x/>
    </i>
    <i r="2">
      <x v="630"/>
    </i>
    <i>
      <x v="635"/>
    </i>
    <i r="1">
      <x/>
    </i>
    <i r="2">
      <x v="633"/>
    </i>
    <i>
      <x v="636"/>
    </i>
    <i r="1">
      <x/>
    </i>
    <i r="2">
      <x v="631"/>
    </i>
    <i>
      <x v="637"/>
    </i>
    <i r="1">
      <x/>
    </i>
    <i r="2">
      <x v="635"/>
    </i>
    <i>
      <x v="638"/>
    </i>
    <i r="1">
      <x/>
    </i>
    <i r="2">
      <x v="638"/>
    </i>
    <i>
      <x v="639"/>
    </i>
    <i r="1">
      <x/>
    </i>
    <i r="2">
      <x v="639"/>
    </i>
    <i>
      <x v="640"/>
    </i>
    <i r="1">
      <x/>
    </i>
    <i r="2">
      <x v="640"/>
    </i>
    <i>
      <x v="641"/>
    </i>
    <i r="1">
      <x/>
    </i>
    <i r="2">
      <x v="641"/>
    </i>
    <i>
      <x v="642"/>
    </i>
    <i r="1">
      <x/>
    </i>
    <i r="2">
      <x v="642"/>
    </i>
    <i>
      <x v="643"/>
    </i>
    <i r="1">
      <x v="1"/>
    </i>
    <i r="2">
      <x v="64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95AAB-9155-4DA5-8787-8E2DCA521DD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0:G4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>
      <items count="644">
        <item x="618"/>
        <item x="393"/>
        <item x="140"/>
        <item x="422"/>
        <item x="460"/>
        <item x="519"/>
        <item x="208"/>
        <item x="427"/>
        <item x="257"/>
        <item x="56"/>
        <item x="120"/>
        <item x="112"/>
        <item x="124"/>
        <item x="230"/>
        <item x="438"/>
        <item x="8"/>
        <item x="150"/>
        <item x="591"/>
        <item x="486"/>
        <item x="628"/>
        <item x="83"/>
        <item x="204"/>
        <item x="338"/>
        <item x="148"/>
        <item x="138"/>
        <item x="365"/>
        <item x="461"/>
        <item x="4"/>
        <item x="118"/>
        <item x="231"/>
        <item x="129"/>
        <item x="630"/>
        <item x="536"/>
        <item x="397"/>
        <item x="468"/>
        <item x="326"/>
        <item x="601"/>
        <item x="160"/>
        <item x="571"/>
        <item x="474"/>
        <item x="363"/>
        <item x="239"/>
        <item x="510"/>
        <item x="302"/>
        <item x="298"/>
        <item x="276"/>
        <item x="246"/>
        <item x="421"/>
        <item x="622"/>
        <item x="512"/>
        <item x="146"/>
        <item x="262"/>
        <item x="517"/>
        <item x="211"/>
        <item x="189"/>
        <item x="454"/>
        <item x="117"/>
        <item x="502"/>
        <item x="631"/>
        <item x="157"/>
        <item x="521"/>
        <item x="74"/>
        <item x="547"/>
        <item x="370"/>
        <item x="127"/>
        <item x="542"/>
        <item x="459"/>
        <item x="277"/>
        <item x="296"/>
        <item x="401"/>
        <item x="209"/>
        <item x="311"/>
        <item x="617"/>
        <item x="597"/>
        <item x="352"/>
        <item x="485"/>
        <item x="503"/>
        <item x="260"/>
        <item x="355"/>
        <item x="207"/>
        <item x="196"/>
        <item x="367"/>
        <item x="175"/>
        <item x="28"/>
        <item x="198"/>
        <item x="602"/>
        <item x="291"/>
        <item x="626"/>
        <item x="568"/>
        <item x="372"/>
        <item x="3"/>
        <item x="224"/>
        <item x="89"/>
        <item x="382"/>
        <item x="279"/>
        <item x="324"/>
        <item x="556"/>
        <item x="549"/>
        <item x="188"/>
        <item x="603"/>
        <item x="514"/>
        <item x="221"/>
        <item x="251"/>
        <item x="488"/>
        <item x="165"/>
        <item x="85"/>
        <item x="316"/>
        <item x="452"/>
        <item x="528"/>
        <item x="350"/>
        <item x="392"/>
        <item x="75"/>
        <item x="222"/>
        <item x="582"/>
        <item x="472"/>
        <item x="229"/>
        <item x="499"/>
        <item x="627"/>
        <item x="275"/>
        <item x="236"/>
        <item x="434"/>
        <item x="504"/>
        <item x="114"/>
        <item x="410"/>
        <item x="359"/>
        <item x="629"/>
        <item x="194"/>
        <item x="36"/>
        <item x="600"/>
        <item x="245"/>
        <item x="297"/>
        <item x="385"/>
        <item x="613"/>
        <item x="416"/>
        <item x="0"/>
        <item x="113"/>
        <item x="51"/>
        <item x="234"/>
        <item x="637"/>
        <item x="125"/>
        <item x="412"/>
        <item x="108"/>
        <item x="247"/>
        <item x="353"/>
        <item x="294"/>
        <item x="214"/>
        <item x="439"/>
        <item x="50"/>
        <item x="638"/>
        <item x="404"/>
        <item x="380"/>
        <item x="278"/>
        <item x="107"/>
        <item x="583"/>
        <item x="543"/>
        <item x="321"/>
        <item x="553"/>
        <item x="206"/>
        <item x="23"/>
        <item x="592"/>
        <item x="269"/>
        <item x="1"/>
        <item x="172"/>
        <item x="53"/>
        <item x="295"/>
        <item x="101"/>
        <item x="640"/>
        <item x="79"/>
        <item x="261"/>
        <item x="98"/>
        <item x="554"/>
        <item x="197"/>
        <item x="153"/>
        <item x="584"/>
        <item x="337"/>
        <item x="476"/>
        <item x="441"/>
        <item x="344"/>
        <item x="106"/>
        <item x="588"/>
        <item x="533"/>
        <item x="505"/>
        <item x="426"/>
        <item x="513"/>
        <item x="241"/>
        <item x="152"/>
        <item x="456"/>
        <item x="223"/>
        <item x="103"/>
        <item x="589"/>
        <item x="134"/>
        <item x="621"/>
        <item x="351"/>
        <item x="484"/>
        <item x="616"/>
        <item x="60"/>
        <item x="109"/>
        <item x="137"/>
        <item x="252"/>
        <item x="624"/>
        <item x="462"/>
        <item x="34"/>
        <item x="178"/>
        <item x="569"/>
        <item x="339"/>
        <item x="529"/>
        <item x="463"/>
        <item x="522"/>
        <item x="497"/>
        <item x="217"/>
        <item x="44"/>
        <item x="561"/>
        <item x="268"/>
        <item x="205"/>
        <item x="581"/>
        <item x="12"/>
        <item x="71"/>
        <item x="501"/>
        <item x="477"/>
        <item x="282"/>
        <item x="100"/>
        <item x="546"/>
        <item x="185"/>
        <item x="19"/>
        <item x="292"/>
        <item x="609"/>
        <item x="590"/>
        <item x="535"/>
        <item x="374"/>
        <item x="388"/>
        <item x="557"/>
        <item x="442"/>
        <item x="132"/>
        <item x="389"/>
        <item x="361"/>
        <item x="82"/>
        <item x="348"/>
        <item x="216"/>
        <item x="586"/>
        <item x="87"/>
        <item x="240"/>
        <item x="573"/>
        <item x="418"/>
        <item x="285"/>
        <item x="38"/>
        <item x="46"/>
        <item x="15"/>
        <item x="641"/>
        <item x="563"/>
        <item x="309"/>
        <item x="537"/>
        <item x="233"/>
        <item x="133"/>
        <item x="253"/>
        <item x="54"/>
        <item x="373"/>
        <item x="210"/>
        <item x="293"/>
        <item x="300"/>
        <item x="145"/>
        <item x="336"/>
        <item x="6"/>
        <item x="366"/>
        <item x="572"/>
        <item x="396"/>
        <item x="91"/>
        <item x="400"/>
        <item x="116"/>
        <item x="283"/>
        <item x="559"/>
        <item x="386"/>
        <item x="30"/>
        <item x="551"/>
        <item x="433"/>
        <item x="308"/>
        <item x="5"/>
        <item x="481"/>
        <item x="156"/>
        <item x="587"/>
        <item x="290"/>
        <item x="440"/>
        <item x="451"/>
        <item x="48"/>
        <item x="24"/>
        <item x="119"/>
        <item x="524"/>
        <item x="544"/>
        <item x="202"/>
        <item x="267"/>
        <item x="259"/>
        <item x="430"/>
        <item x="76"/>
        <item x="218"/>
        <item x="341"/>
        <item x="340"/>
        <item x="548"/>
        <item x="305"/>
        <item x="215"/>
        <item x="141"/>
        <item x="182"/>
        <item x="314"/>
        <item x="258"/>
        <item x="448"/>
        <item x="619"/>
        <item x="304"/>
        <item x="446"/>
        <item x="78"/>
        <item x="419"/>
        <item x="391"/>
        <item x="39"/>
        <item x="377"/>
        <item x="467"/>
        <item x="281"/>
        <item x="31"/>
        <item x="520"/>
        <item x="414"/>
        <item x="183"/>
        <item x="487"/>
        <item x="244"/>
        <item x="136"/>
        <item x="334"/>
        <item x="123"/>
        <item x="96"/>
        <item x="97"/>
        <item x="360"/>
        <item x="566"/>
        <item x="320"/>
        <item x="93"/>
        <item x="470"/>
        <item x="471"/>
        <item x="538"/>
        <item x="420"/>
        <item x="35"/>
        <item x="429"/>
        <item x="545"/>
        <item x="243"/>
        <item x="65"/>
        <item x="492"/>
        <item x="310"/>
        <item x="335"/>
        <item x="201"/>
        <item x="318"/>
        <item x="29"/>
        <item x="541"/>
        <item x="611"/>
        <item x="40"/>
        <item x="455"/>
        <item x="43"/>
        <item x="319"/>
        <item x="615"/>
        <item x="580"/>
        <item x="143"/>
        <item x="395"/>
        <item x="371"/>
        <item x="443"/>
        <item x="163"/>
        <item x="105"/>
        <item x="122"/>
        <item x="10"/>
        <item x="32"/>
        <item x="170"/>
        <item x="102"/>
        <item x="585"/>
        <item x="164"/>
        <item x="115"/>
        <item x="498"/>
        <item x="26"/>
        <item x="151"/>
        <item x="635"/>
        <item x="92"/>
        <item x="303"/>
        <item x="47"/>
        <item x="61"/>
        <item x="22"/>
        <item x="227"/>
        <item x="17"/>
        <item x="299"/>
        <item x="59"/>
        <item x="354"/>
        <item x="289"/>
        <item x="639"/>
        <item x="213"/>
        <item x="387"/>
        <item x="280"/>
        <item x="90"/>
        <item x="104"/>
        <item x="161"/>
        <item x="579"/>
        <item x="195"/>
        <item x="599"/>
        <item x="88"/>
        <item x="408"/>
        <item x="595"/>
        <item x="192"/>
        <item x="323"/>
        <item x="193"/>
        <item x="428"/>
        <item x="483"/>
        <item x="407"/>
        <item x="84"/>
        <item x="625"/>
        <item x="342"/>
        <item x="464"/>
        <item x="610"/>
        <item x="265"/>
        <item x="14"/>
        <item x="450"/>
        <item x="508"/>
        <item x="346"/>
        <item x="64"/>
        <item x="349"/>
        <item x="242"/>
        <item x="73"/>
        <item x="445"/>
        <item x="411"/>
        <item x="181"/>
        <item x="238"/>
        <item x="332"/>
        <item x="226"/>
        <item x="254"/>
        <item x="594"/>
        <item x="539"/>
        <item x="398"/>
        <item x="144"/>
        <item x="565"/>
        <item x="390"/>
        <item x="530"/>
        <item x="167"/>
        <item x="94"/>
        <item x="596"/>
        <item x="458"/>
        <item x="531"/>
        <item x="623"/>
        <item x="186"/>
        <item x="423"/>
        <item x="376"/>
        <item x="284"/>
        <item x="200"/>
        <item x="173"/>
        <item x="532"/>
        <item x="155"/>
        <item x="328"/>
        <item x="147"/>
        <item x="424"/>
        <item x="606"/>
        <item x="256"/>
        <item x="362"/>
        <item x="235"/>
        <item x="394"/>
        <item x="168"/>
        <item x="431"/>
        <item x="570"/>
        <item x="154"/>
        <item x="131"/>
        <item x="604"/>
        <item x="68"/>
        <item x="437"/>
        <item x="358"/>
        <item x="593"/>
        <item x="608"/>
        <item x="121"/>
        <item x="345"/>
        <item x="457"/>
        <item x="343"/>
        <item x="232"/>
        <item x="69"/>
        <item x="409"/>
        <item x="375"/>
        <item x="20"/>
        <item x="212"/>
        <item x="307"/>
        <item x="633"/>
        <item x="42"/>
        <item x="199"/>
        <item x="482"/>
        <item x="288"/>
        <item x="495"/>
        <item x="135"/>
        <item x="21"/>
        <item x="558"/>
        <item x="37"/>
        <item x="301"/>
        <item x="417"/>
        <item x="399"/>
        <item x="27"/>
        <item x="357"/>
        <item x="415"/>
        <item x="286"/>
        <item x="356"/>
        <item x="49"/>
        <item x="7"/>
        <item x="550"/>
        <item x="272"/>
        <item x="575"/>
        <item x="166"/>
        <item x="57"/>
        <item x="174"/>
        <item x="270"/>
        <item x="449"/>
        <item x="379"/>
        <item x="511"/>
        <item x="436"/>
        <item x="317"/>
        <item x="255"/>
        <item x="315"/>
        <item x="478"/>
        <item x="177"/>
        <item x="249"/>
        <item x="496"/>
        <item x="516"/>
        <item x="45"/>
        <item x="425"/>
        <item x="330"/>
        <item x="489"/>
        <item x="527"/>
        <item x="403"/>
        <item x="250"/>
        <item x="329"/>
        <item x="203"/>
        <item x="312"/>
        <item x="540"/>
        <item x="80"/>
        <item x="469"/>
        <item x="41"/>
        <item x="598"/>
        <item x="273"/>
        <item x="263"/>
        <item x="191"/>
        <item x="171"/>
        <item x="264"/>
        <item x="111"/>
        <item x="162"/>
        <item x="447"/>
        <item x="18"/>
        <item x="72"/>
        <item x="149"/>
        <item x="634"/>
        <item x="331"/>
        <item x="52"/>
        <item x="62"/>
        <item x="81"/>
        <item x="562"/>
        <item x="560"/>
        <item x="612"/>
        <item x="11"/>
        <item x="63"/>
        <item x="179"/>
        <item x="313"/>
        <item x="490"/>
        <item x="159"/>
        <item x="453"/>
        <item x="525"/>
        <item x="219"/>
        <item x="555"/>
        <item x="465"/>
        <item x="500"/>
        <item x="364"/>
        <item x="110"/>
        <item x="577"/>
        <item x="493"/>
        <item x="2"/>
        <item x="614"/>
        <item x="466"/>
        <item x="534"/>
        <item x="126"/>
        <item x="632"/>
        <item x="169"/>
        <item x="77"/>
        <item x="405"/>
        <item x="381"/>
        <item x="475"/>
        <item x="190"/>
        <item x="506"/>
        <item x="369"/>
        <item x="67"/>
        <item x="564"/>
        <item x="266"/>
        <item x="16"/>
        <item x="55"/>
        <item x="636"/>
        <item x="368"/>
        <item x="33"/>
        <item x="607"/>
        <item x="473"/>
        <item x="402"/>
        <item x="187"/>
        <item x="130"/>
        <item x="271"/>
        <item x="642"/>
        <item x="509"/>
        <item x="378"/>
        <item x="237"/>
        <item x="552"/>
        <item x="139"/>
        <item x="507"/>
        <item x="66"/>
        <item x="180"/>
        <item x="25"/>
        <item x="70"/>
        <item x="406"/>
        <item x="435"/>
        <item x="228"/>
        <item x="347"/>
        <item x="322"/>
        <item x="128"/>
        <item x="518"/>
        <item x="248"/>
        <item x="515"/>
        <item x="432"/>
        <item x="574"/>
        <item x="491"/>
        <item x="287"/>
        <item x="327"/>
        <item x="383"/>
        <item x="413"/>
        <item x="523"/>
        <item x="526"/>
        <item x="494"/>
        <item x="444"/>
        <item x="605"/>
        <item x="620"/>
        <item x="13"/>
        <item x="384"/>
        <item x="306"/>
        <item x="325"/>
        <item x="176"/>
        <item x="58"/>
        <item x="480"/>
        <item x="220"/>
        <item x="99"/>
        <item x="86"/>
        <item x="576"/>
        <item x="567"/>
        <item x="158"/>
        <item x="142"/>
        <item x="95"/>
        <item x="333"/>
        <item x="578"/>
        <item x="479"/>
        <item x="184"/>
        <item x="274"/>
        <item x="225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7"/>
    <field x="1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AB618-9E4B-4D5C-BAE8-3C6D88161AD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id wise and order date wise max of sales ">
  <location ref="C19:D1306" firstHeaderRow="1" firstDataRow="1" firstDataCol="1"/>
  <pivotFields count="21">
    <pivotField showAll="0"/>
    <pivotField axis="axisRow" showAll="0">
      <items count="644">
        <item x="169"/>
        <item x="423"/>
        <item x="501"/>
        <item x="621"/>
        <item x="7"/>
        <item x="28"/>
        <item x="540"/>
        <item x="276"/>
        <item x="294"/>
        <item x="548"/>
        <item x="639"/>
        <item x="64"/>
        <item x="370"/>
        <item x="125"/>
        <item x="122"/>
        <item x="261"/>
        <item x="270"/>
        <item x="608"/>
        <item x="161"/>
        <item x="189"/>
        <item x="618"/>
        <item x="52"/>
        <item x="3"/>
        <item x="154"/>
        <item x="584"/>
        <item x="458"/>
        <item x="454"/>
        <item x="265"/>
        <item x="328"/>
        <item x="75"/>
        <item x="411"/>
        <item x="365"/>
        <item x="128"/>
        <item x="390"/>
        <item x="82"/>
        <item x="552"/>
        <item x="443"/>
        <item x="483"/>
        <item x="296"/>
        <item x="527"/>
        <item x="373"/>
        <item x="366"/>
        <item x="528"/>
        <item x="323"/>
        <item x="185"/>
        <item x="363"/>
        <item x="486"/>
        <item x="138"/>
        <item x="526"/>
        <item x="227"/>
        <item x="103"/>
        <item x="314"/>
        <item x="89"/>
        <item x="596"/>
        <item x="188"/>
        <item x="610"/>
        <item x="297"/>
        <item x="303"/>
        <item x="184"/>
        <item x="226"/>
        <item x="433"/>
        <item x="300"/>
        <item x="260"/>
        <item x="34"/>
        <item x="439"/>
        <item x="74"/>
        <item x="85"/>
        <item x="207"/>
        <item x="574"/>
        <item x="9"/>
        <item x="557"/>
        <item x="182"/>
        <item x="214"/>
        <item x="567"/>
        <item x="400"/>
        <item x="21"/>
        <item x="603"/>
        <item x="510"/>
        <item x="470"/>
        <item x="298"/>
        <item x="230"/>
        <item x="556"/>
        <item x="484"/>
        <item x="481"/>
        <item x="551"/>
        <item x="187"/>
        <item x="211"/>
        <item x="249"/>
        <item x="428"/>
        <item x="282"/>
        <item x="132"/>
        <item x="254"/>
        <item x="80"/>
        <item x="333"/>
        <item x="275"/>
        <item x="325"/>
        <item x="511"/>
        <item x="130"/>
        <item x="131"/>
        <item x="278"/>
        <item x="79"/>
        <item x="562"/>
        <item x="8"/>
        <item x="129"/>
        <item x="375"/>
        <item x="431"/>
        <item x="291"/>
        <item x="94"/>
        <item x="84"/>
        <item x="201"/>
        <item x="332"/>
        <item x="583"/>
        <item x="335"/>
        <item x="615"/>
        <item x="352"/>
        <item x="53"/>
        <item x="345"/>
        <item x="313"/>
        <item x="500"/>
        <item x="607"/>
        <item x="598"/>
        <item x="362"/>
        <item x="321"/>
        <item x="571"/>
        <item x="23"/>
        <item x="384"/>
        <item x="492"/>
        <item x="16"/>
        <item x="426"/>
        <item x="68"/>
        <item x="579"/>
        <item x="258"/>
        <item x="71"/>
        <item x="516"/>
        <item x="479"/>
        <item x="475"/>
        <item x="153"/>
        <item x="425"/>
        <item x="518"/>
        <item x="403"/>
        <item x="330"/>
        <item x="67"/>
        <item x="464"/>
        <item x="151"/>
        <item x="450"/>
        <item x="331"/>
        <item x="402"/>
        <item x="626"/>
        <item x="340"/>
        <item x="224"/>
        <item x="421"/>
        <item x="592"/>
        <item x="49"/>
        <item x="575"/>
        <item x="429"/>
        <item x="215"/>
        <item x="149"/>
        <item x="119"/>
        <item x="257"/>
        <item x="371"/>
        <item x="568"/>
        <item x="222"/>
        <item x="625"/>
        <item x="192"/>
        <item x="206"/>
        <item x="26"/>
        <item x="444"/>
        <item x="532"/>
        <item x="78"/>
        <item x="137"/>
        <item x="237"/>
        <item x="634"/>
        <item x="537"/>
        <item x="412"/>
        <item x="515"/>
        <item x="259"/>
        <item x="359"/>
        <item x="304"/>
        <item x="124"/>
        <item x="418"/>
        <item x="505"/>
        <item x="194"/>
        <item x="488"/>
        <item x="95"/>
        <item x="327"/>
        <item x="317"/>
        <item x="531"/>
        <item x="40"/>
        <item x="220"/>
        <item x="35"/>
        <item x="415"/>
        <item x="561"/>
        <item x="589"/>
        <item x="181"/>
        <item x="447"/>
        <item x="280"/>
        <item x="112"/>
        <item x="611"/>
        <item x="116"/>
        <item x="473"/>
        <item x="480"/>
        <item x="197"/>
        <item x="198"/>
        <item x="322"/>
        <item x="347"/>
        <item x="329"/>
        <item x="98"/>
        <item x="355"/>
        <item x="586"/>
        <item x="576"/>
        <item x="241"/>
        <item x="97"/>
        <item x="183"/>
        <item x="18"/>
        <item x="627"/>
        <item x="342"/>
        <item x="55"/>
        <item x="628"/>
        <item x="81"/>
        <item x="281"/>
        <item x="346"/>
        <item x="307"/>
        <item x="318"/>
        <item x="24"/>
        <item x="30"/>
        <item x="485"/>
        <item x="357"/>
        <item x="160"/>
        <item x="420"/>
        <item x="452"/>
        <item x="39"/>
        <item x="338"/>
        <item x="180"/>
        <item x="445"/>
        <item x="274"/>
        <item x="121"/>
        <item x="25"/>
        <item x="467"/>
        <item x="358"/>
        <item x="419"/>
        <item x="495"/>
        <item x="120"/>
        <item x="264"/>
        <item x="339"/>
        <item x="409"/>
        <item x="212"/>
        <item x="73"/>
        <item x="69"/>
        <item x="65"/>
        <item x="266"/>
        <item x="284"/>
        <item x="15"/>
        <item x="641"/>
        <item x="503"/>
        <item x="20"/>
        <item x="520"/>
        <item x="29"/>
        <item x="228"/>
        <item x="599"/>
        <item x="448"/>
        <item x="233"/>
        <item x="609"/>
        <item x="12"/>
        <item x="391"/>
        <item x="489"/>
        <item x="545"/>
        <item x="111"/>
        <item x="482"/>
        <item x="337"/>
        <item x="204"/>
        <item x="33"/>
        <item x="219"/>
        <item x="172"/>
        <item x="437"/>
        <item x="51"/>
        <item x="612"/>
        <item x="642"/>
        <item x="140"/>
        <item x="46"/>
        <item x="96"/>
        <item x="539"/>
        <item x="578"/>
        <item x="563"/>
        <item x="407"/>
        <item x="416"/>
        <item x="349"/>
        <item x="299"/>
        <item x="150"/>
        <item x="619"/>
        <item x="209"/>
        <item x="517"/>
        <item x="368"/>
        <item x="247"/>
        <item x="10"/>
        <item x="141"/>
        <item x="1"/>
        <item x="538"/>
        <item x="316"/>
        <item x="308"/>
        <item x="123"/>
        <item x="127"/>
        <item x="629"/>
        <item x="591"/>
        <item x="394"/>
        <item x="61"/>
        <item x="105"/>
        <item x="474"/>
        <item x="386"/>
        <item x="491"/>
        <item x="512"/>
        <item x="106"/>
        <item x="243"/>
        <item x="601"/>
        <item x="174"/>
        <item x="382"/>
        <item x="166"/>
        <item x="44"/>
        <item x="272"/>
        <item x="0"/>
        <item x="361"/>
        <item x="295"/>
        <item x="372"/>
        <item x="72"/>
        <item x="383"/>
        <item x="104"/>
        <item x="613"/>
        <item x="144"/>
        <item x="570"/>
        <item x="465"/>
        <item x="83"/>
        <item x="432"/>
        <item x="637"/>
        <item x="102"/>
        <item x="455"/>
        <item x="301"/>
        <item x="45"/>
        <item x="66"/>
        <item x="38"/>
        <item x="502"/>
        <item x="631"/>
        <item x="246"/>
        <item x="5"/>
        <item x="292"/>
        <item x="350"/>
        <item x="232"/>
        <item x="133"/>
        <item x="70"/>
        <item x="600"/>
        <item x="252"/>
        <item x="449"/>
        <item x="312"/>
        <item x="522"/>
        <item x="353"/>
        <item x="177"/>
        <item x="640"/>
        <item x="203"/>
        <item x="190"/>
        <item x="22"/>
        <item x="326"/>
        <item x="380"/>
        <item x="392"/>
        <item x="519"/>
        <item x="287"/>
        <item x="155"/>
        <item x="210"/>
        <item x="320"/>
        <item x="158"/>
        <item x="441"/>
        <item x="594"/>
        <item x="277"/>
        <item x="145"/>
        <item x="88"/>
        <item x="283"/>
        <item x="462"/>
        <item x="389"/>
        <item x="62"/>
        <item x="405"/>
        <item x="542"/>
        <item x="348"/>
        <item x="336"/>
        <item x="604"/>
        <item x="293"/>
        <item x="86"/>
        <item x="14"/>
        <item x="92"/>
        <item x="525"/>
        <item x="430"/>
        <item x="417"/>
        <item x="379"/>
        <item x="469"/>
        <item x="590"/>
        <item x="623"/>
        <item x="555"/>
        <item x="605"/>
        <item x="393"/>
        <item x="199"/>
        <item x="315"/>
        <item x="4"/>
        <item x="496"/>
        <item x="343"/>
        <item x="401"/>
        <item x="566"/>
        <item x="377"/>
        <item x="367"/>
        <item x="163"/>
        <item x="162"/>
        <item x="235"/>
        <item x="117"/>
        <item x="221"/>
        <item x="213"/>
        <item x="48"/>
        <item x="544"/>
        <item x="17"/>
        <item x="565"/>
        <item x="387"/>
        <item x="341"/>
        <item x="497"/>
        <item x="165"/>
        <item x="476"/>
        <item x="529"/>
        <item x="440"/>
        <item x="396"/>
        <item x="167"/>
        <item x="616"/>
        <item x="273"/>
        <item x="245"/>
        <item x="91"/>
        <item x="126"/>
        <item x="523"/>
        <item x="175"/>
        <item x="602"/>
        <item x="250"/>
        <item x="587"/>
        <item x="319"/>
        <item x="549"/>
        <item x="269"/>
        <item x="487"/>
        <item x="351"/>
        <item x="248"/>
        <item x="305"/>
        <item x="118"/>
        <item x="624"/>
        <item x="306"/>
        <item x="374"/>
        <item x="139"/>
        <item x="535"/>
        <item x="324"/>
        <item x="195"/>
        <item x="285"/>
        <item x="93"/>
        <item x="398"/>
        <item x="113"/>
        <item x="216"/>
        <item x="536"/>
        <item x="494"/>
        <item x="311"/>
        <item x="630"/>
        <item x="498"/>
        <item x="234"/>
        <item x="534"/>
        <item x="19"/>
        <item x="513"/>
        <item x="186"/>
        <item x="461"/>
        <item x="572"/>
        <item x="164"/>
        <item x="459"/>
        <item x="286"/>
        <item x="267"/>
        <item x="436"/>
        <item x="507"/>
        <item x="376"/>
        <item x="477"/>
        <item x="617"/>
        <item x="143"/>
        <item x="223"/>
        <item x="632"/>
        <item x="453"/>
        <item x="262"/>
        <item x="50"/>
        <item x="577"/>
        <item x="595"/>
        <item x="178"/>
        <item x="547"/>
        <item x="408"/>
        <item x="564"/>
        <item x="493"/>
        <item x="541"/>
        <item x="593"/>
        <item x="170"/>
        <item x="414"/>
        <item x="499"/>
        <item x="134"/>
        <item x="239"/>
        <item x="176"/>
        <item x="63"/>
        <item x="37"/>
        <item x="142"/>
        <item x="168"/>
        <item x="622"/>
        <item x="633"/>
        <item x="217"/>
        <item x="43"/>
        <item x="533"/>
        <item x="468"/>
        <item x="354"/>
        <item x="427"/>
        <item x="638"/>
        <item x="508"/>
        <item x="356"/>
        <item x="101"/>
        <item x="309"/>
        <item x="42"/>
        <item x="466"/>
        <item x="255"/>
        <item x="435"/>
        <item x="388"/>
        <item x="208"/>
        <item x="238"/>
        <item x="108"/>
        <item x="196"/>
        <item x="115"/>
        <item x="218"/>
        <item x="422"/>
        <item x="636"/>
        <item x="472"/>
        <item x="159"/>
        <item x="446"/>
        <item x="413"/>
        <item x="490"/>
        <item x="620"/>
        <item x="244"/>
        <item x="559"/>
        <item x="364"/>
        <item x="76"/>
        <item x="288"/>
        <item x="231"/>
        <item x="110"/>
        <item x="179"/>
        <item x="236"/>
        <item x="478"/>
        <item x="289"/>
        <item x="256"/>
        <item x="569"/>
        <item x="146"/>
        <item x="588"/>
        <item x="451"/>
        <item x="57"/>
        <item x="157"/>
        <item x="156"/>
        <item x="173"/>
        <item x="550"/>
        <item x="395"/>
        <item x="56"/>
        <item x="100"/>
        <item x="302"/>
        <item x="2"/>
        <item x="6"/>
        <item x="530"/>
        <item x="334"/>
        <item x="506"/>
        <item x="31"/>
        <item x="54"/>
        <item x="200"/>
        <item x="99"/>
        <item x="13"/>
        <item x="344"/>
        <item x="47"/>
        <item x="279"/>
        <item x="107"/>
        <item x="406"/>
        <item x="580"/>
        <item x="553"/>
        <item x="27"/>
        <item x="404"/>
        <item x="585"/>
        <item x="152"/>
        <item x="229"/>
        <item x="457"/>
        <item x="381"/>
        <item x="193"/>
        <item x="597"/>
        <item x="410"/>
        <item x="399"/>
        <item x="310"/>
        <item x="581"/>
        <item x="191"/>
        <item x="242"/>
        <item x="171"/>
        <item x="59"/>
        <item x="521"/>
        <item x="554"/>
        <item x="424"/>
        <item x="147"/>
        <item x="360"/>
        <item x="240"/>
        <item x="514"/>
        <item x="135"/>
        <item x="378"/>
        <item x="271"/>
        <item x="136"/>
        <item x="268"/>
        <item x="225"/>
        <item x="635"/>
        <item x="438"/>
        <item x="582"/>
        <item x="263"/>
        <item x="58"/>
        <item x="460"/>
        <item x="558"/>
        <item x="41"/>
        <item x="524"/>
        <item x="560"/>
        <item x="463"/>
        <item x="90"/>
        <item x="504"/>
        <item x="32"/>
        <item x="369"/>
        <item x="251"/>
        <item x="36"/>
        <item x="205"/>
        <item x="87"/>
        <item x="385"/>
        <item x="202"/>
        <item x="573"/>
        <item x="434"/>
        <item x="148"/>
        <item x="546"/>
        <item x="114"/>
        <item x="471"/>
        <item x="509"/>
        <item x="77"/>
        <item x="109"/>
        <item x="397"/>
        <item x="290"/>
        <item x="11"/>
        <item x="456"/>
        <item x="543"/>
        <item x="614"/>
        <item x="606"/>
        <item x="442"/>
        <item x="60"/>
        <item x="253"/>
        <item t="default"/>
      </items>
    </pivotField>
    <pivotField axis="axisRow" showAll="0">
      <items count="471">
        <item x="241"/>
        <item x="181"/>
        <item x="155"/>
        <item x="437"/>
        <item x="459"/>
        <item x="96"/>
        <item x="426"/>
        <item x="351"/>
        <item x="323"/>
        <item x="121"/>
        <item x="124"/>
        <item x="150"/>
        <item x="45"/>
        <item x="87"/>
        <item x="89"/>
        <item x="306"/>
        <item x="338"/>
        <item x="58"/>
        <item x="52"/>
        <item x="399"/>
        <item x="296"/>
        <item x="391"/>
        <item x="255"/>
        <item x="225"/>
        <item x="109"/>
        <item x="445"/>
        <item x="217"/>
        <item x="356"/>
        <item x="184"/>
        <item x="300"/>
        <item x="260"/>
        <item x="446"/>
        <item x="441"/>
        <item x="86"/>
        <item x="191"/>
        <item x="299"/>
        <item x="84"/>
        <item x="460"/>
        <item x="363"/>
        <item x="34"/>
        <item x="246"/>
        <item x="179"/>
        <item x="231"/>
        <item x="252"/>
        <item x="357"/>
        <item x="321"/>
        <item x="50"/>
        <item x="118"/>
        <item x="136"/>
        <item x="221"/>
        <item x="223"/>
        <item x="277"/>
        <item x="111"/>
        <item x="29"/>
        <item x="282"/>
        <item x="442"/>
        <item x="344"/>
        <item x="284"/>
        <item x="322"/>
        <item x="203"/>
        <item x="116"/>
        <item x="211"/>
        <item x="398"/>
        <item x="311"/>
        <item x="452"/>
        <item x="256"/>
        <item x="53"/>
        <item x="37"/>
        <item x="307"/>
        <item x="285"/>
        <item x="212"/>
        <item x="72"/>
        <item x="56"/>
        <item x="28"/>
        <item x="5"/>
        <item x="208"/>
        <item x="245"/>
        <item x="393"/>
        <item x="383"/>
        <item x="102"/>
        <item x="420"/>
        <item x="273"/>
        <item x="82"/>
        <item x="361"/>
        <item x="43"/>
        <item x="162"/>
        <item x="465"/>
        <item x="271"/>
        <item x="57"/>
        <item x="40"/>
        <item x="325"/>
        <item x="242"/>
        <item x="310"/>
        <item x="226"/>
        <item x="140"/>
        <item x="220"/>
        <item x="416"/>
        <item x="396"/>
        <item x="176"/>
        <item x="219"/>
        <item x="450"/>
        <item x="340"/>
        <item x="411"/>
        <item x="175"/>
        <item x="70"/>
        <item x="366"/>
        <item x="180"/>
        <item x="187"/>
        <item x="380"/>
        <item x="350"/>
        <item x="429"/>
        <item x="126"/>
        <item x="125"/>
        <item x="402"/>
        <item x="100"/>
        <item x="436"/>
        <item x="360"/>
        <item x="123"/>
        <item x="194"/>
        <item x="347"/>
        <item x="71"/>
        <item x="143"/>
        <item x="394"/>
        <item x="0"/>
        <item x="343"/>
        <item x="15"/>
        <item x="146"/>
        <item x="193"/>
        <item x="88"/>
        <item x="216"/>
        <item x="264"/>
        <item x="239"/>
        <item x="166"/>
        <item x="3"/>
        <item x="413"/>
        <item x="276"/>
        <item x="114"/>
        <item x="92"/>
        <item x="397"/>
        <item x="289"/>
        <item x="390"/>
        <item x="301"/>
        <item x="160"/>
        <item x="41"/>
        <item x="10"/>
        <item x="32"/>
        <item x="243"/>
        <item x="286"/>
        <item x="266"/>
        <item x="293"/>
        <item x="254"/>
        <item x="469"/>
        <item x="185"/>
        <item x="164"/>
        <item x="178"/>
        <item x="331"/>
        <item x="190"/>
        <item x="17"/>
        <item x="466"/>
        <item x="103"/>
        <item x="251"/>
        <item x="309"/>
        <item x="431"/>
        <item x="97"/>
        <item x="381"/>
        <item x="274"/>
        <item x="348"/>
        <item x="410"/>
        <item x="20"/>
        <item x="257"/>
        <item x="67"/>
        <item x="291"/>
        <item x="98"/>
        <item x="407"/>
        <item x="430"/>
        <item x="2"/>
        <item x="7"/>
        <item x="364"/>
        <item x="24"/>
        <item x="138"/>
        <item x="353"/>
        <item x="157"/>
        <item x="235"/>
        <item x="404"/>
        <item x="1"/>
        <item x="318"/>
        <item x="122"/>
        <item x="149"/>
        <item x="112"/>
        <item x="33"/>
        <item x="80"/>
        <item x="378"/>
        <item x="419"/>
        <item x="280"/>
        <item x="95"/>
        <item x="292"/>
        <item x="232"/>
        <item x="227"/>
        <item x="218"/>
        <item x="63"/>
        <item x="408"/>
        <item x="8"/>
        <item x="275"/>
        <item x="94"/>
        <item x="59"/>
        <item x="108"/>
        <item x="46"/>
        <item x="35"/>
        <item x="258"/>
        <item x="147"/>
        <item x="228"/>
        <item x="215"/>
        <item x="237"/>
        <item x="283"/>
        <item x="195"/>
        <item x="455"/>
        <item x="73"/>
        <item x="464"/>
        <item x="319"/>
        <item x="371"/>
        <item x="447"/>
        <item x="199"/>
        <item x="362"/>
        <item x="346"/>
        <item x="196"/>
        <item x="448"/>
        <item x="151"/>
        <item x="4"/>
        <item x="261"/>
        <item x="422"/>
        <item x="375"/>
        <item x="204"/>
        <item x="454"/>
        <item x="374"/>
        <item x="153"/>
        <item x="48"/>
        <item x="370"/>
        <item x="302"/>
        <item x="377"/>
        <item x="327"/>
        <item x="75"/>
        <item x="12"/>
        <item x="462"/>
        <item x="303"/>
        <item x="169"/>
        <item x="279"/>
        <item x="440"/>
        <item x="324"/>
        <item x="304"/>
        <item x="425"/>
        <item x="104"/>
        <item x="79"/>
        <item x="11"/>
        <item x="107"/>
        <item x="401"/>
        <item x="69"/>
        <item x="403"/>
        <item x="467"/>
        <item x="388"/>
        <item x="428"/>
        <item x="25"/>
        <item x="42"/>
        <item x="18"/>
        <item x="359"/>
        <item x="247"/>
        <item x="13"/>
        <item x="38"/>
        <item x="379"/>
        <item x="142"/>
        <item x="458"/>
        <item x="85"/>
        <item x="167"/>
        <item x="209"/>
        <item x="23"/>
        <item x="365"/>
        <item x="352"/>
        <item x="200"/>
        <item x="188"/>
        <item x="30"/>
        <item x="60"/>
        <item x="386"/>
        <item x="392"/>
        <item x="335"/>
        <item x="110"/>
        <item x="358"/>
        <item x="372"/>
        <item x="202"/>
        <item x="259"/>
        <item x="316"/>
        <item x="101"/>
        <item x="298"/>
        <item x="19"/>
        <item x="14"/>
        <item x="76"/>
        <item x="210"/>
        <item x="182"/>
        <item x="152"/>
        <item x="336"/>
        <item x="234"/>
        <item x="192"/>
        <item x="154"/>
        <item x="376"/>
        <item x="367"/>
        <item x="233"/>
        <item x="414"/>
        <item x="22"/>
        <item x="238"/>
        <item x="189"/>
        <item x="55"/>
        <item x="21"/>
        <item x="156"/>
        <item x="240"/>
        <item x="66"/>
        <item x="186"/>
        <item x="421"/>
        <item x="159"/>
        <item x="222"/>
        <item x="81"/>
        <item x="295"/>
        <item x="74"/>
        <item x="267"/>
        <item x="213"/>
        <item x="354"/>
        <item x="451"/>
        <item x="148"/>
        <item x="139"/>
        <item x="314"/>
        <item x="128"/>
        <item x="174"/>
        <item x="355"/>
        <item x="272"/>
        <item x="171"/>
        <item x="389"/>
        <item x="172"/>
        <item x="158"/>
        <item x="236"/>
        <item x="412"/>
        <item x="387"/>
        <item x="163"/>
        <item x="207"/>
        <item x="263"/>
        <item x="262"/>
        <item x="345"/>
        <item x="62"/>
        <item x="427"/>
        <item x="395"/>
        <item x="6"/>
        <item x="297"/>
        <item x="61"/>
        <item x="409"/>
        <item x="117"/>
        <item x="197"/>
        <item x="461"/>
        <item x="434"/>
        <item x="328"/>
        <item x="130"/>
        <item x="432"/>
        <item x="281"/>
        <item x="294"/>
        <item x="47"/>
        <item x="415"/>
        <item x="443"/>
        <item x="329"/>
        <item x="83"/>
        <item x="406"/>
        <item x="137"/>
        <item x="26"/>
        <item x="278"/>
        <item x="183"/>
        <item x="144"/>
        <item x="91"/>
        <item x="145"/>
        <item x="385"/>
        <item x="384"/>
        <item x="249"/>
        <item x="120"/>
        <item x="349"/>
        <item x="405"/>
        <item x="417"/>
        <item x="400"/>
        <item x="453"/>
        <item x="51"/>
        <item x="127"/>
        <item x="463"/>
        <item x="435"/>
        <item x="49"/>
        <item x="288"/>
        <item x="439"/>
        <item x="31"/>
        <item x="330"/>
        <item x="333"/>
        <item x="134"/>
        <item x="161"/>
        <item x="250"/>
        <item x="78"/>
        <item x="424"/>
        <item x="308"/>
        <item x="315"/>
        <item x="36"/>
        <item x="332"/>
        <item x="317"/>
        <item x="170"/>
        <item x="54"/>
        <item x="173"/>
        <item x="418"/>
        <item x="457"/>
        <item x="9"/>
        <item x="270"/>
        <item x="224"/>
        <item x="132"/>
        <item x="113"/>
        <item x="433"/>
        <item x="320"/>
        <item x="135"/>
        <item x="456"/>
        <item x="287"/>
        <item x="16"/>
        <item x="313"/>
        <item x="93"/>
        <item x="214"/>
        <item x="133"/>
        <item x="198"/>
        <item x="65"/>
        <item x="423"/>
        <item x="342"/>
        <item x="131"/>
        <item x="268"/>
        <item x="90"/>
        <item x="99"/>
        <item x="77"/>
        <item x="115"/>
        <item x="68"/>
        <item x="105"/>
        <item x="248"/>
        <item x="341"/>
        <item x="177"/>
        <item x="129"/>
        <item x="230"/>
        <item x="334"/>
        <item x="44"/>
        <item x="438"/>
        <item x="244"/>
        <item x="265"/>
        <item x="165"/>
        <item x="326"/>
        <item x="253"/>
        <item x="201"/>
        <item x="468"/>
        <item x="229"/>
        <item x="444"/>
        <item x="27"/>
        <item x="337"/>
        <item x="168"/>
        <item x="312"/>
        <item x="141"/>
        <item x="106"/>
        <item x="205"/>
        <item x="119"/>
        <item x="339"/>
        <item x="368"/>
        <item x="206"/>
        <item x="39"/>
        <item x="449"/>
        <item x="373"/>
        <item x="305"/>
        <item x="64"/>
        <item x="269"/>
        <item x="382"/>
        <item x="290"/>
        <item x="3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2">
        <item x="19"/>
        <item x="16"/>
        <item x="35"/>
        <item x="1"/>
        <item x="21"/>
        <item x="28"/>
        <item x="13"/>
        <item x="37"/>
        <item x="2"/>
        <item x="31"/>
        <item x="10"/>
        <item x="14"/>
        <item x="22"/>
        <item x="0"/>
        <item x="27"/>
        <item x="36"/>
        <item x="30"/>
        <item x="12"/>
        <item x="11"/>
        <item x="34"/>
        <item x="24"/>
        <item x="40"/>
        <item x="8"/>
        <item x="32"/>
        <item x="38"/>
        <item x="29"/>
        <item x="26"/>
        <item x="15"/>
        <item x="3"/>
        <item x="23"/>
        <item x="25"/>
        <item x="20"/>
        <item x="9"/>
        <item x="33"/>
        <item x="39"/>
        <item x="18"/>
        <item x="5"/>
        <item x="7"/>
        <item x="17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2"/>
  </rowFields>
  <rowItems count="1287">
    <i>
      <x/>
    </i>
    <i r="1">
      <x v="187"/>
    </i>
    <i>
      <x v="1"/>
    </i>
    <i r="1">
      <x v="239"/>
    </i>
    <i>
      <x v="2"/>
    </i>
    <i r="1">
      <x v="365"/>
    </i>
    <i>
      <x v="3"/>
    </i>
    <i r="1">
      <x v="70"/>
    </i>
    <i>
      <x v="4"/>
    </i>
    <i r="1">
      <x v="176"/>
    </i>
    <i>
      <x v="5"/>
    </i>
    <i r="1">
      <x v="73"/>
    </i>
    <i>
      <x v="6"/>
    </i>
    <i r="1">
      <x v="364"/>
    </i>
    <i>
      <x v="7"/>
    </i>
    <i r="1">
      <x v="210"/>
    </i>
    <i>
      <x v="8"/>
    </i>
    <i r="1">
      <x v="91"/>
    </i>
    <i>
      <x v="9"/>
    </i>
    <i r="1">
      <x v="364"/>
    </i>
    <i>
      <x v="10"/>
    </i>
    <i r="1">
      <x v="97"/>
    </i>
    <i>
      <x v="11"/>
    </i>
    <i r="1">
      <x v="343"/>
    </i>
    <i>
      <x v="12"/>
    </i>
    <i r="1">
      <x v="186"/>
    </i>
    <i>
      <x v="13"/>
    </i>
    <i r="1">
      <x v="5"/>
    </i>
    <i>
      <x v="14"/>
    </i>
    <i r="1">
      <x v="402"/>
    </i>
    <i>
      <x v="15"/>
    </i>
    <i r="1">
      <x v="26"/>
    </i>
    <i>
      <x v="16"/>
    </i>
    <i r="1">
      <x v="50"/>
    </i>
    <i>
      <x v="17"/>
    </i>
    <i r="1">
      <x v="264"/>
    </i>
    <i>
      <x v="18"/>
    </i>
    <i r="1">
      <x v="369"/>
    </i>
    <i>
      <x v="19"/>
    </i>
    <i r="1">
      <x v="216"/>
    </i>
    <i>
      <x v="20"/>
    </i>
    <i r="1">
      <x v="201"/>
    </i>
    <i>
      <x v="21"/>
    </i>
    <i r="1">
      <x v="381"/>
    </i>
    <i>
      <x v="22"/>
    </i>
    <i r="1">
      <x v="133"/>
    </i>
    <i>
      <x v="23"/>
    </i>
    <i r="1">
      <x v="365"/>
    </i>
    <i>
      <x v="24"/>
    </i>
    <i r="1">
      <x v="174"/>
    </i>
    <i>
      <x v="25"/>
    </i>
    <i r="1">
      <x v="322"/>
    </i>
    <i>
      <x v="26"/>
    </i>
    <i r="1">
      <x v="7"/>
    </i>
    <i>
      <x v="27"/>
    </i>
    <i r="1">
      <x v="99"/>
    </i>
    <i>
      <x v="28"/>
    </i>
    <i r="1">
      <x v="320"/>
    </i>
    <i>
      <x v="29"/>
    </i>
    <i r="1">
      <x v="71"/>
    </i>
    <i>
      <x v="30"/>
    </i>
    <i r="1">
      <x v="412"/>
    </i>
    <i>
      <x v="31"/>
    </i>
    <i r="1">
      <x v="415"/>
    </i>
    <i>
      <x v="32"/>
    </i>
    <i r="1">
      <x v="410"/>
    </i>
    <i>
      <x v="33"/>
    </i>
    <i r="1">
      <x v="243"/>
    </i>
    <i>
      <x v="34"/>
    </i>
    <i r="1">
      <x v="394"/>
    </i>
    <i>
      <x v="35"/>
    </i>
    <i r="1">
      <x v="102"/>
    </i>
    <i>
      <x v="36"/>
    </i>
    <i r="1">
      <x v="424"/>
    </i>
    <i>
      <x v="37"/>
    </i>
    <i r="1">
      <x v="219"/>
    </i>
    <i>
      <x v="38"/>
    </i>
    <i r="1">
      <x v="36"/>
    </i>
    <i>
      <x v="39"/>
    </i>
    <i r="1">
      <x v="138"/>
    </i>
    <i>
      <x v="40"/>
    </i>
    <i r="1">
      <x v="171"/>
    </i>
    <i>
      <x v="41"/>
    </i>
    <i r="1">
      <x v="365"/>
    </i>
    <i>
      <x v="42"/>
    </i>
    <i r="1">
      <x v="62"/>
    </i>
    <i>
      <x v="43"/>
    </i>
    <i r="1">
      <x v="340"/>
    </i>
    <i>
      <x v="44"/>
    </i>
    <i r="1">
      <x v="338"/>
    </i>
    <i>
      <x v="45"/>
    </i>
    <i r="1">
      <x v="28"/>
    </i>
    <i>
      <x v="46"/>
    </i>
    <i r="1">
      <x v="463"/>
    </i>
    <i>
      <x v="47"/>
    </i>
    <i r="1">
      <x v="186"/>
    </i>
    <i>
      <x v="48"/>
    </i>
    <i r="1">
      <x v="97"/>
    </i>
    <i>
      <x v="49"/>
    </i>
    <i r="1">
      <x v="118"/>
    </i>
    <i>
      <x v="50"/>
    </i>
    <i r="1">
      <x v="5"/>
    </i>
    <i>
      <x v="51"/>
    </i>
    <i r="1">
      <x v="203"/>
    </i>
    <i>
      <x v="52"/>
    </i>
    <i r="1">
      <x v="36"/>
    </i>
    <i>
      <x v="53"/>
    </i>
    <i r="1">
      <x v="308"/>
    </i>
    <i>
      <x v="54"/>
    </i>
    <i r="1">
      <x v="133"/>
    </i>
    <i>
      <x v="55"/>
    </i>
    <i r="1">
      <x v="280"/>
    </i>
    <i>
      <x v="56"/>
    </i>
    <i r="1">
      <x v="133"/>
    </i>
    <i>
      <x v="57"/>
    </i>
    <i r="1">
      <x v="433"/>
    </i>
    <i>
      <x v="58"/>
    </i>
    <i r="1">
      <x v="85"/>
    </i>
    <i>
      <x v="59"/>
    </i>
    <i r="1">
      <x v="127"/>
    </i>
    <i>
      <x v="60"/>
    </i>
    <i r="1">
      <x v="438"/>
    </i>
    <i>
      <x v="61"/>
    </i>
    <i r="1">
      <x v="76"/>
    </i>
    <i>
      <x v="62"/>
    </i>
    <i r="1">
      <x v="187"/>
    </i>
    <i>
      <x v="63"/>
    </i>
    <i r="1">
      <x v="189"/>
    </i>
    <i>
      <x v="64"/>
    </i>
    <i r="1">
      <x v="16"/>
    </i>
    <i>
      <x v="65"/>
    </i>
    <i r="1">
      <x v="120"/>
    </i>
    <i>
      <x v="66"/>
    </i>
    <i r="1">
      <x v="317"/>
    </i>
    <i>
      <x v="67"/>
    </i>
    <i r="1">
      <x v="1"/>
    </i>
    <i>
      <x v="68"/>
    </i>
    <i r="1">
      <x v="314"/>
    </i>
    <i>
      <x v="69"/>
    </i>
    <i r="1">
      <x v="406"/>
    </i>
    <i>
      <x v="70"/>
    </i>
    <i r="1">
      <x v="336"/>
    </i>
    <i>
      <x v="71"/>
    </i>
    <i r="1">
      <x v="142"/>
    </i>
    <i>
      <x v="72"/>
    </i>
    <i r="1">
      <x v="216"/>
    </i>
    <i>
      <x v="73"/>
    </i>
    <i r="1">
      <x v="378"/>
    </i>
    <i>
      <x v="74"/>
    </i>
    <i r="1">
      <x v="453"/>
    </i>
    <i>
      <x v="75"/>
    </i>
    <i r="1">
      <x v="309"/>
    </i>
    <i>
      <x v="76"/>
    </i>
    <i r="1">
      <x v="361"/>
    </i>
    <i>
      <x v="77"/>
    </i>
    <i r="1">
      <x v="372"/>
    </i>
    <i>
      <x v="78"/>
    </i>
    <i r="1">
      <x v="222"/>
    </i>
    <i>
      <x v="79"/>
    </i>
    <i r="1">
      <x v="146"/>
    </i>
    <i>
      <x v="80"/>
    </i>
    <i r="1">
      <x v="224"/>
    </i>
    <i>
      <x v="81"/>
    </i>
    <i r="1">
      <x v="219"/>
    </i>
    <i>
      <x v="82"/>
    </i>
    <i r="1">
      <x v="308"/>
    </i>
    <i>
      <x v="83"/>
    </i>
    <i r="1">
      <x v="7"/>
    </i>
    <i>
      <x v="84"/>
    </i>
    <i r="1">
      <x v="325"/>
    </i>
    <i>
      <x v="85"/>
    </i>
    <i r="1">
      <x v="443"/>
    </i>
    <i>
      <x v="86"/>
    </i>
    <i r="1">
      <x v="28"/>
    </i>
    <i>
      <x v="87"/>
    </i>
    <i r="1">
      <x v="369"/>
    </i>
    <i>
      <x v="88"/>
    </i>
    <i r="1">
      <x v="389"/>
    </i>
    <i>
      <x v="89"/>
    </i>
    <i r="1">
      <x v="308"/>
    </i>
    <i>
      <x v="90"/>
    </i>
    <i r="1">
      <x v="289"/>
    </i>
    <i>
      <x v="91"/>
    </i>
    <i r="1">
      <x v="70"/>
    </i>
    <i>
      <x v="92"/>
    </i>
    <i r="1">
      <x v="293"/>
    </i>
    <i>
      <x v="93"/>
    </i>
    <i r="1">
      <x v="365"/>
    </i>
    <i>
      <x v="94"/>
    </i>
    <i r="1">
      <x v="197"/>
    </i>
    <i>
      <x v="95"/>
    </i>
    <i r="1">
      <x v="176"/>
    </i>
    <i>
      <x v="96"/>
    </i>
    <i r="1">
      <x v="280"/>
    </i>
    <i>
      <x v="97"/>
    </i>
    <i r="1">
      <x v="430"/>
    </i>
    <i>
      <x v="98"/>
    </i>
    <i r="1">
      <x v="60"/>
    </i>
    <i>
      <x v="99"/>
    </i>
    <i r="1">
      <x v="437"/>
    </i>
    <i>
      <x v="100"/>
    </i>
    <i r="1">
      <x v="73"/>
    </i>
    <i>
      <x v="101"/>
    </i>
    <i r="1">
      <x v="304"/>
    </i>
    <i>
      <x v="102"/>
    </i>
    <i r="1">
      <x v="201"/>
    </i>
    <i>
      <x v="103"/>
    </i>
    <i r="1">
      <x v="136"/>
    </i>
    <i>
      <x v="104"/>
    </i>
    <i r="1">
      <x v="195"/>
    </i>
    <i>
      <x v="105"/>
    </i>
    <i r="1">
      <x v="399"/>
    </i>
    <i>
      <x v="106"/>
    </i>
    <i r="1">
      <x v="311"/>
    </i>
    <i>
      <x v="107"/>
    </i>
    <i r="1">
      <x v="128"/>
    </i>
    <i>
      <x v="108"/>
    </i>
    <i r="1">
      <x v="190"/>
    </i>
    <i>
      <x v="109"/>
    </i>
    <i r="1">
      <x v="103"/>
    </i>
    <i>
      <x v="110"/>
    </i>
    <i r="1">
      <x v="87"/>
    </i>
    <i>
      <x v="111"/>
    </i>
    <i r="1">
      <x v="110"/>
    </i>
    <i>
      <x v="112"/>
    </i>
    <i r="1">
      <x v="81"/>
    </i>
    <i>
      <x v="113"/>
    </i>
    <i r="1">
      <x v="64"/>
    </i>
    <i>
      <x v="114"/>
    </i>
    <i r="1">
      <x v="446"/>
    </i>
    <i>
      <x v="115"/>
    </i>
    <i r="1">
      <x v="18"/>
    </i>
    <i>
      <x v="116"/>
    </i>
    <i r="1">
      <x v="51"/>
    </i>
    <i>
      <x v="117"/>
    </i>
    <i r="1">
      <x v="169"/>
    </i>
    <i>
      <x v="118"/>
    </i>
    <i r="1">
      <x v="467"/>
    </i>
    <i>
      <x v="119"/>
    </i>
    <i r="1">
      <x v="31"/>
    </i>
    <i>
      <x v="120"/>
    </i>
    <i r="1">
      <x v="330"/>
    </i>
    <i>
      <x v="121"/>
    </i>
    <i r="1">
      <x v="51"/>
    </i>
    <i>
      <x v="122"/>
    </i>
    <i r="1">
      <x v="341"/>
    </i>
    <i>
      <x v="123"/>
    </i>
    <i r="1">
      <x v="192"/>
    </i>
    <i>
      <x v="124"/>
    </i>
    <i r="1">
      <x v="273"/>
    </i>
    <i>
      <x v="125"/>
    </i>
    <i r="1">
      <x v="290"/>
    </i>
    <i>
      <x v="126"/>
    </i>
    <i r="1">
      <x v="223"/>
    </i>
    <i>
      <x v="127"/>
    </i>
    <i r="1">
      <x v="416"/>
    </i>
    <i>
      <x v="128"/>
    </i>
    <i r="1">
      <x v="362"/>
    </i>
    <i>
      <x v="129"/>
    </i>
    <i r="1">
      <x v="422"/>
    </i>
    <i>
      <x v="130"/>
    </i>
    <i r="1">
      <x v="249"/>
    </i>
    <i>
      <x v="131"/>
    </i>
    <i r="1">
      <x v="211"/>
    </i>
    <i>
      <x v="132"/>
    </i>
    <i r="1">
      <x v="431"/>
    </i>
    <i>
      <x v="133"/>
    </i>
    <i r="1">
      <x v="21"/>
    </i>
    <i>
      <x v="134"/>
    </i>
    <i r="1">
      <x v="459"/>
    </i>
    <i>
      <x v="135"/>
    </i>
    <i r="1">
      <x v="274"/>
    </i>
    <i>
      <x v="136"/>
    </i>
    <i r="1">
      <x v="48"/>
    </i>
    <i>
      <x v="137"/>
    </i>
    <i r="1">
      <x v="354"/>
    </i>
    <i>
      <x v="138"/>
    </i>
    <i r="1">
      <x v="77"/>
    </i>
    <i>
      <x v="139"/>
    </i>
    <i r="1">
      <x v="397"/>
    </i>
    <i>
      <x v="140"/>
    </i>
    <i r="1">
      <x v="466"/>
    </i>
    <i>
      <x v="141"/>
    </i>
    <i r="1">
      <x v="465"/>
    </i>
    <i>
      <x v="142"/>
    </i>
    <i r="1">
      <x v="42"/>
    </i>
    <i>
      <x v="143"/>
    </i>
    <i r="1">
      <x v="391"/>
    </i>
    <i>
      <x v="144"/>
    </i>
    <i r="1">
      <x v="208"/>
    </i>
    <i>
      <x v="145"/>
    </i>
    <i r="1">
      <x v="407"/>
    </i>
    <i>
      <x v="146"/>
    </i>
    <i r="1">
      <x v="326"/>
    </i>
    <i>
      <x v="147"/>
    </i>
    <i r="1">
      <x v="269"/>
    </i>
    <i>
      <x v="148"/>
    </i>
    <i r="1">
      <x v="202"/>
    </i>
    <i>
      <x v="149"/>
    </i>
    <i r="1">
      <x v="34"/>
    </i>
    <i>
      <x v="150"/>
    </i>
    <i r="1">
      <x v="446"/>
    </i>
    <i>
      <x v="151"/>
    </i>
    <i r="1">
      <x v="115"/>
    </i>
    <i>
      <x v="152"/>
    </i>
    <i r="1">
      <x v="235"/>
    </i>
    <i>
      <x v="153"/>
    </i>
    <i r="1">
      <x v="229"/>
    </i>
    <i>
      <x v="154"/>
    </i>
    <i r="1">
      <x v="155"/>
    </i>
    <i>
      <x v="155"/>
    </i>
    <i r="1">
      <x v="106"/>
    </i>
    <i>
      <x v="156"/>
    </i>
    <i r="1">
      <x v="420"/>
    </i>
    <i>
      <x v="157"/>
    </i>
    <i r="1">
      <x v="24"/>
    </i>
    <i>
      <x v="158"/>
    </i>
    <i r="1">
      <x v="419"/>
    </i>
    <i>
      <x v="159"/>
    </i>
    <i r="1">
      <x v="468"/>
    </i>
    <i>
      <x v="160"/>
    </i>
    <i r="1">
      <x v="134"/>
    </i>
    <i>
      <x v="161"/>
    </i>
    <i r="1">
      <x v="156"/>
    </i>
    <i>
      <x v="162"/>
    </i>
    <i r="1">
      <x v="405"/>
    </i>
    <i>
      <x v="163"/>
    </i>
    <i r="1">
      <x v="416"/>
    </i>
    <i>
      <x v="164"/>
    </i>
    <i r="1">
      <x v="106"/>
    </i>
    <i>
      <x v="165"/>
    </i>
    <i r="1">
      <x v="366"/>
    </i>
    <i>
      <x v="166"/>
    </i>
    <i r="1">
      <x v="124"/>
    </i>
    <i>
      <x v="167"/>
    </i>
    <i r="1">
      <x v="254"/>
    </i>
    <i>
      <x v="168"/>
    </i>
    <i r="1">
      <x v="240"/>
    </i>
    <i>
      <x v="169"/>
    </i>
    <i r="1">
      <x v="9"/>
    </i>
    <i>
      <x v="170"/>
    </i>
    <i r="1">
      <x v="446"/>
    </i>
    <i>
      <x v="171"/>
    </i>
    <i r="1">
      <x v="379"/>
    </i>
    <i>
      <x v="172"/>
    </i>
    <i r="1">
      <x v="183"/>
    </i>
    <i>
      <x v="173"/>
    </i>
    <i r="1">
      <x v="45"/>
    </i>
    <i>
      <x v="174"/>
    </i>
    <i r="1">
      <x v="140"/>
    </i>
    <i>
      <x v="175"/>
    </i>
    <i r="1">
      <x v="129"/>
    </i>
    <i>
      <x v="176"/>
    </i>
    <i r="1">
      <x v="57"/>
    </i>
    <i>
      <x v="177"/>
    </i>
    <i r="1">
      <x v="374"/>
    </i>
    <i>
      <x v="178"/>
    </i>
    <i r="1">
      <x v="52"/>
    </i>
    <i>
      <x v="179"/>
    </i>
    <i r="1">
      <x v="90"/>
    </i>
    <i>
      <x v="180"/>
    </i>
    <i r="1">
      <x v="196"/>
    </i>
    <i>
      <x v="181"/>
    </i>
    <i r="1">
      <x v="244"/>
    </i>
    <i>
      <x v="182"/>
    </i>
    <i r="1">
      <x v="233"/>
    </i>
    <i>
      <x v="183"/>
    </i>
    <i r="1">
      <x v="14"/>
    </i>
    <i>
      <x v="184"/>
    </i>
    <i r="1">
      <x v="148"/>
    </i>
    <i>
      <x v="185"/>
    </i>
    <i r="1">
      <x v="208"/>
    </i>
    <i>
      <x v="186"/>
    </i>
    <i r="1">
      <x v="379"/>
    </i>
    <i>
      <x v="187"/>
    </i>
    <i r="1">
      <x v="461"/>
    </i>
    <i>
      <x v="188"/>
    </i>
    <i r="1">
      <x v="277"/>
    </i>
    <i>
      <x v="189"/>
    </i>
    <i r="1">
      <x v="39"/>
    </i>
    <i>
      <x v="190"/>
    </i>
    <i r="1">
      <x v="8"/>
    </i>
    <i>
      <x v="191"/>
    </i>
    <i r="1">
      <x v="134"/>
    </i>
    <i>
      <x v="192"/>
    </i>
    <i r="1">
      <x v="384"/>
    </i>
    <i>
      <x v="193"/>
    </i>
    <i r="1">
      <x v="315"/>
    </i>
    <i>
      <x v="194"/>
    </i>
    <i r="1">
      <x v="223"/>
    </i>
    <i>
      <x v="195"/>
    </i>
    <i r="1">
      <x v="196"/>
    </i>
    <i>
      <x v="196"/>
    </i>
    <i r="1">
      <x v="159"/>
    </i>
    <i>
      <x v="197"/>
    </i>
    <i r="1">
      <x v="225"/>
    </i>
    <i>
      <x v="198"/>
    </i>
    <i r="1">
      <x v="455"/>
    </i>
    <i>
      <x v="199"/>
    </i>
    <i r="1">
      <x v="177"/>
    </i>
    <i>
      <x v="200"/>
    </i>
    <i r="1">
      <x v="469"/>
    </i>
    <i>
      <x v="201"/>
    </i>
    <i r="1">
      <x v="333"/>
    </i>
    <i>
      <x v="202"/>
    </i>
    <i r="1">
      <x v="403"/>
    </i>
    <i>
      <x v="203"/>
    </i>
    <i r="1">
      <x v="413"/>
    </i>
    <i>
      <x v="204"/>
    </i>
    <i r="1">
      <x v="245"/>
    </i>
    <i>
      <x v="205"/>
    </i>
    <i r="1">
      <x v="426"/>
    </i>
    <i>
      <x v="206"/>
    </i>
    <i r="1">
      <x v="137"/>
    </i>
    <i>
      <x v="207"/>
    </i>
    <i r="1">
      <x v="416"/>
    </i>
    <i>
      <x v="208"/>
    </i>
    <i r="1">
      <x v="356"/>
    </i>
    <i>
      <x v="209"/>
    </i>
    <i r="1">
      <x v="66"/>
    </i>
    <i>
      <x v="210"/>
    </i>
    <i r="1">
      <x v="59"/>
    </i>
    <i>
      <x v="211"/>
    </i>
    <i r="1">
      <x v="370"/>
    </i>
    <i>
      <x v="212"/>
    </i>
    <i r="1">
      <x v="392"/>
    </i>
    <i>
      <x v="213"/>
    </i>
    <i r="1">
      <x v="262"/>
    </i>
    <i>
      <x v="214"/>
    </i>
    <i r="1">
      <x v="4"/>
    </i>
    <i>
      <x v="215"/>
    </i>
    <i r="1">
      <x v="84"/>
    </i>
    <i>
      <x v="216"/>
    </i>
    <i r="1">
      <x v="184"/>
    </i>
    <i>
      <x v="217"/>
    </i>
    <i r="1">
      <x v="37"/>
    </i>
    <i>
      <x v="218"/>
    </i>
    <i r="1">
      <x v="429"/>
    </i>
    <i>
      <x v="219"/>
    </i>
    <i r="1">
      <x v="303"/>
    </i>
    <i>
      <x v="220"/>
    </i>
    <i r="1">
      <x v="367"/>
    </i>
    <i>
      <x v="221"/>
    </i>
    <i r="1">
      <x v="160"/>
    </i>
    <i>
      <x v="222"/>
    </i>
    <i r="1">
      <x v="287"/>
    </i>
    <i>
      <x v="223"/>
    </i>
    <i r="1">
      <x v="178"/>
    </i>
    <i>
      <x v="224"/>
    </i>
    <i r="1">
      <x v="278"/>
    </i>
    <i>
      <x v="225"/>
    </i>
    <i r="1">
      <x v="285"/>
    </i>
    <i>
      <x v="226"/>
    </i>
    <i r="1">
      <x v="213"/>
    </i>
    <i>
      <x v="227"/>
    </i>
    <i r="1">
      <x v="121"/>
    </i>
    <i>
      <x v="228"/>
    </i>
    <i r="1">
      <x v="132"/>
    </i>
    <i>
      <x v="229"/>
    </i>
    <i r="1">
      <x v="109"/>
    </i>
    <i>
      <x v="230"/>
    </i>
    <i r="1">
      <x v="266"/>
    </i>
    <i>
      <x v="231"/>
    </i>
    <i r="1">
      <x v="312"/>
    </i>
    <i>
      <x v="232"/>
    </i>
    <i r="1">
      <x v="334"/>
    </i>
    <i>
      <x v="233"/>
    </i>
    <i r="1">
      <x v="56"/>
    </i>
    <i>
      <x v="234"/>
    </i>
    <i r="1">
      <x v="93"/>
    </i>
    <i>
      <x v="235"/>
    </i>
    <i r="1">
      <x v="312"/>
    </i>
    <i>
      <x v="236"/>
    </i>
    <i r="1">
      <x v="260"/>
    </i>
    <i>
      <x v="237"/>
    </i>
    <i r="1">
      <x v="116"/>
    </i>
    <i>
      <x v="238"/>
    </i>
    <i r="1">
      <x v="327"/>
    </i>
    <i>
      <x v="239"/>
    </i>
    <i r="1">
      <x v="444"/>
    </i>
    <i>
      <x v="240"/>
    </i>
    <i r="1">
      <x v="68"/>
    </i>
    <i>
      <x v="241"/>
    </i>
    <i r="1">
      <x v="283"/>
    </i>
    <i>
      <x v="242"/>
    </i>
    <i r="1">
      <x v="198"/>
    </i>
    <i>
      <x v="243"/>
    </i>
    <i r="1">
      <x v="334"/>
    </i>
    <i>
      <x v="244"/>
    </i>
    <i r="1">
      <x v="294"/>
    </i>
    <i>
      <x v="245"/>
    </i>
    <i r="1">
      <x v="152"/>
    </i>
    <i>
      <x v="246"/>
    </i>
    <i r="1">
      <x v="104"/>
    </i>
    <i>
      <x v="247"/>
    </i>
    <i r="1">
      <x v="312"/>
    </i>
    <i>
      <x v="248"/>
    </i>
    <i r="1">
      <x v="74"/>
    </i>
    <i>
      <x v="249"/>
    </i>
    <i r="1">
      <x v="95"/>
    </i>
    <i>
      <x v="250"/>
    </i>
    <i r="1">
      <x v="182"/>
    </i>
    <i>
      <x v="251"/>
    </i>
    <i r="1">
      <x v="125"/>
    </i>
    <i>
      <x v="252"/>
    </i>
    <i r="1">
      <x v="151"/>
    </i>
    <i>
      <x v="253"/>
    </i>
    <i r="1">
      <x v="78"/>
    </i>
    <i>
      <x v="254"/>
    </i>
    <i r="1">
      <x v="168"/>
    </i>
    <i>
      <x v="255"/>
    </i>
    <i r="1">
      <x v="231"/>
    </i>
    <i>
      <x v="256"/>
    </i>
    <i r="1">
      <x v="53"/>
    </i>
    <i>
      <x v="257"/>
    </i>
    <i r="1">
      <x v="214"/>
    </i>
    <i>
      <x v="258"/>
    </i>
    <i r="1">
      <x v="278"/>
    </i>
    <i>
      <x v="259"/>
    </i>
    <i r="1">
      <x v="119"/>
    </i>
    <i>
      <x v="260"/>
    </i>
    <i r="1">
      <x v="172"/>
    </i>
    <i>
      <x v="261"/>
    </i>
    <i r="1">
      <x v="220"/>
    </i>
    <i>
      <x v="262"/>
    </i>
    <i r="1">
      <x v="241"/>
    </i>
    <i>
      <x v="263"/>
    </i>
    <i r="1">
      <x v="248"/>
    </i>
    <i>
      <x v="264"/>
    </i>
    <i r="1">
      <x v="230"/>
    </i>
    <i>
      <x v="265"/>
    </i>
    <i r="1">
      <x v="125"/>
    </i>
    <i>
      <x v="266"/>
    </i>
    <i r="1">
      <x v="79"/>
    </i>
    <i>
      <x v="267"/>
    </i>
    <i r="1">
      <x v="236"/>
    </i>
    <i>
      <x v="268"/>
    </i>
    <i r="1">
      <x v="165"/>
    </i>
    <i>
      <x v="269"/>
    </i>
    <i r="1">
      <x v="154"/>
    </i>
    <i>
      <x v="270"/>
    </i>
    <i r="1">
      <x v="184"/>
    </i>
    <i>
      <x v="271"/>
    </i>
    <i r="1">
      <x v="46"/>
    </i>
    <i>
      <x v="272"/>
    </i>
    <i r="1">
      <x v="79"/>
    </i>
    <i>
      <x v="273"/>
    </i>
    <i r="1">
      <x v="367"/>
    </i>
    <i>
      <x v="274"/>
    </i>
    <i r="1">
      <x v="46"/>
    </i>
    <i>
      <x v="275"/>
    </i>
    <i r="1">
      <x v="462"/>
    </i>
    <i>
      <x v="276"/>
    </i>
    <i r="1">
      <x v="32"/>
    </i>
    <i>
      <x v="277"/>
    </i>
    <i r="1">
      <x v="10"/>
    </i>
    <i>
      <x v="278"/>
    </i>
    <i r="1">
      <x v="12"/>
    </i>
    <i>
      <x v="279"/>
    </i>
    <i r="1">
      <x v="427"/>
    </i>
    <i>
      <x v="280"/>
    </i>
    <i r="1">
      <x v="121"/>
    </i>
    <i>
      <x v="281"/>
    </i>
    <i r="1">
      <x v="395"/>
    </i>
    <i>
      <x v="282"/>
    </i>
    <i r="1">
      <x v="367"/>
    </i>
    <i>
      <x v="283"/>
    </i>
    <i r="1">
      <x v="400"/>
    </i>
    <i>
      <x v="284"/>
    </i>
    <i r="1">
      <x v="266"/>
    </i>
    <i>
      <x v="285"/>
    </i>
    <i r="1">
      <x v="193"/>
    </i>
    <i>
      <x v="286"/>
    </i>
    <i r="1">
      <x v="441"/>
    </i>
    <i>
      <x v="287"/>
    </i>
    <i r="1">
      <x v="427"/>
    </i>
    <i>
      <x v="288"/>
    </i>
    <i r="1">
      <x v="215"/>
    </i>
    <i>
      <x v="289"/>
    </i>
    <i r="1">
      <x v="226"/>
    </i>
    <i>
      <x v="290"/>
    </i>
    <i r="1">
      <x v="281"/>
    </i>
    <i>
      <x v="291"/>
    </i>
    <i r="1">
      <x v="214"/>
    </i>
    <i>
      <x v="292"/>
    </i>
    <i r="1">
      <x v="339"/>
    </i>
    <i>
      <x v="293"/>
    </i>
    <i r="1">
      <x v="144"/>
    </i>
    <i>
      <x v="294"/>
    </i>
    <i r="1">
      <x v="112"/>
    </i>
    <i>
      <x v="295"/>
    </i>
    <i r="1">
      <x v="184"/>
    </i>
    <i>
      <x v="296"/>
    </i>
    <i r="1">
      <x v="377"/>
    </i>
    <i>
      <x v="297"/>
    </i>
    <i r="1">
      <x v="305"/>
    </i>
    <i>
      <x v="298"/>
    </i>
    <i r="1">
      <x v="43"/>
    </i>
    <i>
      <x v="299"/>
    </i>
    <i r="1">
      <x v="427"/>
    </i>
    <i>
      <x v="300"/>
    </i>
    <i r="1">
      <x v="188"/>
    </i>
    <i>
      <x v="301"/>
    </i>
    <i r="1">
      <x v="352"/>
    </i>
    <i>
      <x v="302"/>
    </i>
    <i r="1">
      <x v="74"/>
    </i>
    <i>
      <x v="303"/>
    </i>
    <i r="1">
      <x v="68"/>
    </i>
    <i>
      <x v="304"/>
    </i>
    <i r="1">
      <x v="204"/>
    </i>
    <i>
      <x v="305"/>
    </i>
    <i r="1">
      <x v="172"/>
    </i>
    <i>
      <x v="306"/>
    </i>
    <i r="1">
      <x v="278"/>
    </i>
    <i>
      <x v="307"/>
    </i>
    <i r="1">
      <x v="283"/>
    </i>
    <i>
      <x v="308"/>
    </i>
    <i r="1">
      <x v="238"/>
    </i>
    <i>
      <x v="309"/>
    </i>
    <i r="1">
      <x v="337"/>
    </i>
    <i>
      <x v="310"/>
    </i>
    <i r="1">
      <x v="163"/>
    </i>
    <i>
      <x v="311"/>
    </i>
    <i r="1">
      <x v="283"/>
    </i>
    <i>
      <x v="312"/>
    </i>
    <i r="1">
      <x v="55"/>
    </i>
    <i>
      <x v="313"/>
    </i>
    <i r="1">
      <x v="184"/>
    </i>
    <i>
      <x v="314"/>
    </i>
    <i r="1">
      <x v="20"/>
    </i>
    <i>
      <x v="315"/>
    </i>
    <i r="1">
      <x v="209"/>
    </i>
    <i>
      <x v="316"/>
    </i>
    <i r="1">
      <x v="84"/>
    </i>
    <i>
      <x v="317"/>
    </i>
    <i r="1">
      <x v="299"/>
    </i>
    <i>
      <x v="318"/>
    </i>
    <i r="1">
      <x v="123"/>
    </i>
    <i>
      <x v="319"/>
    </i>
    <i r="1">
      <x v="193"/>
    </i>
    <i>
      <x v="320"/>
    </i>
    <i r="1">
      <x v="305"/>
    </i>
    <i>
      <x v="321"/>
    </i>
    <i r="1">
      <x v="452"/>
    </i>
    <i>
      <x v="322"/>
    </i>
    <i r="1">
      <x v="255"/>
    </i>
    <i>
      <x v="323"/>
    </i>
    <i r="1">
      <x v="347"/>
    </i>
    <i>
      <x v="324"/>
    </i>
    <i r="1">
      <x v="163"/>
    </i>
    <i>
      <x v="325"/>
    </i>
    <i r="1">
      <x v="100"/>
    </i>
    <i>
      <x v="326"/>
    </i>
    <i r="1">
      <x v="327"/>
    </i>
    <i>
      <x v="327"/>
    </i>
    <i r="1">
      <x v="218"/>
    </i>
    <i>
      <x v="328"/>
    </i>
    <i r="1">
      <x v="116"/>
    </i>
    <i>
      <x v="329"/>
    </i>
    <i r="1">
      <x v="251"/>
    </i>
    <i>
      <x v="330"/>
    </i>
    <i r="1">
      <x v="390"/>
    </i>
    <i>
      <x v="331"/>
    </i>
    <i r="1">
      <x v="158"/>
    </i>
    <i>
      <x v="332"/>
    </i>
    <i r="1">
      <x v="53"/>
    </i>
    <i>
      <x v="333"/>
    </i>
    <i r="1">
      <x v="275"/>
    </i>
    <i>
      <x v="334"/>
    </i>
    <i r="1">
      <x v="40"/>
    </i>
    <i>
      <x v="335"/>
    </i>
    <i r="1">
      <x v="439"/>
    </i>
    <i>
      <x v="336"/>
    </i>
    <i r="1">
      <x v="199"/>
    </i>
    <i>
      <x v="337"/>
    </i>
    <i r="1">
      <x v="67"/>
    </i>
    <i>
      <x v="338"/>
    </i>
    <i r="1">
      <x v="95"/>
    </i>
    <i>
      <x v="339"/>
    </i>
    <i r="1">
      <x v="383"/>
    </i>
    <i>
      <x v="340"/>
    </i>
    <i r="1">
      <x v="178"/>
    </i>
    <i>
      <x v="341"/>
    </i>
    <i r="1">
      <x v="74"/>
    </i>
    <i>
      <x v="342"/>
    </i>
    <i r="1">
      <x v="104"/>
    </i>
    <i>
      <x v="343"/>
    </i>
    <i r="1">
      <x v="441"/>
    </i>
    <i>
      <x v="344"/>
    </i>
    <i r="1">
      <x v="421"/>
    </i>
    <i>
      <x v="345"/>
    </i>
    <i r="1">
      <x v="350"/>
    </i>
    <i>
      <x v="346"/>
    </i>
    <i r="1">
      <x v="170"/>
    </i>
    <i>
      <x v="347"/>
    </i>
    <i r="1">
      <x v="32"/>
    </i>
    <i>
      <x v="348"/>
    </i>
    <i r="1">
      <x v="294"/>
    </i>
    <i>
      <x v="349"/>
    </i>
    <i r="1">
      <x v="166"/>
    </i>
    <i>
      <x v="350"/>
    </i>
    <i r="1">
      <x v="65"/>
    </i>
    <i>
      <x v="351"/>
    </i>
    <i r="1">
      <x v="53"/>
    </i>
    <i>
      <x v="352"/>
    </i>
    <i r="1">
      <x v="231"/>
    </i>
    <i>
      <x v="353"/>
    </i>
    <i r="1">
      <x v="2"/>
    </i>
    <i>
      <x v="354"/>
    </i>
    <i r="1">
      <x v="447"/>
    </i>
    <i>
      <x v="355"/>
    </i>
    <i r="1">
      <x v="435"/>
    </i>
    <i>
      <x v="356"/>
    </i>
    <i r="1">
      <x v="132"/>
    </i>
    <i>
      <x v="357"/>
    </i>
    <i r="1">
      <x v="305"/>
    </i>
    <i>
      <x v="358"/>
    </i>
    <i r="1">
      <x v="442"/>
    </i>
    <i>
      <x v="359"/>
    </i>
    <i r="1">
      <x v="54"/>
    </i>
    <i>
      <x v="360"/>
    </i>
    <i r="1">
      <x v="464"/>
    </i>
    <i>
      <x v="361"/>
    </i>
    <i r="1">
      <x v="295"/>
    </i>
    <i>
      <x v="362"/>
    </i>
    <i r="1">
      <x v="306"/>
    </i>
    <i>
      <x v="363"/>
    </i>
    <i r="1">
      <x v="179"/>
    </i>
    <i>
      <x v="364"/>
    </i>
    <i r="1">
      <x v="368"/>
    </i>
    <i>
      <x v="365"/>
    </i>
    <i r="1">
      <x v="228"/>
    </i>
    <i>
      <x v="366"/>
    </i>
    <i r="1">
      <x v="454"/>
    </i>
    <i>
      <x v="367"/>
    </i>
    <i r="1">
      <x v="101"/>
    </i>
    <i>
      <x v="368"/>
    </i>
    <i r="1">
      <x v="440"/>
    </i>
    <i>
      <x v="369"/>
    </i>
    <i r="1">
      <x v="448"/>
    </i>
    <i>
      <x v="370"/>
    </i>
    <i r="1">
      <x v="436"/>
    </i>
    <i>
      <x v="371"/>
    </i>
    <i r="1">
      <x v="363"/>
    </i>
    <i>
      <x v="372"/>
    </i>
    <i r="1">
      <x v="298"/>
    </i>
    <i>
      <x v="373"/>
    </i>
    <i r="1">
      <x v="284"/>
    </i>
    <i>
      <x v="374"/>
    </i>
    <i r="1">
      <x v="237"/>
    </i>
    <i>
      <x v="375"/>
    </i>
    <i r="1">
      <x v="279"/>
    </i>
    <i>
      <x v="376"/>
    </i>
    <i r="1">
      <x v="306"/>
    </i>
    <i>
      <x v="377"/>
    </i>
    <i r="1">
      <x v="200"/>
    </i>
    <i>
      <x v="378"/>
    </i>
    <i r="1">
      <x v="221"/>
    </i>
    <i>
      <x v="379"/>
    </i>
    <i r="1">
      <x v="270"/>
    </i>
    <i>
      <x v="380"/>
    </i>
    <i r="1">
      <x v="153"/>
    </i>
    <i>
      <x v="381"/>
    </i>
    <i r="1">
      <x/>
    </i>
    <i>
      <x v="382"/>
    </i>
    <i r="1">
      <x v="89"/>
    </i>
    <i>
      <x v="383"/>
    </i>
    <i r="1">
      <x v="292"/>
    </i>
    <i>
      <x v="384"/>
    </i>
    <i r="1">
      <x v="145"/>
    </i>
    <i>
      <x v="385"/>
    </i>
    <i r="1">
      <x v="185"/>
    </i>
    <i>
      <x v="386"/>
    </i>
    <i r="1">
      <x v="117"/>
    </i>
    <i>
      <x v="387"/>
    </i>
    <i r="1">
      <x v="247"/>
    </i>
    <i>
      <x v="388"/>
    </i>
    <i r="1">
      <x v="22"/>
    </i>
    <i>
      <x v="389"/>
    </i>
    <i r="1">
      <x v="157"/>
    </i>
    <i>
      <x v="390"/>
    </i>
    <i r="1">
      <x v="448"/>
    </i>
    <i>
      <x v="391"/>
    </i>
    <i r="1">
      <x v="387"/>
    </i>
    <i>
      <x v="392"/>
    </i>
    <i r="1">
      <x v="13"/>
    </i>
    <i>
      <x v="393"/>
    </i>
    <i r="1">
      <x v="449"/>
    </i>
    <i>
      <x v="394"/>
    </i>
    <i r="1">
      <x v="15"/>
    </i>
    <i>
      <x v="395"/>
    </i>
    <i r="1">
      <x v="328"/>
    </i>
    <i>
      <x v="396"/>
    </i>
    <i r="1">
      <x v="22"/>
    </i>
    <i>
      <x v="397"/>
    </i>
    <i r="1">
      <x v="227"/>
    </i>
    <i>
      <x v="398"/>
    </i>
    <i r="1">
      <x v="108"/>
    </i>
    <i>
      <x v="399"/>
    </i>
    <i r="1">
      <x v="135"/>
    </i>
    <i>
      <x v="400"/>
    </i>
    <i r="1">
      <x v="417"/>
    </i>
    <i>
      <x v="401"/>
    </i>
    <i r="1">
      <x v="96"/>
    </i>
    <i>
      <x v="402"/>
    </i>
    <i r="1">
      <x v="358"/>
    </i>
    <i>
      <x v="403"/>
    </i>
    <i r="1">
      <x v="386"/>
    </i>
    <i>
      <x v="404"/>
    </i>
    <i r="1">
      <x v="126"/>
    </i>
    <i>
      <x v="405"/>
    </i>
    <i r="1">
      <x v="371"/>
    </i>
    <i>
      <x v="406"/>
    </i>
    <i r="1">
      <x v="276"/>
    </i>
    <i>
      <x v="407"/>
    </i>
    <i r="1">
      <x v="253"/>
    </i>
    <i>
      <x v="408"/>
    </i>
    <i r="1">
      <x v="307"/>
    </i>
    <i>
      <x v="409"/>
    </i>
    <i r="1">
      <x v="313"/>
    </i>
    <i>
      <x v="410"/>
    </i>
    <i r="1">
      <x v="359"/>
    </i>
    <i>
      <x v="411"/>
    </i>
    <i r="1">
      <x v="348"/>
    </i>
    <i>
      <x v="412"/>
    </i>
    <i r="1">
      <x v="157"/>
    </i>
    <i>
      <x v="413"/>
    </i>
    <i r="1">
      <x v="360"/>
    </i>
    <i>
      <x v="414"/>
    </i>
    <i r="1">
      <x v="29"/>
    </i>
    <i>
      <x v="415"/>
    </i>
    <i r="1">
      <x v="313"/>
    </i>
    <i>
      <x v="416"/>
    </i>
    <i r="1">
      <x v="307"/>
    </i>
    <i>
      <x v="417"/>
    </i>
    <i r="1">
      <x v="363"/>
    </i>
    <i>
      <x v="418"/>
    </i>
    <i r="1">
      <x v="105"/>
    </i>
    <i>
      <x v="419"/>
    </i>
    <i r="1">
      <x v="247"/>
    </i>
    <i>
      <x v="420"/>
    </i>
    <i r="1">
      <x v="458"/>
    </i>
    <i>
      <x v="421"/>
    </i>
    <i r="1">
      <x v="292"/>
    </i>
    <i>
      <x v="422"/>
    </i>
    <i r="1">
      <x v="292"/>
    </i>
    <i>
      <x v="423"/>
    </i>
    <i r="1">
      <x v="380"/>
    </i>
    <i>
      <x v="424"/>
    </i>
    <i r="1">
      <x v="23"/>
    </i>
    <i>
      <x v="425"/>
    </i>
    <i r="1">
      <x v="460"/>
    </i>
    <i>
      <x v="426"/>
    </i>
    <i r="1">
      <x v="33"/>
    </i>
    <i>
      <x v="427"/>
    </i>
    <i r="1">
      <x v="227"/>
    </i>
    <i>
      <x v="428"/>
    </i>
    <i r="1">
      <x v="345"/>
    </i>
    <i>
      <x v="429"/>
    </i>
    <i r="1">
      <x v="234"/>
    </i>
    <i>
      <x v="430"/>
    </i>
    <i r="1">
      <x v="345"/>
    </i>
    <i>
      <x v="431"/>
    </i>
    <i r="1">
      <x v="75"/>
    </i>
    <i>
      <x v="432"/>
    </i>
    <i r="1">
      <x v="411"/>
    </i>
    <i>
      <x v="433"/>
    </i>
    <i r="1">
      <x v="30"/>
    </i>
    <i>
      <x v="434"/>
    </i>
    <i r="1">
      <x v="167"/>
    </i>
    <i>
      <x v="435"/>
    </i>
    <i r="1">
      <x v="316"/>
    </i>
    <i>
      <x v="436"/>
    </i>
    <i r="1">
      <x v="135"/>
    </i>
    <i>
      <x v="437"/>
    </i>
    <i r="1">
      <x v="357"/>
    </i>
    <i>
      <x v="438"/>
    </i>
    <i r="1">
      <x v="114"/>
    </i>
    <i>
      <x v="439"/>
    </i>
    <i r="1">
      <x v="306"/>
    </i>
    <i>
      <x v="440"/>
    </i>
    <i r="1">
      <x v="205"/>
    </i>
    <i>
      <x v="441"/>
    </i>
    <i r="1">
      <x v="414"/>
    </i>
    <i>
      <x v="442"/>
    </i>
    <i r="1">
      <x v="393"/>
    </i>
    <i>
      <x v="443"/>
    </i>
    <i r="1">
      <x v="212"/>
    </i>
    <i>
      <x v="444"/>
    </i>
    <i r="1">
      <x v="117"/>
    </i>
    <i>
      <x v="445"/>
    </i>
    <i r="1">
      <x v="194"/>
    </i>
    <i>
      <x v="446"/>
    </i>
    <i r="1">
      <x v="130"/>
    </i>
    <i>
      <x v="447"/>
    </i>
    <i r="1">
      <x v="401"/>
    </i>
    <i>
      <x v="448"/>
    </i>
    <i r="1">
      <x v="335"/>
    </i>
    <i>
      <x v="449"/>
    </i>
    <i r="1">
      <x v="13"/>
    </i>
    <i>
      <x v="450"/>
    </i>
    <i r="1">
      <x v="92"/>
    </i>
    <i>
      <x v="451"/>
    </i>
    <i r="1">
      <x v="250"/>
    </i>
    <i>
      <x v="452"/>
    </i>
    <i r="1">
      <x v="107"/>
    </i>
    <i>
      <x v="453"/>
    </i>
    <i r="1">
      <x v="256"/>
    </i>
    <i>
      <x v="454"/>
    </i>
    <i r="1">
      <x v="267"/>
    </i>
    <i>
      <x v="455"/>
    </i>
    <i r="1">
      <x v="22"/>
    </i>
    <i>
      <x v="456"/>
    </i>
    <i r="1">
      <x v="242"/>
    </i>
    <i>
      <x v="457"/>
    </i>
    <i r="1">
      <x v="357"/>
    </i>
    <i>
      <x v="458"/>
    </i>
    <i r="1">
      <x v="221"/>
    </i>
    <i>
      <x v="459"/>
    </i>
    <i r="1">
      <x v="286"/>
    </i>
    <i>
      <x v="460"/>
    </i>
    <i r="1">
      <x v="291"/>
    </i>
    <i>
      <x v="461"/>
    </i>
    <i r="1">
      <x v="258"/>
    </i>
    <i>
      <x v="462"/>
    </i>
    <i r="1">
      <x v="153"/>
    </i>
    <i>
      <x v="463"/>
    </i>
    <i r="1">
      <x v="44"/>
    </i>
    <i>
      <x v="464"/>
    </i>
    <i r="1">
      <x v="141"/>
    </i>
    <i>
      <x v="465"/>
    </i>
    <i r="1">
      <x v="47"/>
    </i>
    <i>
      <x v="466"/>
    </i>
    <i r="1">
      <x v="329"/>
    </i>
    <i>
      <x v="467"/>
    </i>
    <i r="1">
      <x v="212"/>
    </i>
    <i>
      <x v="468"/>
    </i>
    <i r="1">
      <x v="253"/>
    </i>
    <i>
      <x v="469"/>
    </i>
    <i r="1">
      <x v="451"/>
    </i>
    <i>
      <x v="470"/>
    </i>
    <i r="1">
      <x v="297"/>
    </i>
    <i>
      <x v="471"/>
    </i>
    <i r="1">
      <x v="149"/>
    </i>
    <i>
      <x v="472"/>
    </i>
    <i r="1">
      <x v="13"/>
    </i>
    <i>
      <x v="473"/>
    </i>
    <i r="1">
      <x v="232"/>
    </i>
    <i>
      <x v="474"/>
    </i>
    <i r="1">
      <x v="382"/>
    </i>
    <i>
      <x v="475"/>
    </i>
    <i r="1">
      <x v="13"/>
    </i>
    <i>
      <x v="476"/>
    </i>
    <i r="1">
      <x v="323"/>
    </i>
    <i>
      <x v="477"/>
    </i>
    <i r="1">
      <x v="328"/>
    </i>
    <i>
      <x v="478"/>
    </i>
    <i r="1">
      <x v="41"/>
    </i>
    <i>
      <x v="479"/>
    </i>
    <i r="1">
      <x v="385"/>
    </i>
    <i>
      <x v="480"/>
    </i>
    <i r="1">
      <x v="423"/>
    </i>
    <i>
      <x v="481"/>
    </i>
    <i r="1">
      <x v="387"/>
    </i>
    <i>
      <x v="482"/>
    </i>
    <i r="1">
      <x v="310"/>
    </i>
    <i>
      <x v="483"/>
    </i>
    <i r="1">
      <x v="23"/>
    </i>
    <i>
      <x v="484"/>
    </i>
    <i r="1">
      <x v="185"/>
    </i>
    <i>
      <x v="485"/>
    </i>
    <i r="1">
      <x v="164"/>
    </i>
    <i>
      <x v="486"/>
    </i>
    <i r="1">
      <x v="191"/>
    </i>
    <i>
      <x v="487"/>
    </i>
    <i r="1">
      <x v="173"/>
    </i>
    <i>
      <x v="488"/>
    </i>
    <i r="1">
      <x v="3"/>
    </i>
    <i>
      <x v="489"/>
    </i>
    <i r="1">
      <x v="11"/>
    </i>
    <i>
      <x v="490"/>
    </i>
    <i r="1">
      <x v="58"/>
    </i>
    <i>
      <x v="491"/>
    </i>
    <i r="1">
      <x v="164"/>
    </i>
    <i>
      <x v="492"/>
    </i>
    <i r="1">
      <x v="47"/>
    </i>
    <i>
      <x v="493"/>
    </i>
    <i r="1">
      <x v="286"/>
    </i>
    <i>
      <x v="494"/>
    </i>
    <i r="1">
      <x v="300"/>
    </i>
    <i>
      <x v="495"/>
    </i>
    <i r="1">
      <x v="348"/>
    </i>
    <i>
      <x v="496"/>
    </i>
    <i r="1">
      <x v="398"/>
    </i>
    <i>
      <x v="497"/>
    </i>
    <i r="1">
      <x v="111"/>
    </i>
    <i>
      <x v="498"/>
    </i>
    <i r="1">
      <x v="324"/>
    </i>
    <i>
      <x v="499"/>
    </i>
    <i r="1">
      <x v="139"/>
    </i>
    <i>
      <x v="500"/>
    </i>
    <i r="1">
      <x v="217"/>
    </i>
    <i>
      <x v="501"/>
    </i>
    <i r="1">
      <x v="11"/>
    </i>
    <i>
      <x v="502"/>
    </i>
    <i r="1">
      <x v="261"/>
    </i>
    <i>
      <x v="503"/>
    </i>
    <i r="1">
      <x v="113"/>
    </i>
    <i>
      <x v="504"/>
    </i>
    <i r="1">
      <x v="22"/>
    </i>
    <i>
      <x v="505"/>
    </i>
    <i r="1">
      <x v="54"/>
    </i>
    <i>
      <x v="506"/>
    </i>
    <i r="1">
      <x v="295"/>
    </i>
    <i>
      <x v="507"/>
    </i>
    <i r="1">
      <x v="257"/>
    </i>
    <i>
      <x v="508"/>
    </i>
    <i r="1">
      <x v="143"/>
    </i>
    <i>
      <x v="509"/>
    </i>
    <i r="1">
      <x v="316"/>
    </i>
    <i>
      <x v="510"/>
    </i>
    <i r="1">
      <x v="194"/>
    </i>
    <i>
      <x v="511"/>
    </i>
    <i r="1">
      <x v="445"/>
    </i>
    <i>
      <x v="512"/>
    </i>
    <i r="1">
      <x v="143"/>
    </i>
    <i>
      <x v="513"/>
    </i>
    <i r="1">
      <x v="83"/>
    </i>
    <i>
      <x v="514"/>
    </i>
    <i r="1">
      <x v="385"/>
    </i>
    <i>
      <x v="515"/>
    </i>
    <i r="1">
      <x v="297"/>
    </i>
    <i>
      <x v="516"/>
    </i>
    <i r="1">
      <x v="141"/>
    </i>
    <i>
      <x v="517"/>
    </i>
    <i r="1">
      <x v="295"/>
    </i>
    <i>
      <x v="518"/>
    </i>
    <i r="1">
      <x v="234"/>
    </i>
    <i>
      <x v="519"/>
    </i>
    <i r="1">
      <x v="13"/>
    </i>
    <i>
      <x v="520"/>
    </i>
    <i r="1">
      <x v="331"/>
    </i>
    <i>
      <x v="521"/>
    </i>
    <i r="1">
      <x v="432"/>
    </i>
    <i>
      <x v="522"/>
    </i>
    <i r="1">
      <x v="432"/>
    </i>
    <i>
      <x v="523"/>
    </i>
    <i r="1">
      <x v="401"/>
    </i>
    <i>
      <x v="524"/>
    </i>
    <i r="1">
      <x v="261"/>
    </i>
    <i>
      <x v="525"/>
    </i>
    <i r="1">
      <x v="38"/>
    </i>
    <i>
      <x v="526"/>
    </i>
    <i r="1">
      <x v="268"/>
    </i>
    <i>
      <x v="527"/>
    </i>
    <i r="1">
      <x v="342"/>
    </i>
    <i>
      <x v="528"/>
    </i>
    <i r="1">
      <x v="368"/>
    </i>
    <i>
      <x v="529"/>
    </i>
    <i r="1">
      <x v="301"/>
    </i>
    <i>
      <x v="530"/>
    </i>
    <i r="1">
      <x v="279"/>
    </i>
    <i>
      <x v="531"/>
    </i>
    <i r="1">
      <x v="456"/>
    </i>
    <i>
      <x v="532"/>
    </i>
    <i r="1">
      <x v="436"/>
    </i>
    <i>
      <x v="533"/>
    </i>
    <i r="1">
      <x v="147"/>
    </i>
    <i>
      <x v="534"/>
    </i>
    <i r="1">
      <x v="216"/>
    </i>
    <i>
      <x v="535"/>
    </i>
    <i r="1">
      <x v="131"/>
    </i>
    <i>
      <x v="536"/>
    </i>
    <i r="1">
      <x v="351"/>
    </i>
    <i>
      <x v="537"/>
    </i>
    <i r="1">
      <x v="289"/>
    </i>
    <i>
      <x v="538"/>
    </i>
    <i r="1">
      <x v="181"/>
    </i>
    <i>
      <x v="539"/>
    </i>
    <i r="1">
      <x v="402"/>
    </i>
    <i>
      <x v="540"/>
    </i>
    <i r="1">
      <x v="302"/>
    </i>
    <i>
      <x v="541"/>
    </i>
    <i r="1">
      <x v="120"/>
    </i>
    <i>
      <x v="542"/>
    </i>
    <i r="1">
      <x v="321"/>
    </i>
    <i>
      <x v="543"/>
    </i>
    <i r="1">
      <x v="404"/>
    </i>
    <i>
      <x v="544"/>
    </i>
    <i r="1">
      <x v="355"/>
    </i>
    <i>
      <x v="545"/>
    </i>
    <i r="1">
      <x v="353"/>
    </i>
    <i>
      <x v="546"/>
    </i>
    <i r="1">
      <x v="376"/>
    </i>
    <i>
      <x v="547"/>
    </i>
    <i r="1">
      <x v="308"/>
    </i>
    <i>
      <x v="548"/>
    </i>
    <i r="1">
      <x v="94"/>
    </i>
    <i>
      <x v="549"/>
    </i>
    <i r="1">
      <x v="325"/>
    </i>
    <i>
      <x v="550"/>
    </i>
    <i r="1">
      <x v="296"/>
    </i>
    <i>
      <x v="551"/>
    </i>
    <i r="1">
      <x v="187"/>
    </i>
    <i>
      <x v="552"/>
    </i>
    <i r="1">
      <x v="396"/>
    </i>
    <i>
      <x v="553"/>
    </i>
    <i r="1">
      <x v="402"/>
    </i>
    <i>
      <x v="554"/>
    </i>
    <i r="1">
      <x v="203"/>
    </i>
    <i>
      <x v="555"/>
    </i>
    <i r="1">
      <x v="264"/>
    </i>
    <i>
      <x v="556"/>
    </i>
    <i r="1">
      <x v="175"/>
    </i>
    <i>
      <x v="557"/>
    </i>
    <i r="1">
      <x v="346"/>
    </i>
    <i>
      <x v="558"/>
    </i>
    <i r="1">
      <x v="19"/>
    </i>
    <i>
      <x v="559"/>
    </i>
    <i r="1">
      <x v="330"/>
    </i>
    <i>
      <x v="560"/>
    </i>
    <i r="1">
      <x v="90"/>
    </i>
    <i>
      <x v="561"/>
    </i>
    <i r="1">
      <x v="388"/>
    </i>
    <i>
      <x v="562"/>
    </i>
    <i r="1">
      <x v="66"/>
    </i>
    <i>
      <x v="563"/>
    </i>
    <i r="1">
      <x v="39"/>
    </i>
    <i>
      <x v="564"/>
    </i>
    <i r="1">
      <x v="418"/>
    </i>
    <i>
      <x v="565"/>
    </i>
    <i r="1">
      <x v="265"/>
    </i>
    <i>
      <x v="566"/>
    </i>
    <i r="1">
      <x v="34"/>
    </i>
    <i>
      <x v="567"/>
    </i>
    <i r="1">
      <x v="206"/>
    </i>
    <i>
      <x v="568"/>
    </i>
    <i r="1">
      <x v="42"/>
    </i>
    <i>
      <x v="569"/>
    </i>
    <i r="1">
      <x v="428"/>
    </i>
    <i>
      <x v="570"/>
    </i>
    <i r="1">
      <x v="288"/>
    </i>
    <i>
      <x v="571"/>
    </i>
    <i r="1">
      <x v="6"/>
    </i>
    <i>
      <x v="572"/>
    </i>
    <i r="1">
      <x v="416"/>
    </i>
    <i>
      <x v="573"/>
    </i>
    <i r="1">
      <x v="450"/>
    </i>
    <i>
      <x v="574"/>
    </i>
    <i r="1">
      <x v="468"/>
    </i>
    <i>
      <x v="575"/>
    </i>
    <i r="1">
      <x v="162"/>
    </i>
    <i>
      <x v="576"/>
    </i>
    <i r="1">
      <x v="413"/>
    </i>
    <i>
      <x v="577"/>
    </i>
    <i r="1">
      <x v="251"/>
    </i>
    <i>
      <x v="578"/>
    </i>
    <i r="1">
      <x v="204"/>
    </i>
    <i>
      <x v="579"/>
    </i>
    <i r="1">
      <x v="318"/>
    </i>
    <i>
      <x v="580"/>
    </i>
    <i r="1">
      <x v="452"/>
    </i>
    <i>
      <x v="581"/>
    </i>
    <i r="1">
      <x v="246"/>
    </i>
    <i>
      <x v="582"/>
    </i>
    <i r="1">
      <x v="218"/>
    </i>
    <i>
      <x v="583"/>
    </i>
    <i r="1">
      <x v="63"/>
    </i>
    <i>
      <x v="584"/>
    </i>
    <i r="1">
      <x v="150"/>
    </i>
    <i>
      <x v="585"/>
    </i>
    <i r="1">
      <x v="344"/>
    </i>
    <i>
      <x v="586"/>
    </i>
    <i r="1">
      <x v="271"/>
    </i>
    <i>
      <x v="587"/>
    </i>
    <i r="1">
      <x v="231"/>
    </i>
    <i>
      <x v="588"/>
    </i>
    <i r="1">
      <x v="226"/>
    </i>
    <i>
      <x v="589"/>
    </i>
    <i r="1">
      <x v="88"/>
    </i>
    <i>
      <x v="590"/>
    </i>
    <i r="1">
      <x v="122"/>
    </i>
    <i>
      <x v="591"/>
    </i>
    <i r="1">
      <x v="312"/>
    </i>
    <i>
      <x v="592"/>
    </i>
    <i r="1">
      <x v="226"/>
    </i>
    <i>
      <x v="593"/>
    </i>
    <i r="1">
      <x v="425"/>
    </i>
    <i>
      <x v="594"/>
    </i>
    <i r="1">
      <x v="69"/>
    </i>
    <i>
      <x v="595"/>
    </i>
    <i r="1">
      <x v="178"/>
    </i>
    <i>
      <x v="596"/>
    </i>
    <i r="1">
      <x v="332"/>
    </i>
    <i>
      <x v="597"/>
    </i>
    <i r="1">
      <x v="457"/>
    </i>
    <i>
      <x v="598"/>
    </i>
    <i r="1">
      <x v="427"/>
    </i>
    <i>
      <x v="599"/>
    </i>
    <i r="1">
      <x v="408"/>
    </i>
    <i>
      <x v="600"/>
    </i>
    <i r="1">
      <x v="375"/>
    </i>
    <i>
      <x v="601"/>
    </i>
    <i r="1">
      <x v="49"/>
    </i>
    <i>
      <x v="602"/>
    </i>
    <i r="1">
      <x v="299"/>
    </i>
    <i>
      <x v="603"/>
    </i>
    <i r="1">
      <x v="86"/>
    </i>
    <i>
      <x v="604"/>
    </i>
    <i r="1">
      <x v="392"/>
    </i>
    <i>
      <x v="605"/>
    </i>
    <i r="1">
      <x v="259"/>
    </i>
    <i>
      <x v="606"/>
    </i>
    <i r="1">
      <x v="286"/>
    </i>
    <i>
      <x v="607"/>
    </i>
    <i r="1">
      <x v="72"/>
    </i>
    <i>
      <x v="608"/>
    </i>
    <i r="1">
      <x v="27"/>
    </i>
    <i>
      <x v="609"/>
    </i>
    <i r="1">
      <x v="324"/>
    </i>
    <i>
      <x v="610"/>
    </i>
    <i r="1">
      <x v="89"/>
    </i>
    <i>
      <x v="611"/>
    </i>
    <i r="1">
      <x v="228"/>
    </i>
    <i>
      <x v="612"/>
    </i>
    <i r="1">
      <x v="35"/>
    </i>
    <i>
      <x v="613"/>
    </i>
    <i r="1">
      <x v="263"/>
    </i>
    <i>
      <x v="614"/>
    </i>
    <i r="1">
      <x v="270"/>
    </i>
    <i>
      <x v="615"/>
    </i>
    <i r="1">
      <x v="373"/>
    </i>
    <i>
      <x v="616"/>
    </i>
    <i r="1">
      <x v="145"/>
    </i>
    <i>
      <x v="617"/>
    </i>
    <i r="1">
      <x v="139"/>
    </i>
    <i>
      <x v="618"/>
    </i>
    <i r="1">
      <x v="272"/>
    </i>
    <i>
      <x v="619"/>
    </i>
    <i r="1">
      <x v="207"/>
    </i>
    <i>
      <x v="620"/>
    </i>
    <i r="1">
      <x v="41"/>
    </i>
    <i>
      <x v="621"/>
    </i>
    <i r="1">
      <x v="82"/>
    </i>
    <i>
      <x v="622"/>
    </i>
    <i r="1">
      <x v="35"/>
    </i>
    <i>
      <x v="623"/>
    </i>
    <i r="1">
      <x v="98"/>
    </i>
    <i>
      <x v="624"/>
    </i>
    <i r="1">
      <x v="80"/>
    </i>
    <i>
      <x v="625"/>
    </i>
    <i r="1">
      <x v="282"/>
    </i>
    <i>
      <x v="626"/>
    </i>
    <i r="1">
      <x v="409"/>
    </i>
    <i>
      <x v="627"/>
    </i>
    <i r="1">
      <x v="349"/>
    </i>
    <i>
      <x v="628"/>
    </i>
    <i r="1">
      <x v="145"/>
    </i>
    <i>
      <x v="629"/>
    </i>
    <i r="1">
      <x v="27"/>
    </i>
    <i>
      <x v="630"/>
    </i>
    <i r="1">
      <x v="385"/>
    </i>
    <i>
      <x v="631"/>
    </i>
    <i r="1">
      <x v="319"/>
    </i>
    <i>
      <x v="632"/>
    </i>
    <i r="1">
      <x v="114"/>
    </i>
    <i>
      <x v="633"/>
    </i>
    <i r="1">
      <x v="161"/>
    </i>
    <i>
      <x v="634"/>
    </i>
    <i r="1">
      <x v="61"/>
    </i>
    <i>
      <x v="635"/>
    </i>
    <i r="1">
      <x v="252"/>
    </i>
    <i>
      <x v="636"/>
    </i>
    <i r="1">
      <x v="180"/>
    </i>
    <i>
      <x v="637"/>
    </i>
    <i r="1">
      <x v="464"/>
    </i>
    <i>
      <x v="638"/>
    </i>
    <i r="1">
      <x v="323"/>
    </i>
    <i>
      <x v="639"/>
    </i>
    <i r="1">
      <x v="25"/>
    </i>
    <i>
      <x v="640"/>
    </i>
    <i r="1">
      <x v="434"/>
    </i>
    <i>
      <x v="641"/>
    </i>
    <i r="1">
      <x v="17"/>
    </i>
    <i>
      <x v="642"/>
    </i>
    <i r="1">
      <x v="61"/>
    </i>
    <i t="grand">
      <x/>
    </i>
  </rowItems>
  <colItems count="1">
    <i/>
  </colItems>
  <dataFields count="1">
    <dataField name="Max of Sales" fld="17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45049-5031-4AC1-AD76-565106EE0CB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42">
        <item x="19"/>
        <item x="16"/>
        <item x="35"/>
        <item x="1"/>
        <item x="21"/>
        <item x="28"/>
        <item x="13"/>
        <item x="37"/>
        <item x="2"/>
        <item x="31"/>
        <item x="10"/>
        <item x="14"/>
        <item x="22"/>
        <item x="0"/>
        <item x="27"/>
        <item x="36"/>
        <item x="30"/>
        <item x="12"/>
        <item x="11"/>
        <item x="34"/>
        <item x="24"/>
        <item x="40"/>
        <item x="8"/>
        <item x="32"/>
        <item x="38"/>
        <item x="29"/>
        <item x="26"/>
        <item x="15"/>
        <item x="3"/>
        <item x="23"/>
        <item x="25"/>
        <item x="20"/>
        <item x="9"/>
        <item x="33"/>
        <item x="39"/>
        <item x="18"/>
        <item x="5"/>
        <item x="7"/>
        <item x="17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8"/>
    <field x="10"/>
  </rowFields>
  <rowItems count="43">
    <i>
      <x/>
    </i>
    <i r="1">
      <x v="27"/>
    </i>
    <i r="1">
      <x v="3"/>
    </i>
    <i r="1">
      <x v="28"/>
    </i>
    <i r="1">
      <x v="36"/>
    </i>
    <i r="1">
      <x v="25"/>
    </i>
    <i r="1">
      <x v="10"/>
    </i>
    <i r="1">
      <x v="32"/>
    </i>
    <i r="1">
      <x v="8"/>
    </i>
    <i r="1">
      <x v="39"/>
    </i>
    <i r="1">
      <x v="29"/>
    </i>
    <i r="1">
      <x v="1"/>
    </i>
    <i r="1">
      <x v="30"/>
    </i>
    <i r="1">
      <x v="16"/>
    </i>
    <i r="1">
      <x v="38"/>
    </i>
    <i r="1">
      <x v="17"/>
    </i>
    <i r="1">
      <x v="4"/>
    </i>
    <i r="1">
      <x v="9"/>
    </i>
    <i r="1">
      <x v="13"/>
    </i>
    <i r="1">
      <x v="18"/>
    </i>
    <i r="1">
      <x v="40"/>
    </i>
    <i r="1">
      <x v="5"/>
    </i>
    <i r="1">
      <x/>
    </i>
    <i r="1">
      <x v="35"/>
    </i>
    <i r="1">
      <x v="20"/>
    </i>
    <i r="1">
      <x v="19"/>
    </i>
    <i r="1">
      <x v="14"/>
    </i>
    <i r="1">
      <x v="11"/>
    </i>
    <i r="1">
      <x v="31"/>
    </i>
    <i r="1">
      <x v="34"/>
    </i>
    <i r="1">
      <x v="26"/>
    </i>
    <i r="1">
      <x v="33"/>
    </i>
    <i r="1">
      <x v="2"/>
    </i>
    <i r="1">
      <x v="37"/>
    </i>
    <i r="1">
      <x v="12"/>
    </i>
    <i r="1">
      <x v="6"/>
    </i>
    <i r="1">
      <x v="15"/>
    </i>
    <i r="1">
      <x v="23"/>
    </i>
    <i r="1">
      <x v="7"/>
    </i>
    <i r="1">
      <x v="24"/>
    </i>
    <i r="1">
      <x v="22"/>
    </i>
    <i r="1">
      <x v="2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51230A-2F55-4469-B219-FAC95D848219}" autoFormatId="16" applyNumberFormats="0" applyBorderFormats="0" applyFontFormats="0" applyPatternFormats="0" applyAlignmentFormats="0" applyWidthHeightFormats="0">
  <queryTableRefresh nextId="22" unboundColumnsRight="3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33BE4-7C25-4701-ACB1-686E6217C34F}" name="sales" displayName="sales" ref="A1:U644" tableType="queryTable" totalsRowShown="0">
  <autoFilter ref="A1:U644" xr:uid="{0B633BE4-7C25-4701-ACB1-686E6217C34F}"/>
  <sortState xmlns:xlrd2="http://schemas.microsoft.com/office/spreadsheetml/2017/richdata2" ref="A2:U644">
    <sortCondition ref="R2:R644"/>
  </sortState>
  <tableColumns count="21">
    <tableColumn id="1" xr3:uid="{BCE265A5-0229-49D6-A8E9-5911A1800281}" uniqueName="1" name="Row ID" queryTableFieldId="1"/>
    <tableColumn id="2" xr3:uid="{F08C9130-D544-4A09-BCF3-A3889E34F0C4}" uniqueName="2" name="Order ID" queryTableFieldId="2" dataDxfId="17"/>
    <tableColumn id="3" xr3:uid="{93C771E7-8430-40F5-8324-3E5E0C8DC9AD}" uniqueName="3" name="Order Date" queryTableFieldId="3" dataDxfId="16"/>
    <tableColumn id="4" xr3:uid="{68F1900A-A17D-4E96-9BF0-812137FA19B0}" uniqueName="4" name="Ship Date" queryTableFieldId="4" dataDxfId="15"/>
    <tableColumn id="5" xr3:uid="{22654B9E-7564-495F-929F-903EC2EE0E52}" uniqueName="5" name="Ship Mode" queryTableFieldId="5" dataDxfId="14"/>
    <tableColumn id="6" xr3:uid="{28DC1312-38D2-464A-8FBC-8C0FD8DEEAC3}" uniqueName="6" name="Customer ID" queryTableFieldId="6" dataDxfId="13"/>
    <tableColumn id="7" xr3:uid="{7B5D6242-BD15-485C-A912-56B7503F26F4}" uniqueName="7" name="Customer Name" queryTableFieldId="7" dataDxfId="12"/>
    <tableColumn id="8" xr3:uid="{9D80BFE8-6542-463B-8012-D5749CBFE560}" uniqueName="8" name="Segment" queryTableFieldId="8" dataDxfId="11"/>
    <tableColumn id="9" xr3:uid="{948C53CC-B22A-4550-8231-B3F0B0795E1B}" uniqueName="9" name="Country" queryTableFieldId="9" dataDxfId="10"/>
    <tableColumn id="10" xr3:uid="{C51B5B73-93D2-4A87-8F98-E2C9E3EDCB84}" uniqueName="10" name="City" queryTableFieldId="10" dataDxfId="9"/>
    <tableColumn id="11" xr3:uid="{8E479CA0-4CA6-4F34-8BEA-0022DD2130D4}" uniqueName="11" name="State" queryTableFieldId="11" dataDxfId="8"/>
    <tableColumn id="12" xr3:uid="{6ECC45B0-E96F-4D45-85CC-0FEBDA81A465}" uniqueName="12" name="Postal Code" queryTableFieldId="12"/>
    <tableColumn id="13" xr3:uid="{BC141C80-91C9-484B-8C6C-31EF90CE3362}" uniqueName="13" name="Region" queryTableFieldId="13" dataDxfId="7"/>
    <tableColumn id="14" xr3:uid="{12858DF5-A876-4DDA-A952-190DD67C2E9F}" uniqueName="14" name="Product ID" queryTableFieldId="14" dataDxfId="6"/>
    <tableColumn id="15" xr3:uid="{CD1BA4F5-5934-4C94-9809-E6A012BEE2A3}" uniqueName="15" name="Category" queryTableFieldId="15" dataDxfId="5"/>
    <tableColumn id="16" xr3:uid="{F268E9A9-F114-4788-B4DE-0846B194F079}" uniqueName="16" name="Sub-Category" queryTableFieldId="16" dataDxfId="4"/>
    <tableColumn id="17" xr3:uid="{DFD8AA3A-5B42-4083-B147-E4BFCD7E936D}" uniqueName="17" name="Product Name" queryTableFieldId="17" dataDxfId="3"/>
    <tableColumn id="18" xr3:uid="{472AE8B2-CEA8-45C6-B17B-2104EDAA8CA8}" uniqueName="18" name="Sales" queryTableFieldId="18"/>
    <tableColumn id="19" xr3:uid="{584582E6-B1F0-49D8-BF45-AC9C253A6717}" uniqueName="19" name="aggregate functions " queryTableFieldId="19" dataDxfId="1"/>
    <tableColumn id="20" xr3:uid="{3782E4B7-8E70-43DC-9F62-DF126E7354A9}" uniqueName="20" name="if function " queryTableFieldId="20" dataDxfId="2">
      <calculatedColumnFormula>IF(O2="Furniture","Cardbaord",O2)</calculatedColumnFormula>
    </tableColumn>
    <tableColumn id="21" xr3:uid="{63578014-C335-42EF-8968-33E054EF967A}" uniqueName="21" name="multiple if " queryTableFieldId="21" dataDxfId="0">
      <calculatedColumnFormula>IF(O2="furniture","cardbaord",IF(O2="office supplies","OS",O2))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FE6D-0D4C-4A7E-B91C-F12B9A09F924}">
  <dimension ref="A3:H1963"/>
  <sheetViews>
    <sheetView topLeftCell="A10" workbookViewId="0">
      <selection activeCell="F21" sqref="F21"/>
    </sheetView>
  </sheetViews>
  <sheetFormatPr defaultRowHeight="14.4" x14ac:dyDescent="0.3"/>
  <cols>
    <col min="1" max="1" width="21.33203125" bestFit="1" customWidth="1"/>
    <col min="2" max="2" width="12" bestFit="1" customWidth="1"/>
    <col min="3" max="3" width="16.77734375" bestFit="1" customWidth="1"/>
    <col min="4" max="4" width="11.5546875" bestFit="1" customWidth="1"/>
    <col min="6" max="6" width="13.44140625" bestFit="1" customWidth="1"/>
    <col min="7" max="7" width="12" bestFit="1" customWidth="1"/>
    <col min="8" max="8" width="26.5546875" bestFit="1" customWidth="1"/>
    <col min="9" max="9" width="36.109375" bestFit="1" customWidth="1"/>
    <col min="10" max="10" width="38.21875" bestFit="1" customWidth="1"/>
    <col min="11" max="11" width="26.5546875" bestFit="1" customWidth="1"/>
    <col min="12" max="12" width="47.88671875" bestFit="1" customWidth="1"/>
    <col min="13" max="13" width="45" bestFit="1" customWidth="1"/>
    <col min="14" max="14" width="42.5546875" bestFit="1" customWidth="1"/>
    <col min="15" max="15" width="36.5546875" bestFit="1" customWidth="1"/>
    <col min="16" max="16" width="42.77734375" bestFit="1" customWidth="1"/>
    <col min="17" max="17" width="44.88671875" bestFit="1" customWidth="1"/>
    <col min="18" max="18" width="17.5546875" bestFit="1" customWidth="1"/>
    <col min="19" max="19" width="46" bestFit="1" customWidth="1"/>
    <col min="20" max="20" width="29.21875" bestFit="1" customWidth="1"/>
    <col min="21" max="21" width="19.77734375" bestFit="1" customWidth="1"/>
    <col min="22" max="22" width="40.77734375" bestFit="1" customWidth="1"/>
    <col min="23" max="23" width="48.33203125" bestFit="1" customWidth="1"/>
    <col min="24" max="24" width="44.33203125" bestFit="1" customWidth="1"/>
    <col min="25" max="25" width="67.109375" bestFit="1" customWidth="1"/>
    <col min="26" max="26" width="55.5546875" bestFit="1" customWidth="1"/>
    <col min="27" max="27" width="22.5546875" bestFit="1" customWidth="1"/>
    <col min="28" max="29" width="37.88671875" bestFit="1" customWidth="1"/>
    <col min="30" max="30" width="60.109375" bestFit="1" customWidth="1"/>
    <col min="31" max="31" width="67.44140625" bestFit="1" customWidth="1"/>
    <col min="32" max="32" width="37" bestFit="1" customWidth="1"/>
    <col min="33" max="33" width="72.88671875" bestFit="1" customWidth="1"/>
    <col min="34" max="34" width="27.6640625" bestFit="1" customWidth="1"/>
    <col min="35" max="35" width="20" bestFit="1" customWidth="1"/>
    <col min="36" max="36" width="28.77734375" bestFit="1" customWidth="1"/>
    <col min="37" max="37" width="41.33203125" bestFit="1" customWidth="1"/>
    <col min="38" max="38" width="68.33203125" bestFit="1" customWidth="1"/>
    <col min="39" max="39" width="89.109375" bestFit="1" customWidth="1"/>
    <col min="40" max="40" width="41.109375" bestFit="1" customWidth="1"/>
    <col min="41" max="41" width="30.5546875" bestFit="1" customWidth="1"/>
    <col min="42" max="42" width="16.5546875" bestFit="1" customWidth="1"/>
    <col min="43" max="43" width="68.33203125" bestFit="1" customWidth="1"/>
    <col min="44" max="44" width="55.6640625" bestFit="1" customWidth="1"/>
    <col min="45" max="45" width="41" bestFit="1" customWidth="1"/>
    <col min="46" max="46" width="17.6640625" bestFit="1" customWidth="1"/>
    <col min="47" max="47" width="26.6640625" bestFit="1" customWidth="1"/>
    <col min="48" max="48" width="23.77734375" bestFit="1" customWidth="1"/>
    <col min="49" max="49" width="36.77734375" bestFit="1" customWidth="1"/>
    <col min="50" max="50" width="32.5546875" bestFit="1" customWidth="1"/>
    <col min="51" max="51" width="20.33203125" bestFit="1" customWidth="1"/>
    <col min="52" max="52" width="36.77734375" bestFit="1" customWidth="1"/>
    <col min="53" max="53" width="42.21875" bestFit="1" customWidth="1"/>
    <col min="54" max="54" width="55.6640625" bestFit="1" customWidth="1"/>
    <col min="55" max="55" width="64.33203125" bestFit="1" customWidth="1"/>
    <col min="56" max="56" width="69.21875" bestFit="1" customWidth="1"/>
    <col min="57" max="57" width="43.33203125" bestFit="1" customWidth="1"/>
    <col min="58" max="58" width="18.6640625" bestFit="1" customWidth="1"/>
    <col min="59" max="59" width="66.109375" bestFit="1" customWidth="1"/>
    <col min="60" max="60" width="47.6640625" bestFit="1" customWidth="1"/>
    <col min="61" max="61" width="64" bestFit="1" customWidth="1"/>
    <col min="62" max="62" width="43.88671875" bestFit="1" customWidth="1"/>
    <col min="63" max="63" width="14.77734375" bestFit="1" customWidth="1"/>
    <col min="64" max="64" width="50.21875" bestFit="1" customWidth="1"/>
    <col min="65" max="65" width="18" bestFit="1" customWidth="1"/>
    <col min="66" max="66" width="28.44140625" bestFit="1" customWidth="1"/>
    <col min="67" max="67" width="22.88671875" bestFit="1" customWidth="1"/>
    <col min="68" max="68" width="16.109375" bestFit="1" customWidth="1"/>
    <col min="69" max="69" width="18.21875" bestFit="1" customWidth="1"/>
    <col min="70" max="70" width="13.21875" bestFit="1" customWidth="1"/>
    <col min="71" max="71" width="17.6640625" bestFit="1" customWidth="1"/>
    <col min="72" max="72" width="14.109375" bestFit="1" customWidth="1"/>
    <col min="73" max="74" width="49.5546875" bestFit="1" customWidth="1"/>
    <col min="75" max="75" width="84.21875" bestFit="1" customWidth="1"/>
    <col min="76" max="92" width="9.33203125" bestFit="1" customWidth="1"/>
    <col min="93" max="93" width="52.33203125" bestFit="1" customWidth="1"/>
    <col min="94" max="94" width="28.77734375" bestFit="1" customWidth="1"/>
    <col min="95" max="95" width="44.5546875" bestFit="1" customWidth="1"/>
    <col min="96" max="96" width="38.21875" bestFit="1" customWidth="1"/>
    <col min="97" max="97" width="20.6640625" bestFit="1" customWidth="1"/>
    <col min="98" max="98" width="23.44140625" bestFit="1" customWidth="1"/>
    <col min="99" max="99" width="47.21875" bestFit="1" customWidth="1"/>
    <col min="100" max="100" width="22.6640625" bestFit="1" customWidth="1"/>
    <col min="101" max="101" width="24.109375" bestFit="1" customWidth="1"/>
    <col min="102" max="102" width="39.109375" bestFit="1" customWidth="1"/>
    <col min="103" max="103" width="23.21875" bestFit="1" customWidth="1"/>
    <col min="104" max="104" width="37.5546875" bestFit="1" customWidth="1"/>
    <col min="105" max="105" width="48" bestFit="1" customWidth="1"/>
    <col min="106" max="106" width="40.44140625" bestFit="1" customWidth="1"/>
    <col min="107" max="107" width="30.33203125" bestFit="1" customWidth="1"/>
    <col min="108" max="108" width="26.5546875" bestFit="1" customWidth="1"/>
    <col min="109" max="109" width="34.88671875" bestFit="1" customWidth="1"/>
    <col min="110" max="110" width="36.44140625" bestFit="1" customWidth="1"/>
    <col min="111" max="111" width="58.44140625" bestFit="1" customWidth="1"/>
    <col min="112" max="112" width="27.21875" bestFit="1" customWidth="1"/>
    <col min="113" max="113" width="44.6640625" bestFit="1" customWidth="1"/>
    <col min="114" max="114" width="64.44140625" bestFit="1" customWidth="1"/>
    <col min="115" max="115" width="34.21875" bestFit="1" customWidth="1"/>
    <col min="116" max="116" width="48.6640625" bestFit="1" customWidth="1"/>
    <col min="117" max="117" width="27.88671875" bestFit="1" customWidth="1"/>
    <col min="118" max="118" width="32.21875" bestFit="1" customWidth="1"/>
    <col min="119" max="119" width="35.77734375" bestFit="1" customWidth="1"/>
    <col min="120" max="120" width="22.33203125" bestFit="1" customWidth="1"/>
    <col min="121" max="121" width="27.33203125" bestFit="1" customWidth="1"/>
    <col min="122" max="122" width="43" bestFit="1" customWidth="1"/>
    <col min="123" max="123" width="23.33203125" bestFit="1" customWidth="1"/>
    <col min="124" max="124" width="32.44140625" bestFit="1" customWidth="1"/>
    <col min="125" max="125" width="17.88671875" bestFit="1" customWidth="1"/>
    <col min="126" max="126" width="16.88671875" bestFit="1" customWidth="1"/>
    <col min="127" max="127" width="22.88671875" bestFit="1" customWidth="1"/>
    <col min="128" max="128" width="52.44140625" bestFit="1" customWidth="1"/>
    <col min="129" max="129" width="58.77734375" bestFit="1" customWidth="1"/>
    <col min="130" max="130" width="61" bestFit="1" customWidth="1"/>
    <col min="131" max="131" width="44.21875" bestFit="1" customWidth="1"/>
    <col min="132" max="132" width="47.21875" bestFit="1" customWidth="1"/>
    <col min="133" max="133" width="65.6640625" bestFit="1" customWidth="1"/>
    <col min="134" max="134" width="32.88671875" bestFit="1" customWidth="1"/>
    <col min="135" max="135" width="43.21875" bestFit="1" customWidth="1"/>
    <col min="136" max="136" width="61.33203125" bestFit="1" customWidth="1"/>
    <col min="137" max="137" width="40.21875" bestFit="1" customWidth="1"/>
    <col min="138" max="138" width="28.33203125" bestFit="1" customWidth="1"/>
    <col min="139" max="139" width="34.33203125" bestFit="1" customWidth="1"/>
    <col min="140" max="140" width="48.21875" bestFit="1" customWidth="1"/>
    <col min="141" max="141" width="45.109375" bestFit="1" customWidth="1"/>
    <col min="142" max="142" width="43.5546875" bestFit="1" customWidth="1"/>
    <col min="143" max="143" width="71.21875" bestFit="1" customWidth="1"/>
    <col min="144" max="144" width="31.21875" bestFit="1" customWidth="1"/>
    <col min="145" max="145" width="63.44140625" bestFit="1" customWidth="1"/>
    <col min="146" max="146" width="76.21875" bestFit="1" customWidth="1"/>
    <col min="147" max="147" width="37.109375" bestFit="1" customWidth="1"/>
    <col min="148" max="148" width="31.6640625" bestFit="1" customWidth="1"/>
    <col min="149" max="149" width="29.88671875" bestFit="1" customWidth="1"/>
    <col min="150" max="150" width="42" bestFit="1" customWidth="1"/>
    <col min="151" max="151" width="30.21875" bestFit="1" customWidth="1"/>
    <col min="152" max="152" width="53.21875" bestFit="1" customWidth="1"/>
    <col min="153" max="153" width="26" bestFit="1" customWidth="1"/>
    <col min="154" max="154" width="46" bestFit="1" customWidth="1"/>
    <col min="155" max="155" width="32.77734375" bestFit="1" customWidth="1"/>
    <col min="156" max="156" width="37.33203125" bestFit="1" customWidth="1"/>
    <col min="157" max="157" width="22.109375" bestFit="1" customWidth="1"/>
    <col min="158" max="158" width="31.21875" bestFit="1" customWidth="1"/>
    <col min="159" max="159" width="12.109375" bestFit="1" customWidth="1"/>
    <col min="160" max="160" width="36.5546875" bestFit="1" customWidth="1"/>
    <col min="161" max="161" width="57.77734375" bestFit="1" customWidth="1"/>
    <col min="162" max="162" width="56.33203125" bestFit="1" customWidth="1"/>
    <col min="163" max="163" width="28.5546875" bestFit="1" customWidth="1"/>
    <col min="164" max="164" width="16.109375" bestFit="1" customWidth="1"/>
    <col min="165" max="165" width="36.88671875" bestFit="1" customWidth="1"/>
    <col min="166" max="166" width="30.77734375" bestFit="1" customWidth="1"/>
    <col min="167" max="167" width="23.88671875" bestFit="1" customWidth="1"/>
    <col min="168" max="168" width="20.77734375" bestFit="1" customWidth="1"/>
    <col min="169" max="169" width="36.109375" bestFit="1" customWidth="1"/>
    <col min="170" max="170" width="64.6640625" bestFit="1" customWidth="1"/>
    <col min="171" max="171" width="43.77734375" bestFit="1" customWidth="1"/>
    <col min="172" max="172" width="18.21875" bestFit="1" customWidth="1"/>
    <col min="173" max="173" width="66.6640625" bestFit="1" customWidth="1"/>
    <col min="174" max="174" width="40.33203125" bestFit="1" customWidth="1"/>
    <col min="175" max="175" width="69.33203125" bestFit="1" customWidth="1"/>
    <col min="176" max="176" width="36.88671875" bestFit="1" customWidth="1"/>
    <col min="177" max="177" width="56.77734375" bestFit="1" customWidth="1"/>
    <col min="178" max="178" width="39.44140625" bestFit="1" customWidth="1"/>
    <col min="179" max="179" width="32.6640625" bestFit="1" customWidth="1"/>
    <col min="180" max="180" width="54" bestFit="1" customWidth="1"/>
    <col min="181" max="181" width="29.6640625" bestFit="1" customWidth="1"/>
    <col min="182" max="182" width="36" bestFit="1" customWidth="1"/>
    <col min="183" max="183" width="26.88671875" bestFit="1" customWidth="1"/>
    <col min="184" max="184" width="32.77734375" bestFit="1" customWidth="1"/>
    <col min="185" max="185" width="18.44140625" bestFit="1" customWidth="1"/>
    <col min="186" max="186" width="51.109375" bestFit="1" customWidth="1"/>
    <col min="187" max="187" width="40" bestFit="1" customWidth="1"/>
    <col min="188" max="188" width="48.77734375" bestFit="1" customWidth="1"/>
    <col min="189" max="189" width="48" bestFit="1" customWidth="1"/>
    <col min="190" max="190" width="46.21875" bestFit="1" customWidth="1"/>
    <col min="191" max="191" width="45" bestFit="1" customWidth="1"/>
    <col min="192" max="192" width="15.88671875" bestFit="1" customWidth="1"/>
    <col min="193" max="193" width="75.109375" bestFit="1" customWidth="1"/>
    <col min="194" max="194" width="15.6640625" bestFit="1" customWidth="1"/>
    <col min="195" max="195" width="21.109375" bestFit="1" customWidth="1"/>
    <col min="196" max="196" width="21.33203125" bestFit="1" customWidth="1"/>
    <col min="197" max="197" width="28.6640625" bestFit="1" customWidth="1"/>
    <col min="198" max="198" width="38.21875" bestFit="1" customWidth="1"/>
    <col min="199" max="199" width="34.33203125" bestFit="1" customWidth="1"/>
    <col min="200" max="200" width="52.6640625" bestFit="1" customWidth="1"/>
    <col min="201" max="201" width="51.44140625" bestFit="1" customWidth="1"/>
    <col min="202" max="202" width="41.88671875" bestFit="1" customWidth="1"/>
    <col min="203" max="203" width="44.77734375" bestFit="1" customWidth="1"/>
    <col min="204" max="204" width="45.33203125" bestFit="1" customWidth="1"/>
    <col min="205" max="205" width="42.77734375" bestFit="1" customWidth="1"/>
    <col min="206" max="206" width="51.109375" bestFit="1" customWidth="1"/>
    <col min="207" max="207" width="45.109375" bestFit="1" customWidth="1"/>
    <col min="208" max="208" width="65.77734375" bestFit="1" customWidth="1"/>
    <col min="209" max="209" width="58.77734375" bestFit="1" customWidth="1"/>
    <col min="210" max="210" width="50.77734375" bestFit="1" customWidth="1"/>
    <col min="211" max="211" width="41" bestFit="1" customWidth="1"/>
    <col min="212" max="212" width="21.77734375" bestFit="1" customWidth="1"/>
    <col min="213" max="213" width="38.33203125" bestFit="1" customWidth="1"/>
    <col min="214" max="214" width="26" bestFit="1" customWidth="1"/>
    <col min="215" max="215" width="28.109375" bestFit="1" customWidth="1"/>
    <col min="216" max="216" width="57" bestFit="1" customWidth="1"/>
    <col min="217" max="217" width="40.6640625" bestFit="1" customWidth="1"/>
    <col min="218" max="218" width="55.5546875" bestFit="1" customWidth="1"/>
    <col min="219" max="219" width="28.44140625" bestFit="1" customWidth="1"/>
    <col min="220" max="220" width="31.44140625" bestFit="1" customWidth="1"/>
    <col min="221" max="221" width="27" bestFit="1" customWidth="1"/>
    <col min="222" max="222" width="53.21875" bestFit="1" customWidth="1"/>
    <col min="223" max="223" width="56.5546875" bestFit="1" customWidth="1"/>
    <col min="224" max="224" width="41.6640625" bestFit="1" customWidth="1"/>
    <col min="225" max="225" width="32.77734375" bestFit="1" customWidth="1"/>
    <col min="226" max="226" width="42.6640625" bestFit="1" customWidth="1"/>
    <col min="227" max="227" width="53.109375" bestFit="1" customWidth="1"/>
    <col min="228" max="228" width="40.33203125" bestFit="1" customWidth="1"/>
    <col min="229" max="229" width="57.21875" bestFit="1" customWidth="1"/>
    <col min="230" max="230" width="38.6640625" bestFit="1" customWidth="1"/>
    <col min="231" max="231" width="26.44140625" bestFit="1" customWidth="1"/>
    <col min="232" max="232" width="26.6640625" bestFit="1" customWidth="1"/>
    <col min="233" max="233" width="46.5546875" bestFit="1" customWidth="1"/>
    <col min="234" max="234" width="38.77734375" bestFit="1" customWidth="1"/>
    <col min="235" max="235" width="44.6640625" bestFit="1" customWidth="1"/>
    <col min="236" max="236" width="20.21875" bestFit="1" customWidth="1"/>
    <col min="237" max="237" width="32.33203125" bestFit="1" customWidth="1"/>
    <col min="238" max="238" width="27.44140625" bestFit="1" customWidth="1"/>
    <col min="239" max="239" width="30.109375" bestFit="1" customWidth="1"/>
    <col min="240" max="241" width="40.33203125" bestFit="1" customWidth="1"/>
    <col min="242" max="242" width="38.88671875" bestFit="1" customWidth="1"/>
    <col min="243" max="243" width="30.6640625" bestFit="1" customWidth="1"/>
    <col min="244" max="244" width="24.5546875" bestFit="1" customWidth="1"/>
    <col min="245" max="245" width="28.6640625" bestFit="1" customWidth="1"/>
    <col min="246" max="246" width="42.33203125" bestFit="1" customWidth="1"/>
    <col min="247" max="247" width="20.6640625" bestFit="1" customWidth="1"/>
    <col min="248" max="248" width="26.6640625" bestFit="1" customWidth="1"/>
    <col min="249" max="249" width="19.88671875" bestFit="1" customWidth="1"/>
    <col min="250" max="250" width="44.77734375" bestFit="1" customWidth="1"/>
    <col min="251" max="251" width="26.6640625" bestFit="1" customWidth="1"/>
    <col min="252" max="252" width="43.109375" bestFit="1" customWidth="1"/>
    <col min="253" max="253" width="52.109375" bestFit="1" customWidth="1"/>
    <col min="254" max="254" width="38.21875" bestFit="1" customWidth="1"/>
    <col min="255" max="255" width="40.5546875" bestFit="1" customWidth="1"/>
    <col min="256" max="256" width="38.88671875" bestFit="1" customWidth="1"/>
    <col min="257" max="257" width="23.6640625" bestFit="1" customWidth="1"/>
    <col min="258" max="258" width="44.5546875" bestFit="1" customWidth="1"/>
    <col min="259" max="259" width="40.21875" bestFit="1" customWidth="1"/>
    <col min="260" max="260" width="51" bestFit="1" customWidth="1"/>
    <col min="261" max="261" width="23.5546875" bestFit="1" customWidth="1"/>
    <col min="262" max="262" width="51.77734375" bestFit="1" customWidth="1"/>
    <col min="263" max="263" width="40.33203125" bestFit="1" customWidth="1"/>
    <col min="264" max="264" width="31.33203125" bestFit="1" customWidth="1"/>
    <col min="265" max="265" width="37.88671875" bestFit="1" customWidth="1"/>
    <col min="266" max="266" width="42.77734375" bestFit="1" customWidth="1"/>
    <col min="267" max="267" width="33.33203125" bestFit="1" customWidth="1"/>
    <col min="268" max="268" width="22" bestFit="1" customWidth="1"/>
    <col min="269" max="269" width="35.77734375" bestFit="1" customWidth="1"/>
    <col min="270" max="270" width="11.6640625" bestFit="1" customWidth="1"/>
    <col min="271" max="271" width="59.5546875" bestFit="1" customWidth="1"/>
    <col min="272" max="272" width="21.44140625" bestFit="1" customWidth="1"/>
    <col min="273" max="273" width="68.88671875" bestFit="1" customWidth="1"/>
    <col min="274" max="274" width="44.44140625" bestFit="1" customWidth="1"/>
    <col min="275" max="275" width="45.77734375" bestFit="1" customWidth="1"/>
    <col min="276" max="276" width="36" bestFit="1" customWidth="1"/>
    <col min="277" max="277" width="30.21875" bestFit="1" customWidth="1"/>
    <col min="278" max="278" width="29.88671875" bestFit="1" customWidth="1"/>
    <col min="279" max="279" width="30" bestFit="1" customWidth="1"/>
    <col min="280" max="280" width="29.5546875" bestFit="1" customWidth="1"/>
    <col min="281" max="281" width="42.109375" bestFit="1" customWidth="1"/>
    <col min="282" max="282" width="40" bestFit="1" customWidth="1"/>
    <col min="283" max="283" width="71.44140625" bestFit="1" customWidth="1"/>
    <col min="284" max="284" width="24.44140625" bestFit="1" customWidth="1"/>
    <col min="285" max="285" width="40.88671875" bestFit="1" customWidth="1"/>
    <col min="286" max="286" width="39.6640625" bestFit="1" customWidth="1"/>
    <col min="287" max="287" width="59.33203125" bestFit="1" customWidth="1"/>
    <col min="288" max="288" width="32.77734375" bestFit="1" customWidth="1"/>
    <col min="289" max="289" width="17.5546875" bestFit="1" customWidth="1"/>
    <col min="290" max="290" width="40.88671875" bestFit="1" customWidth="1"/>
    <col min="291" max="291" width="18.33203125" bestFit="1" customWidth="1"/>
    <col min="292" max="292" width="42.88671875" bestFit="1" customWidth="1"/>
    <col min="293" max="293" width="46.5546875" bestFit="1" customWidth="1"/>
    <col min="294" max="294" width="30.77734375" bestFit="1" customWidth="1"/>
    <col min="295" max="295" width="86.21875" bestFit="1" customWidth="1"/>
    <col min="296" max="296" width="19.33203125" bestFit="1" customWidth="1"/>
    <col min="297" max="297" width="55.44140625" bestFit="1" customWidth="1"/>
    <col min="298" max="298" width="67.6640625" bestFit="1" customWidth="1"/>
    <col min="299" max="299" width="27.88671875" bestFit="1" customWidth="1"/>
    <col min="300" max="300" width="34.5546875" bestFit="1" customWidth="1"/>
    <col min="301" max="301" width="38.109375" bestFit="1" customWidth="1"/>
    <col min="302" max="302" width="24.77734375" bestFit="1" customWidth="1"/>
    <col min="303" max="303" width="34" bestFit="1" customWidth="1"/>
    <col min="304" max="304" width="26.88671875" bestFit="1" customWidth="1"/>
    <col min="305" max="305" width="22.21875" bestFit="1" customWidth="1"/>
    <col min="306" max="306" width="60.33203125" bestFit="1" customWidth="1"/>
    <col min="307" max="307" width="29.5546875" bestFit="1" customWidth="1"/>
    <col min="308" max="308" width="31.33203125" bestFit="1" customWidth="1"/>
    <col min="309" max="309" width="33.44140625" bestFit="1" customWidth="1"/>
    <col min="310" max="310" width="33" bestFit="1" customWidth="1"/>
    <col min="311" max="311" width="45" bestFit="1" customWidth="1"/>
    <col min="312" max="312" width="26.109375" bestFit="1" customWidth="1"/>
    <col min="313" max="313" width="48.5546875" bestFit="1" customWidth="1"/>
    <col min="314" max="314" width="32.5546875" bestFit="1" customWidth="1"/>
    <col min="315" max="315" width="12.44140625" bestFit="1" customWidth="1"/>
    <col min="316" max="316" width="62.44140625" bestFit="1" customWidth="1"/>
    <col min="317" max="317" width="42.6640625" bestFit="1" customWidth="1"/>
    <col min="318" max="318" width="31.33203125" bestFit="1" customWidth="1"/>
    <col min="319" max="319" width="29.5546875" bestFit="1" customWidth="1"/>
    <col min="320" max="320" width="39.33203125" bestFit="1" customWidth="1"/>
    <col min="321" max="321" width="40" bestFit="1" customWidth="1"/>
    <col min="322" max="322" width="43.21875" bestFit="1" customWidth="1"/>
    <col min="323" max="323" width="54.44140625" bestFit="1" customWidth="1"/>
    <col min="324" max="324" width="50.109375" bestFit="1" customWidth="1"/>
    <col min="325" max="325" width="45.109375" bestFit="1" customWidth="1"/>
    <col min="326" max="326" width="30.5546875" bestFit="1" customWidth="1"/>
    <col min="327" max="327" width="69" bestFit="1" customWidth="1"/>
    <col min="328" max="328" width="42" bestFit="1" customWidth="1"/>
    <col min="329" max="329" width="45.6640625" bestFit="1" customWidth="1"/>
    <col min="330" max="330" width="40.21875" bestFit="1" customWidth="1"/>
    <col min="331" max="331" width="45" bestFit="1" customWidth="1"/>
    <col min="332" max="332" width="39.77734375" bestFit="1" customWidth="1"/>
    <col min="333" max="333" width="48.33203125" bestFit="1" customWidth="1"/>
    <col min="334" max="334" width="59.6640625" bestFit="1" customWidth="1"/>
    <col min="335" max="335" width="68.44140625" bestFit="1" customWidth="1"/>
    <col min="336" max="338" width="37.44140625" bestFit="1" customWidth="1"/>
    <col min="339" max="339" width="48.6640625" bestFit="1" customWidth="1"/>
    <col min="340" max="340" width="24.33203125" bestFit="1" customWidth="1"/>
    <col min="341" max="341" width="31.88671875" bestFit="1" customWidth="1"/>
    <col min="342" max="342" width="30.21875" bestFit="1" customWidth="1"/>
    <col min="343" max="343" width="22.109375" bestFit="1" customWidth="1"/>
    <col min="344" max="344" width="32.21875" bestFit="1" customWidth="1"/>
    <col min="345" max="345" width="13.5546875" bestFit="1" customWidth="1"/>
    <col min="346" max="346" width="12.77734375" bestFit="1" customWidth="1"/>
    <col min="347" max="347" width="40.109375" bestFit="1" customWidth="1"/>
    <col min="348" max="348" width="45.5546875" bestFit="1" customWidth="1"/>
    <col min="349" max="349" width="38.77734375" bestFit="1" customWidth="1"/>
    <col min="350" max="350" width="31.109375" bestFit="1" customWidth="1"/>
    <col min="351" max="351" width="52.88671875" bestFit="1" customWidth="1"/>
    <col min="352" max="352" width="47.6640625" bestFit="1" customWidth="1"/>
    <col min="353" max="353" width="44.6640625" bestFit="1" customWidth="1"/>
    <col min="354" max="354" width="65.21875" bestFit="1" customWidth="1"/>
    <col min="355" max="355" width="33.88671875" bestFit="1" customWidth="1"/>
    <col min="356" max="356" width="35.33203125" bestFit="1" customWidth="1"/>
    <col min="357" max="357" width="47.5546875" bestFit="1" customWidth="1"/>
    <col min="358" max="358" width="27.6640625" bestFit="1" customWidth="1"/>
    <col min="359" max="359" width="30.6640625" bestFit="1" customWidth="1"/>
    <col min="360" max="360" width="28.21875" bestFit="1" customWidth="1"/>
    <col min="361" max="361" width="55" bestFit="1" customWidth="1"/>
    <col min="362" max="362" width="30.109375" bestFit="1" customWidth="1"/>
    <col min="363" max="363" width="42.6640625" bestFit="1" customWidth="1"/>
    <col min="364" max="364" width="51.6640625" bestFit="1" customWidth="1"/>
    <col min="365" max="365" width="24" bestFit="1" customWidth="1"/>
    <col min="366" max="366" width="34.33203125" bestFit="1" customWidth="1"/>
    <col min="367" max="367" width="52.44140625" bestFit="1" customWidth="1"/>
    <col min="368" max="368" width="30.33203125" bestFit="1" customWidth="1"/>
    <col min="369" max="369" width="28.33203125" bestFit="1" customWidth="1"/>
    <col min="370" max="370" width="37.109375" bestFit="1" customWidth="1"/>
    <col min="371" max="371" width="26.6640625" bestFit="1" customWidth="1"/>
    <col min="372" max="372" width="18" bestFit="1" customWidth="1"/>
    <col min="373" max="373" width="26.33203125" bestFit="1" customWidth="1"/>
    <col min="374" max="374" width="20.21875" bestFit="1" customWidth="1"/>
    <col min="375" max="375" width="24.6640625" bestFit="1" customWidth="1"/>
    <col min="376" max="376" width="34.21875" bestFit="1" customWidth="1"/>
    <col min="377" max="377" width="53.5546875" bestFit="1" customWidth="1"/>
    <col min="378" max="378" width="30.5546875" bestFit="1" customWidth="1"/>
    <col min="379" max="380" width="29.5546875" bestFit="1" customWidth="1"/>
    <col min="381" max="382" width="45.109375" bestFit="1" customWidth="1"/>
    <col min="383" max="383" width="69.5546875" bestFit="1" customWidth="1"/>
    <col min="384" max="384" width="66.5546875" bestFit="1" customWidth="1"/>
    <col min="385" max="385" width="28.88671875" bestFit="1" customWidth="1"/>
    <col min="386" max="386" width="32.6640625" bestFit="1" customWidth="1"/>
    <col min="387" max="387" width="38.5546875" bestFit="1" customWidth="1"/>
    <col min="388" max="388" width="16.21875" bestFit="1" customWidth="1"/>
    <col min="389" max="389" width="17.44140625" bestFit="1" customWidth="1"/>
    <col min="390" max="390" width="47.5546875" bestFit="1" customWidth="1"/>
    <col min="391" max="406" width="10.109375" bestFit="1" customWidth="1"/>
    <col min="407" max="407" width="9.109375" bestFit="1" customWidth="1"/>
    <col min="408" max="412" width="10.109375" bestFit="1" customWidth="1"/>
    <col min="413" max="413" width="16" bestFit="1" customWidth="1"/>
    <col min="414" max="414" width="15" bestFit="1" customWidth="1"/>
    <col min="415" max="415" width="13.77734375" bestFit="1" customWidth="1"/>
    <col min="416" max="416" width="44.77734375" bestFit="1" customWidth="1"/>
    <col min="417" max="417" width="43.5546875" bestFit="1" customWidth="1"/>
    <col min="418" max="418" width="47.109375" bestFit="1" customWidth="1"/>
    <col min="419" max="419" width="61.33203125" bestFit="1" customWidth="1"/>
    <col min="420" max="420" width="44.6640625" bestFit="1" customWidth="1"/>
    <col min="421" max="421" width="14.33203125" bestFit="1" customWidth="1"/>
    <col min="422" max="422" width="28.5546875" bestFit="1" customWidth="1"/>
    <col min="423" max="423" width="34.6640625" bestFit="1" customWidth="1"/>
    <col min="424" max="425" width="35.88671875" bestFit="1" customWidth="1"/>
    <col min="426" max="426" width="39.33203125" bestFit="1" customWidth="1"/>
    <col min="427" max="427" width="41.109375" bestFit="1" customWidth="1"/>
    <col min="428" max="428" width="44.44140625" bestFit="1" customWidth="1"/>
    <col min="429" max="429" width="48.21875" bestFit="1" customWidth="1"/>
    <col min="430" max="430" width="46" bestFit="1" customWidth="1"/>
    <col min="431" max="431" width="48.33203125" bestFit="1" customWidth="1"/>
    <col min="432" max="432" width="20.44140625" bestFit="1" customWidth="1"/>
    <col min="433" max="433" width="90.77734375" bestFit="1" customWidth="1"/>
    <col min="434" max="434" width="17.88671875" bestFit="1" customWidth="1"/>
    <col min="435" max="435" width="31.5546875" bestFit="1" customWidth="1"/>
    <col min="436" max="436" width="20.6640625" bestFit="1" customWidth="1"/>
    <col min="437" max="437" width="25.6640625" bestFit="1" customWidth="1"/>
    <col min="438" max="438" width="37.5546875" bestFit="1" customWidth="1"/>
    <col min="439" max="439" width="35.109375" bestFit="1" customWidth="1"/>
    <col min="440" max="440" width="18.33203125" bestFit="1" customWidth="1"/>
    <col min="441" max="441" width="56.44140625" bestFit="1" customWidth="1"/>
    <col min="442" max="442" width="60.88671875" bestFit="1" customWidth="1"/>
    <col min="443" max="443" width="41.88671875" bestFit="1" customWidth="1"/>
    <col min="444" max="444" width="42" bestFit="1" customWidth="1"/>
    <col min="445" max="445" width="30.33203125" bestFit="1" customWidth="1"/>
    <col min="446" max="446" width="32.88671875" bestFit="1" customWidth="1"/>
    <col min="447" max="447" width="41.33203125" bestFit="1" customWidth="1"/>
    <col min="448" max="448" width="26.5546875" bestFit="1" customWidth="1"/>
    <col min="449" max="449" width="58.88671875" bestFit="1" customWidth="1"/>
    <col min="450" max="450" width="28.44140625" bestFit="1" customWidth="1"/>
    <col min="451" max="451" width="19.33203125" bestFit="1" customWidth="1"/>
    <col min="452" max="452" width="22.109375" bestFit="1" customWidth="1"/>
    <col min="453" max="453" width="30.88671875" bestFit="1" customWidth="1"/>
    <col min="454" max="454" width="43.77734375" bestFit="1" customWidth="1"/>
    <col min="455" max="455" width="60" bestFit="1" customWidth="1"/>
    <col min="456" max="456" width="54.44140625" bestFit="1" customWidth="1"/>
    <col min="457" max="457" width="24.77734375" bestFit="1" customWidth="1"/>
    <col min="458" max="458" width="30.5546875" bestFit="1" customWidth="1"/>
    <col min="459" max="459" width="27.88671875" bestFit="1" customWidth="1"/>
    <col min="460" max="460" width="31.77734375" bestFit="1" customWidth="1"/>
    <col min="461" max="461" width="34.5546875" bestFit="1" customWidth="1"/>
    <col min="462" max="462" width="55.88671875" bestFit="1" customWidth="1"/>
    <col min="463" max="463" width="43.33203125" bestFit="1" customWidth="1"/>
    <col min="464" max="464" width="54.5546875" bestFit="1" customWidth="1"/>
    <col min="465" max="466" width="34.44140625" bestFit="1" customWidth="1"/>
    <col min="467" max="467" width="44.6640625" bestFit="1" customWidth="1"/>
    <col min="468" max="468" width="34.109375" bestFit="1" customWidth="1"/>
    <col min="469" max="469" width="55.44140625" bestFit="1" customWidth="1"/>
    <col min="470" max="470" width="53.5546875" bestFit="1" customWidth="1"/>
    <col min="471" max="471" width="35.77734375" bestFit="1" customWidth="1"/>
    <col min="472" max="472" width="23.44140625" bestFit="1" customWidth="1"/>
    <col min="473" max="473" width="36.109375" bestFit="1" customWidth="1"/>
    <col min="474" max="474" width="69" bestFit="1" customWidth="1"/>
    <col min="475" max="475" width="42.44140625" bestFit="1" customWidth="1"/>
    <col min="476" max="476" width="24.33203125" bestFit="1" customWidth="1"/>
    <col min="477" max="477" width="25.88671875" bestFit="1" customWidth="1"/>
    <col min="478" max="478" width="24" bestFit="1" customWidth="1"/>
    <col min="479" max="479" width="35" bestFit="1" customWidth="1"/>
    <col min="480" max="480" width="28.6640625" bestFit="1" customWidth="1"/>
    <col min="481" max="481" width="18.109375" bestFit="1" customWidth="1"/>
    <col min="482" max="482" width="24.33203125" bestFit="1" customWidth="1"/>
    <col min="483" max="483" width="26.33203125" bestFit="1" customWidth="1"/>
    <col min="484" max="484" width="55" bestFit="1" customWidth="1"/>
    <col min="485" max="485" width="72" bestFit="1" customWidth="1"/>
    <col min="486" max="486" width="24" bestFit="1" customWidth="1"/>
    <col min="487" max="487" width="66.6640625" bestFit="1" customWidth="1"/>
    <col min="488" max="488" width="60.88671875" bestFit="1" customWidth="1"/>
    <col min="489" max="489" width="17.21875" bestFit="1" customWidth="1"/>
    <col min="490" max="490" width="21.6640625" bestFit="1" customWidth="1"/>
    <col min="491" max="491" width="32.6640625" bestFit="1" customWidth="1"/>
    <col min="492" max="492" width="32.44140625" bestFit="1" customWidth="1"/>
    <col min="493" max="493" width="47.21875" bestFit="1" customWidth="1"/>
    <col min="494" max="494" width="46.6640625" bestFit="1" customWidth="1"/>
    <col min="495" max="495" width="47.88671875" bestFit="1" customWidth="1"/>
    <col min="496" max="496" width="65.77734375" bestFit="1" customWidth="1"/>
    <col min="497" max="497" width="43.77734375" bestFit="1" customWidth="1"/>
    <col min="498" max="498" width="23.88671875" bestFit="1" customWidth="1"/>
    <col min="499" max="499" width="33.21875" bestFit="1" customWidth="1"/>
    <col min="500" max="500" width="32.21875" bestFit="1" customWidth="1"/>
    <col min="501" max="501" width="50.21875" bestFit="1" customWidth="1"/>
    <col min="502" max="502" width="37.21875" bestFit="1" customWidth="1"/>
    <col min="503" max="503" width="29.6640625" bestFit="1" customWidth="1"/>
    <col min="504" max="504" width="27.21875" bestFit="1" customWidth="1"/>
    <col min="505" max="505" width="35.6640625" bestFit="1" customWidth="1"/>
    <col min="506" max="506" width="23.77734375" bestFit="1" customWidth="1"/>
    <col min="507" max="507" width="44.109375" bestFit="1" customWidth="1"/>
    <col min="508" max="508" width="56.5546875" bestFit="1" customWidth="1"/>
    <col min="509" max="509" width="43.77734375" bestFit="1" customWidth="1"/>
    <col min="510" max="511" width="41.109375" bestFit="1" customWidth="1"/>
    <col min="512" max="512" width="49.33203125" bestFit="1" customWidth="1"/>
    <col min="513" max="513" width="44.77734375" bestFit="1" customWidth="1"/>
    <col min="514" max="514" width="48.77734375" bestFit="1" customWidth="1"/>
    <col min="515" max="515" width="37.5546875" bestFit="1" customWidth="1"/>
    <col min="516" max="516" width="29.21875" bestFit="1" customWidth="1"/>
    <col min="517" max="517" width="23.33203125" bestFit="1" customWidth="1"/>
    <col min="518" max="518" width="14.5546875" bestFit="1" customWidth="1"/>
    <col min="519" max="519" width="12.109375" bestFit="1" customWidth="1"/>
    <col min="520" max="520" width="13.21875" bestFit="1" customWidth="1"/>
    <col min="521" max="521" width="24" bestFit="1" customWidth="1"/>
    <col min="522" max="522" width="14.44140625" bestFit="1" customWidth="1"/>
    <col min="523" max="523" width="7" bestFit="1" customWidth="1"/>
    <col min="524" max="524" width="19.44140625" bestFit="1" customWidth="1"/>
    <col min="525" max="525" width="30.5546875" bestFit="1" customWidth="1"/>
    <col min="526" max="526" width="33.21875" bestFit="1" customWidth="1"/>
    <col min="527" max="527" width="23.33203125" bestFit="1" customWidth="1"/>
    <col min="528" max="528" width="21" bestFit="1" customWidth="1"/>
    <col min="529" max="529" width="37.33203125" bestFit="1" customWidth="1"/>
    <col min="530" max="530" width="53.5546875" bestFit="1" customWidth="1"/>
    <col min="531" max="531" width="19.5546875" bestFit="1" customWidth="1"/>
    <col min="532" max="532" width="32.5546875" bestFit="1" customWidth="1"/>
    <col min="533" max="533" width="19.21875" bestFit="1" customWidth="1"/>
    <col min="534" max="534" width="30.6640625" bestFit="1" customWidth="1"/>
    <col min="535" max="535" width="40.33203125" bestFit="1" customWidth="1"/>
    <col min="536" max="536" width="36.21875" bestFit="1" customWidth="1"/>
    <col min="537" max="537" width="43.33203125" bestFit="1" customWidth="1"/>
    <col min="538" max="538" width="19.88671875" bestFit="1" customWidth="1"/>
    <col min="539" max="539" width="25.77734375" bestFit="1" customWidth="1"/>
    <col min="540" max="540" width="65.6640625" bestFit="1" customWidth="1"/>
    <col min="541" max="541" width="29.5546875" bestFit="1" customWidth="1"/>
    <col min="542" max="542" width="26" bestFit="1" customWidth="1"/>
    <col min="543" max="543" width="38.5546875" bestFit="1" customWidth="1"/>
    <col min="544" max="544" width="21.44140625" bestFit="1" customWidth="1"/>
    <col min="545" max="545" width="55.5546875" bestFit="1" customWidth="1"/>
    <col min="546" max="546" width="35.88671875" bestFit="1" customWidth="1"/>
    <col min="547" max="547" width="52.77734375" bestFit="1" customWidth="1"/>
    <col min="548" max="548" width="39" bestFit="1" customWidth="1"/>
    <col min="549" max="549" width="29.5546875" bestFit="1" customWidth="1"/>
    <col min="550" max="550" width="25.6640625" bestFit="1" customWidth="1"/>
    <col min="551" max="551" width="59.88671875" bestFit="1" customWidth="1"/>
    <col min="552" max="552" width="38.21875" bestFit="1" customWidth="1"/>
    <col min="553" max="553" width="34.33203125" bestFit="1" customWidth="1"/>
    <col min="554" max="554" width="14" bestFit="1" customWidth="1"/>
    <col min="555" max="555" width="34.33203125" bestFit="1" customWidth="1"/>
    <col min="556" max="556" width="42.88671875" bestFit="1" customWidth="1"/>
    <col min="557" max="557" width="47.44140625" bestFit="1" customWidth="1"/>
    <col min="558" max="558" width="28.77734375" bestFit="1" customWidth="1"/>
    <col min="559" max="559" width="24" bestFit="1" customWidth="1"/>
    <col min="560" max="560" width="57.88671875" bestFit="1" customWidth="1"/>
    <col min="561" max="561" width="57.33203125" bestFit="1" customWidth="1"/>
    <col min="562" max="562" width="20.33203125" bestFit="1" customWidth="1"/>
    <col min="563" max="563" width="56" bestFit="1" customWidth="1"/>
    <col min="564" max="564" width="55" bestFit="1" customWidth="1"/>
    <col min="565" max="565" width="24.44140625" bestFit="1" customWidth="1"/>
    <col min="566" max="566" width="12.44140625" bestFit="1" customWidth="1"/>
    <col min="567" max="567" width="12.88671875" bestFit="1" customWidth="1"/>
    <col min="568" max="568" width="41.33203125" bestFit="1" customWidth="1"/>
    <col min="569" max="569" width="48" bestFit="1" customWidth="1"/>
    <col min="570" max="570" width="50.33203125" bestFit="1" customWidth="1"/>
    <col min="571" max="571" width="35.77734375" bestFit="1" customWidth="1"/>
    <col min="572" max="572" width="49.33203125" bestFit="1" customWidth="1"/>
    <col min="573" max="573" width="51.6640625" bestFit="1" customWidth="1"/>
    <col min="574" max="574" width="57.5546875" bestFit="1" customWidth="1"/>
    <col min="575" max="575" width="39.109375" bestFit="1" customWidth="1"/>
    <col min="576" max="576" width="24.88671875" bestFit="1" customWidth="1"/>
    <col min="577" max="577" width="35.21875" bestFit="1" customWidth="1"/>
    <col min="578" max="578" width="53.33203125" bestFit="1" customWidth="1"/>
    <col min="579" max="579" width="28.109375" bestFit="1" customWidth="1"/>
    <col min="580" max="580" width="43.33203125" bestFit="1" customWidth="1"/>
    <col min="581" max="581" width="51.88671875" bestFit="1" customWidth="1"/>
    <col min="582" max="582" width="33.21875" bestFit="1" customWidth="1"/>
    <col min="583" max="583" width="48.77734375" bestFit="1" customWidth="1"/>
    <col min="584" max="584" width="25.109375" bestFit="1" customWidth="1"/>
    <col min="585" max="585" width="41" bestFit="1" customWidth="1"/>
    <col min="586" max="586" width="33.109375" bestFit="1" customWidth="1"/>
    <col min="587" max="587" width="41.6640625" bestFit="1" customWidth="1"/>
    <col min="588" max="588" width="50.109375" bestFit="1" customWidth="1"/>
    <col min="589" max="589" width="52.109375" bestFit="1" customWidth="1"/>
    <col min="590" max="590" width="60.77734375" bestFit="1" customWidth="1"/>
    <col min="591" max="594" width="10.21875" bestFit="1" customWidth="1"/>
    <col min="595" max="595" width="9.21875" bestFit="1" customWidth="1"/>
    <col min="596" max="598" width="10.21875" bestFit="1" customWidth="1"/>
    <col min="599" max="599" width="9.21875" bestFit="1" customWidth="1"/>
    <col min="600" max="605" width="10.21875" bestFit="1" customWidth="1"/>
    <col min="606" max="606" width="9.21875" bestFit="1" customWidth="1"/>
    <col min="607" max="610" width="10.21875" bestFit="1" customWidth="1"/>
    <col min="611" max="611" width="9.21875" bestFit="1" customWidth="1"/>
    <col min="612" max="626" width="10.21875" bestFit="1" customWidth="1"/>
    <col min="627" max="627" width="7.21875" bestFit="1" customWidth="1"/>
    <col min="628" max="635" width="9.21875" bestFit="1" customWidth="1"/>
    <col min="636" max="636" width="61" bestFit="1" customWidth="1"/>
    <col min="637" max="637" width="47.21875" bestFit="1" customWidth="1"/>
    <col min="638" max="638" width="41.6640625" bestFit="1" customWidth="1"/>
    <col min="639" max="639" width="47.109375" bestFit="1" customWidth="1"/>
    <col min="640" max="640" width="32.21875" bestFit="1" customWidth="1"/>
    <col min="641" max="641" width="23.6640625" bestFit="1" customWidth="1"/>
    <col min="642" max="642" width="7" bestFit="1" customWidth="1"/>
    <col min="643" max="643" width="10.77734375" bestFit="1" customWidth="1"/>
  </cols>
  <sheetData>
    <row r="3" spans="1:2" x14ac:dyDescent="0.3">
      <c r="A3" s="2" t="s">
        <v>4307</v>
      </c>
      <c r="B3" t="s">
        <v>4309</v>
      </c>
    </row>
    <row r="4" spans="1:2" x14ac:dyDescent="0.3">
      <c r="A4" s="3" t="s">
        <v>25</v>
      </c>
      <c r="B4" s="1">
        <v>156017.70259999999</v>
      </c>
    </row>
    <row r="5" spans="1:2" x14ac:dyDescent="0.3">
      <c r="A5" s="4" t="s">
        <v>252</v>
      </c>
      <c r="B5" s="1">
        <v>26821.711999999996</v>
      </c>
    </row>
    <row r="6" spans="1:2" x14ac:dyDescent="0.3">
      <c r="A6" s="4" t="s">
        <v>40</v>
      </c>
      <c r="B6" s="1">
        <v>23248.487999999994</v>
      </c>
    </row>
    <row r="7" spans="1:2" x14ac:dyDescent="0.3">
      <c r="A7" s="4" t="s">
        <v>71</v>
      </c>
      <c r="B7" s="1">
        <v>12506.956000000006</v>
      </c>
    </row>
    <row r="8" spans="1:2" x14ac:dyDescent="0.3">
      <c r="A8" s="4" t="s">
        <v>92</v>
      </c>
      <c r="B8" s="1">
        <v>11240.199600000002</v>
      </c>
    </row>
    <row r="9" spans="1:2" x14ac:dyDescent="0.3">
      <c r="A9" s="4" t="s">
        <v>718</v>
      </c>
      <c r="B9" s="1">
        <v>10054.48</v>
      </c>
    </row>
    <row r="10" spans="1:2" x14ac:dyDescent="0.3">
      <c r="A10" s="4" t="s">
        <v>191</v>
      </c>
      <c r="B10" s="1">
        <v>8606.7200000000012</v>
      </c>
    </row>
    <row r="11" spans="1:2" x14ac:dyDescent="0.3">
      <c r="A11" s="4" t="s">
        <v>140</v>
      </c>
      <c r="B11" s="1">
        <v>7385.9799999999987</v>
      </c>
    </row>
    <row r="12" spans="1:2" x14ac:dyDescent="0.3">
      <c r="A12" s="4" t="s">
        <v>53</v>
      </c>
      <c r="B12" s="1">
        <v>6808.4970000000012</v>
      </c>
    </row>
    <row r="13" spans="1:2" x14ac:dyDescent="0.3">
      <c r="A13" s="4" t="s">
        <v>81</v>
      </c>
      <c r="B13" s="1">
        <v>5675.9539999999988</v>
      </c>
    </row>
    <row r="14" spans="1:2" x14ac:dyDescent="0.3">
      <c r="A14" s="4" t="s">
        <v>471</v>
      </c>
      <c r="B14" s="1">
        <v>4036.748</v>
      </c>
    </row>
    <row r="15" spans="1:2" x14ac:dyDescent="0.3">
      <c r="A15" s="4" t="s">
        <v>285</v>
      </c>
      <c r="B15" s="1">
        <v>3978.7640000000001</v>
      </c>
    </row>
    <row r="16" spans="1:2" x14ac:dyDescent="0.3">
      <c r="A16" s="4" t="s">
        <v>595</v>
      </c>
      <c r="B16" s="1">
        <v>3511.4300000000007</v>
      </c>
    </row>
    <row r="17" spans="1:8" x14ac:dyDescent="0.3">
      <c r="A17" s="4" t="s">
        <v>1091</v>
      </c>
      <c r="B17" s="1">
        <v>3162.2639999999997</v>
      </c>
    </row>
    <row r="18" spans="1:8" x14ac:dyDescent="0.3">
      <c r="A18" s="4" t="s">
        <v>294</v>
      </c>
      <c r="B18" s="1">
        <v>3149.9300000000003</v>
      </c>
    </row>
    <row r="19" spans="1:8" x14ac:dyDescent="0.3">
      <c r="A19" s="4" t="s">
        <v>225</v>
      </c>
      <c r="B19" s="1">
        <v>2868.5960000000005</v>
      </c>
      <c r="C19" s="2" t="s">
        <v>4311</v>
      </c>
      <c r="D19" t="s">
        <v>4310</v>
      </c>
    </row>
    <row r="20" spans="1:8" x14ac:dyDescent="0.3">
      <c r="A20" s="4" t="s">
        <v>431</v>
      </c>
      <c r="B20" s="1">
        <v>2687.15</v>
      </c>
      <c r="C20" s="3" t="s">
        <v>1303</v>
      </c>
      <c r="D20" s="1">
        <v>69.989999999999995</v>
      </c>
    </row>
    <row r="21" spans="1:8" x14ac:dyDescent="0.3">
      <c r="A21" s="4" t="s">
        <v>1112</v>
      </c>
      <c r="B21" s="1">
        <v>2579.7800000000002</v>
      </c>
      <c r="C21" s="4" t="s">
        <v>627</v>
      </c>
      <c r="D21" s="1">
        <v>69.989999999999995</v>
      </c>
    </row>
    <row r="22" spans="1:8" x14ac:dyDescent="0.3">
      <c r="A22" s="4" t="s">
        <v>27</v>
      </c>
      <c r="B22" s="1">
        <v>2507.0599999999995</v>
      </c>
      <c r="C22" s="3" t="s">
        <v>2954</v>
      </c>
      <c r="D22" s="1">
        <v>40.68</v>
      </c>
    </row>
    <row r="23" spans="1:8" x14ac:dyDescent="0.3">
      <c r="A23" s="4" t="s">
        <v>215</v>
      </c>
      <c r="B23" s="1">
        <v>2240.46</v>
      </c>
      <c r="C23" s="4" t="s">
        <v>2955</v>
      </c>
      <c r="D23" s="1">
        <v>40.68</v>
      </c>
    </row>
    <row r="24" spans="1:8" x14ac:dyDescent="0.3">
      <c r="A24" s="4" t="s">
        <v>103</v>
      </c>
      <c r="B24" s="1">
        <v>1946.71</v>
      </c>
      <c r="C24" s="3" t="s">
        <v>3447</v>
      </c>
      <c r="D24" s="1">
        <v>120.712</v>
      </c>
    </row>
    <row r="25" spans="1:8" x14ac:dyDescent="0.3">
      <c r="A25" s="4" t="s">
        <v>682</v>
      </c>
      <c r="B25" s="1">
        <v>1842.6399999999999</v>
      </c>
      <c r="C25" s="4" t="s">
        <v>669</v>
      </c>
      <c r="D25" s="1">
        <v>120.712</v>
      </c>
    </row>
    <row r="26" spans="1:8" x14ac:dyDescent="0.3">
      <c r="A26" s="4" t="s">
        <v>325</v>
      </c>
      <c r="B26" s="1">
        <v>1827.5400000000002</v>
      </c>
      <c r="C26" s="3" t="s">
        <v>4175</v>
      </c>
      <c r="D26" s="1">
        <v>213.21600000000001</v>
      </c>
    </row>
    <row r="27" spans="1:8" x14ac:dyDescent="0.3">
      <c r="A27" s="4" t="s">
        <v>310</v>
      </c>
      <c r="B27" s="1">
        <v>1500.636</v>
      </c>
      <c r="C27" s="4" t="s">
        <v>1869</v>
      </c>
      <c r="D27" s="1">
        <v>213.21600000000001</v>
      </c>
    </row>
    <row r="28" spans="1:8" x14ac:dyDescent="0.3">
      <c r="A28" s="4" t="s">
        <v>550</v>
      </c>
      <c r="B28" s="1">
        <v>1086.3399999999999</v>
      </c>
      <c r="C28" s="3" t="s">
        <v>97</v>
      </c>
      <c r="D28" s="1">
        <v>665.88</v>
      </c>
    </row>
    <row r="29" spans="1:8" x14ac:dyDescent="0.3">
      <c r="A29" s="4" t="s">
        <v>1300</v>
      </c>
      <c r="B29" s="1">
        <v>975.55000000000007</v>
      </c>
      <c r="C29" s="4" t="s">
        <v>98</v>
      </c>
      <c r="D29" s="1">
        <v>665.88</v>
      </c>
    </row>
    <row r="30" spans="1:8" x14ac:dyDescent="0.3">
      <c r="A30" s="4" t="s">
        <v>673</v>
      </c>
      <c r="B30" s="1">
        <v>713.6</v>
      </c>
      <c r="C30" s="3" t="s">
        <v>279</v>
      </c>
      <c r="D30" s="1">
        <v>1113.0239999999999</v>
      </c>
      <c r="F30" s="2" t="s">
        <v>4307</v>
      </c>
      <c r="G30" t="s">
        <v>4309</v>
      </c>
      <c r="H30" s="2" t="s">
        <v>4307</v>
      </c>
    </row>
    <row r="31" spans="1:8" x14ac:dyDescent="0.3">
      <c r="A31" s="4" t="s">
        <v>243</v>
      </c>
      <c r="B31" s="1">
        <v>664.59</v>
      </c>
      <c r="C31" s="4" t="s">
        <v>280</v>
      </c>
      <c r="D31" s="1">
        <v>1113.0239999999999</v>
      </c>
      <c r="F31" s="3" t="s">
        <v>24</v>
      </c>
      <c r="G31" s="1">
        <v>62937.163599999993</v>
      </c>
      <c r="H31" s="3" t="s">
        <v>3356</v>
      </c>
    </row>
    <row r="32" spans="1:8" x14ac:dyDescent="0.3">
      <c r="A32" s="4" t="s">
        <v>386</v>
      </c>
      <c r="B32" s="1">
        <v>528.80200000000002</v>
      </c>
      <c r="C32" s="3" t="s">
        <v>3684</v>
      </c>
      <c r="D32" s="1">
        <v>8.2880000000000003</v>
      </c>
      <c r="F32" s="4" t="s">
        <v>93</v>
      </c>
      <c r="G32" s="1">
        <v>14338.731599999999</v>
      </c>
      <c r="H32" s="4" t="s">
        <v>25</v>
      </c>
    </row>
    <row r="33" spans="1:8" x14ac:dyDescent="0.3">
      <c r="A33" s="4" t="s">
        <v>3427</v>
      </c>
      <c r="B33" s="1">
        <v>389.97</v>
      </c>
      <c r="C33" s="4" t="s">
        <v>3685</v>
      </c>
      <c r="D33" s="1">
        <v>8.2880000000000003</v>
      </c>
      <c r="F33" s="4" t="s">
        <v>141</v>
      </c>
      <c r="G33" s="1">
        <v>17020.337000000003</v>
      </c>
      <c r="H33" s="5" t="s">
        <v>3357</v>
      </c>
    </row>
    <row r="34" spans="1:8" x14ac:dyDescent="0.3">
      <c r="A34" s="4" t="s">
        <v>616</v>
      </c>
      <c r="B34" s="1">
        <v>344.69</v>
      </c>
      <c r="C34" s="3" t="s">
        <v>2022</v>
      </c>
      <c r="D34" s="1">
        <v>310.88</v>
      </c>
      <c r="F34" s="4" t="s">
        <v>28</v>
      </c>
      <c r="G34" s="1">
        <v>11285.640999999998</v>
      </c>
      <c r="H34" s="3" t="s">
        <v>1540</v>
      </c>
    </row>
    <row r="35" spans="1:8" x14ac:dyDescent="0.3">
      <c r="A35" s="4" t="s">
        <v>1236</v>
      </c>
      <c r="B35" s="1">
        <v>270.94</v>
      </c>
      <c r="C35" s="4" t="s">
        <v>2023</v>
      </c>
      <c r="D35" s="1">
        <v>310.88</v>
      </c>
      <c r="F35" s="4" t="s">
        <v>41</v>
      </c>
      <c r="G35" s="1">
        <v>20292.453999999991</v>
      </c>
      <c r="H35" s="4" t="s">
        <v>25</v>
      </c>
    </row>
    <row r="36" spans="1:8" x14ac:dyDescent="0.3">
      <c r="A36" s="4" t="s">
        <v>1459</v>
      </c>
      <c r="B36" s="1">
        <v>221.57999999999998</v>
      </c>
      <c r="C36" s="3" t="s">
        <v>2141</v>
      </c>
      <c r="D36" s="1">
        <v>115.36</v>
      </c>
      <c r="F36" s="3" t="s">
        <v>38</v>
      </c>
      <c r="G36" s="1">
        <v>52349.058000000005</v>
      </c>
      <c r="H36" s="5" t="s">
        <v>1541</v>
      </c>
    </row>
    <row r="37" spans="1:8" x14ac:dyDescent="0.3">
      <c r="A37" s="4" t="s">
        <v>113</v>
      </c>
      <c r="B37" s="1">
        <v>162.35600000000002</v>
      </c>
      <c r="C37" s="4" t="s">
        <v>2142</v>
      </c>
      <c r="D37" s="1">
        <v>115.36</v>
      </c>
      <c r="F37" s="4" t="s">
        <v>93</v>
      </c>
      <c r="G37" s="1">
        <v>8634.474000000002</v>
      </c>
      <c r="H37" s="3" t="s">
        <v>68</v>
      </c>
    </row>
    <row r="38" spans="1:8" x14ac:dyDescent="0.3">
      <c r="A38" s="4" t="s">
        <v>463</v>
      </c>
      <c r="B38" s="1">
        <v>94.24</v>
      </c>
      <c r="C38" s="3" t="s">
        <v>3733</v>
      </c>
      <c r="D38" s="1">
        <v>13.28</v>
      </c>
      <c r="F38" s="4" t="s">
        <v>141</v>
      </c>
      <c r="G38" s="1">
        <v>18161.643999999997</v>
      </c>
      <c r="H38" s="4" t="s">
        <v>25</v>
      </c>
    </row>
    <row r="39" spans="1:8" x14ac:dyDescent="0.3">
      <c r="A39" s="4" t="s">
        <v>234</v>
      </c>
      <c r="B39" s="1">
        <v>92.039999999999992</v>
      </c>
      <c r="C39" s="4" t="s">
        <v>3685</v>
      </c>
      <c r="D39" s="1">
        <v>13.28</v>
      </c>
      <c r="F39" s="4" t="s">
        <v>28</v>
      </c>
      <c r="G39" s="1">
        <v>17273.402000000002</v>
      </c>
      <c r="H39" s="5" t="s">
        <v>69</v>
      </c>
    </row>
    <row r="40" spans="1:8" x14ac:dyDescent="0.3">
      <c r="A40" s="4" t="s">
        <v>2524</v>
      </c>
      <c r="B40" s="1">
        <v>90.36999999999999</v>
      </c>
      <c r="C40" s="3" t="s">
        <v>4281</v>
      </c>
      <c r="D40" s="1">
        <v>27.36</v>
      </c>
      <c r="F40" s="4" t="s">
        <v>41</v>
      </c>
      <c r="G40" s="1">
        <v>8279.5379999999986</v>
      </c>
      <c r="H40" s="3" t="s">
        <v>4050</v>
      </c>
    </row>
    <row r="41" spans="1:8" x14ac:dyDescent="0.3">
      <c r="A41" s="4" t="s">
        <v>1229</v>
      </c>
      <c r="B41" s="1">
        <v>75.792000000000002</v>
      </c>
      <c r="C41" s="4" t="s">
        <v>3599</v>
      </c>
      <c r="D41" s="1">
        <v>27.36</v>
      </c>
      <c r="F41" s="3" t="s">
        <v>90</v>
      </c>
      <c r="G41" s="1">
        <v>40731.481</v>
      </c>
      <c r="H41" s="4" t="s">
        <v>25</v>
      </c>
    </row>
    <row r="42" spans="1:8" x14ac:dyDescent="0.3">
      <c r="A42" s="4" t="s">
        <v>3020</v>
      </c>
      <c r="B42" s="1">
        <v>57.120000000000005</v>
      </c>
      <c r="C42" s="3" t="s">
        <v>553</v>
      </c>
      <c r="D42" s="1">
        <v>93.888000000000005</v>
      </c>
      <c r="F42" s="4" t="s">
        <v>93</v>
      </c>
      <c r="G42" s="1">
        <v>9695.510000000002</v>
      </c>
      <c r="H42" s="5" t="s">
        <v>4051</v>
      </c>
    </row>
    <row r="43" spans="1:8" x14ac:dyDescent="0.3">
      <c r="A43" s="4" t="s">
        <v>3309</v>
      </c>
      <c r="B43" s="1">
        <v>33.28</v>
      </c>
      <c r="C43" s="4" t="s">
        <v>554</v>
      </c>
      <c r="D43" s="1">
        <v>93.888000000000005</v>
      </c>
      <c r="F43" s="4" t="s">
        <v>141</v>
      </c>
      <c r="G43" s="1">
        <v>18665.593000000001</v>
      </c>
      <c r="H43" s="3" t="s">
        <v>1096</v>
      </c>
    </row>
    <row r="44" spans="1:8" x14ac:dyDescent="0.3">
      <c r="A44" s="4" t="s">
        <v>131</v>
      </c>
      <c r="B44" s="1">
        <v>19.46</v>
      </c>
      <c r="C44" s="3" t="s">
        <v>2615</v>
      </c>
      <c r="D44" s="1">
        <v>255.93600000000001</v>
      </c>
      <c r="F44" s="4" t="s">
        <v>28</v>
      </c>
      <c r="G44" s="1">
        <v>4232.0860000000002</v>
      </c>
      <c r="H44" s="4" t="s">
        <v>25</v>
      </c>
    </row>
    <row r="45" spans="1:8" x14ac:dyDescent="0.3">
      <c r="A45" s="4" t="s">
        <v>3689</v>
      </c>
      <c r="B45" s="1">
        <v>8.2880000000000003</v>
      </c>
      <c r="C45" s="4" t="s">
        <v>1079</v>
      </c>
      <c r="D45" s="1">
        <v>255.93600000000001</v>
      </c>
      <c r="F45" s="4" t="s">
        <v>41</v>
      </c>
      <c r="G45" s="1">
        <v>8138.2919999999995</v>
      </c>
      <c r="H45" s="5" t="s">
        <v>1097</v>
      </c>
    </row>
    <row r="46" spans="1:8" x14ac:dyDescent="0.3">
      <c r="A46" s="3" t="s">
        <v>4308</v>
      </c>
      <c r="B46" s="1">
        <v>156017.70259999999</v>
      </c>
      <c r="C46" s="3" t="s">
        <v>986</v>
      </c>
      <c r="D46" s="1">
        <v>45.48</v>
      </c>
      <c r="F46" s="3" t="s">
        <v>4308</v>
      </c>
      <c r="G46" s="1">
        <v>156017.70259999999</v>
      </c>
      <c r="H46" s="3" t="s">
        <v>3559</v>
      </c>
    </row>
    <row r="47" spans="1:8" x14ac:dyDescent="0.3">
      <c r="C47" s="4" t="s">
        <v>838</v>
      </c>
      <c r="D47" s="1">
        <v>45.48</v>
      </c>
      <c r="H47" s="4" t="s">
        <v>25</v>
      </c>
    </row>
    <row r="48" spans="1:8" x14ac:dyDescent="0.3">
      <c r="C48" s="3" t="s">
        <v>967</v>
      </c>
      <c r="D48" s="1">
        <v>300.416</v>
      </c>
      <c r="H48" s="5" t="s">
        <v>3560</v>
      </c>
    </row>
    <row r="49" spans="3:8" x14ac:dyDescent="0.3">
      <c r="C49" s="4" t="s">
        <v>496</v>
      </c>
      <c r="D49" s="1">
        <v>300.416</v>
      </c>
      <c r="H49" s="3" t="s">
        <v>2985</v>
      </c>
    </row>
    <row r="50" spans="3:8" x14ac:dyDescent="0.3">
      <c r="C50" s="3" t="s">
        <v>1916</v>
      </c>
      <c r="D50" s="1">
        <v>883.92</v>
      </c>
      <c r="H50" s="4" t="s">
        <v>25</v>
      </c>
    </row>
    <row r="51" spans="3:8" x14ac:dyDescent="0.3">
      <c r="C51" s="4" t="s">
        <v>1917</v>
      </c>
      <c r="D51" s="1">
        <v>883.92</v>
      </c>
      <c r="H51" s="5" t="s">
        <v>2986</v>
      </c>
    </row>
    <row r="52" spans="3:8" x14ac:dyDescent="0.3">
      <c r="C52" s="3" t="s">
        <v>1980</v>
      </c>
      <c r="D52" s="1">
        <v>11.784000000000001</v>
      </c>
      <c r="H52" s="3" t="s">
        <v>1891</v>
      </c>
    </row>
    <row r="53" spans="3:8" x14ac:dyDescent="0.3">
      <c r="C53" s="4" t="s">
        <v>1981</v>
      </c>
      <c r="D53" s="1">
        <v>11.784000000000001</v>
      </c>
      <c r="H53" s="4" t="s">
        <v>25</v>
      </c>
    </row>
    <row r="54" spans="3:8" x14ac:dyDescent="0.3">
      <c r="C54" s="3" t="s">
        <v>4092</v>
      </c>
      <c r="D54" s="1">
        <v>182.94</v>
      </c>
      <c r="H54" s="5" t="s">
        <v>1892</v>
      </c>
    </row>
    <row r="55" spans="3:8" x14ac:dyDescent="0.3">
      <c r="C55" s="4" t="s">
        <v>820</v>
      </c>
      <c r="D55" s="1">
        <v>182.94</v>
      </c>
      <c r="H55" s="3" t="s">
        <v>3055</v>
      </c>
    </row>
    <row r="56" spans="3:8" x14ac:dyDescent="0.3">
      <c r="C56" s="3" t="s">
        <v>1246</v>
      </c>
      <c r="D56" s="1">
        <v>9.5679999999999996</v>
      </c>
      <c r="H56" s="4" t="s">
        <v>25</v>
      </c>
    </row>
    <row r="57" spans="3:8" x14ac:dyDescent="0.3">
      <c r="C57" s="4" t="s">
        <v>1247</v>
      </c>
      <c r="D57" s="1">
        <v>9.5679999999999996</v>
      </c>
      <c r="H57" s="5" t="s">
        <v>3056</v>
      </c>
    </row>
    <row r="58" spans="3:8" x14ac:dyDescent="0.3">
      <c r="C58" s="3" t="s">
        <v>1436</v>
      </c>
      <c r="D58" s="1">
        <v>449.15</v>
      </c>
      <c r="H58" s="3" t="s">
        <v>2793</v>
      </c>
    </row>
    <row r="59" spans="3:8" x14ac:dyDescent="0.3">
      <c r="C59" s="4" t="s">
        <v>641</v>
      </c>
      <c r="D59" s="1">
        <v>449.15</v>
      </c>
      <c r="H59" s="4" t="s">
        <v>25</v>
      </c>
    </row>
    <row r="60" spans="3:8" x14ac:dyDescent="0.3">
      <c r="C60" s="3" t="s">
        <v>4156</v>
      </c>
      <c r="D60" s="1">
        <v>8</v>
      </c>
      <c r="H60" s="5" t="s">
        <v>2794</v>
      </c>
    </row>
    <row r="61" spans="3:8" x14ac:dyDescent="0.3">
      <c r="C61" s="4" t="s">
        <v>108</v>
      </c>
      <c r="D61" s="1">
        <v>8</v>
      </c>
      <c r="H61" s="3" t="s">
        <v>1081</v>
      </c>
    </row>
    <row r="62" spans="3:8" x14ac:dyDescent="0.3">
      <c r="C62" s="3" t="s">
        <v>466</v>
      </c>
      <c r="D62" s="1">
        <v>40.095999999999997</v>
      </c>
      <c r="H62" s="4" t="s">
        <v>25</v>
      </c>
    </row>
    <row r="63" spans="3:8" x14ac:dyDescent="0.3">
      <c r="C63" s="4" t="s">
        <v>467</v>
      </c>
      <c r="D63" s="1">
        <v>40.095999999999997</v>
      </c>
      <c r="H63" s="5" t="s">
        <v>1082</v>
      </c>
    </row>
    <row r="64" spans="3:8" x14ac:dyDescent="0.3">
      <c r="C64" s="3" t="s">
        <v>57</v>
      </c>
      <c r="D64" s="1">
        <v>48.86</v>
      </c>
      <c r="H64" s="3" t="s">
        <v>3207</v>
      </c>
    </row>
    <row r="65" spans="3:8" x14ac:dyDescent="0.3">
      <c r="C65" s="4" t="s">
        <v>58</v>
      </c>
      <c r="D65" s="1">
        <v>48.86</v>
      </c>
      <c r="H65" s="4" t="s">
        <v>25</v>
      </c>
    </row>
    <row r="66" spans="3:8" x14ac:dyDescent="0.3">
      <c r="C66" s="3" t="s">
        <v>1196</v>
      </c>
      <c r="D66" s="1">
        <v>2.6240000000000001</v>
      </c>
      <c r="H66" s="5" t="s">
        <v>3208</v>
      </c>
    </row>
    <row r="67" spans="3:8" x14ac:dyDescent="0.3">
      <c r="C67" s="4" t="s">
        <v>669</v>
      </c>
      <c r="D67" s="1">
        <v>2.6240000000000001</v>
      </c>
      <c r="H67" s="3" t="s">
        <v>3253</v>
      </c>
    </row>
    <row r="68" spans="3:8" x14ac:dyDescent="0.3">
      <c r="C68" s="3" t="s">
        <v>3946</v>
      </c>
      <c r="D68" s="1">
        <v>345</v>
      </c>
      <c r="H68" s="4" t="s">
        <v>25</v>
      </c>
    </row>
    <row r="69" spans="3:8" x14ac:dyDescent="0.3">
      <c r="C69" s="4" t="s">
        <v>3947</v>
      </c>
      <c r="D69" s="1">
        <v>345</v>
      </c>
      <c r="H69" s="5" t="s">
        <v>3254</v>
      </c>
    </row>
    <row r="70" spans="3:8" x14ac:dyDescent="0.3">
      <c r="C70" s="3" t="s">
        <v>3184</v>
      </c>
      <c r="D70" s="1">
        <v>99.2</v>
      </c>
      <c r="H70" s="3" t="s">
        <v>498</v>
      </c>
    </row>
    <row r="71" spans="3:8" x14ac:dyDescent="0.3">
      <c r="C71" s="4" t="s">
        <v>3185</v>
      </c>
      <c r="D71" s="1">
        <v>99.2</v>
      </c>
      <c r="H71" s="4" t="s">
        <v>25</v>
      </c>
    </row>
    <row r="72" spans="3:8" x14ac:dyDescent="0.3">
      <c r="C72" s="3" t="s">
        <v>3158</v>
      </c>
      <c r="D72" s="1">
        <v>62.92</v>
      </c>
      <c r="H72" s="5" t="s">
        <v>499</v>
      </c>
    </row>
    <row r="73" spans="3:8" x14ac:dyDescent="0.3">
      <c r="C73" s="4" t="s">
        <v>3159</v>
      </c>
      <c r="D73" s="1">
        <v>62.92</v>
      </c>
      <c r="H73" s="3" t="s">
        <v>3513</v>
      </c>
    </row>
    <row r="74" spans="3:8" x14ac:dyDescent="0.3">
      <c r="C74" s="3" t="s">
        <v>1943</v>
      </c>
      <c r="D74" s="1">
        <v>129.91999999999999</v>
      </c>
      <c r="H74" s="4" t="s">
        <v>25</v>
      </c>
    </row>
    <row r="75" spans="3:8" x14ac:dyDescent="0.3">
      <c r="C75" s="4" t="s">
        <v>1944</v>
      </c>
      <c r="D75" s="1">
        <v>129.91999999999999</v>
      </c>
      <c r="H75" s="5" t="s">
        <v>3514</v>
      </c>
    </row>
    <row r="76" spans="3:8" x14ac:dyDescent="0.3">
      <c r="C76" s="3" t="s">
        <v>2355</v>
      </c>
      <c r="D76" s="1">
        <v>2715.93</v>
      </c>
      <c r="H76" s="3" t="s">
        <v>110</v>
      </c>
    </row>
    <row r="77" spans="3:8" x14ac:dyDescent="0.3">
      <c r="C77" s="4" t="s">
        <v>2356</v>
      </c>
      <c r="D77" s="1">
        <v>2715.93</v>
      </c>
      <c r="H77" s="4" t="s">
        <v>25</v>
      </c>
    </row>
    <row r="78" spans="3:8" x14ac:dyDescent="0.3">
      <c r="C78" s="3" t="s">
        <v>633</v>
      </c>
      <c r="D78" s="1">
        <v>20.94</v>
      </c>
      <c r="H78" s="5" t="s">
        <v>111</v>
      </c>
    </row>
    <row r="79" spans="3:8" x14ac:dyDescent="0.3">
      <c r="C79" s="4" t="s">
        <v>634</v>
      </c>
      <c r="D79" s="1">
        <v>20.94</v>
      </c>
      <c r="H79" s="3" t="s">
        <v>3990</v>
      </c>
    </row>
    <row r="80" spans="3:8" x14ac:dyDescent="0.3">
      <c r="C80" s="3" t="s">
        <v>2883</v>
      </c>
      <c r="D80" s="1">
        <v>3.76</v>
      </c>
      <c r="H80" s="4" t="s">
        <v>25</v>
      </c>
    </row>
    <row r="81" spans="3:8" x14ac:dyDescent="0.3">
      <c r="C81" s="4" t="s">
        <v>2884</v>
      </c>
      <c r="D81" s="1">
        <v>3.76</v>
      </c>
      <c r="H81" s="5" t="s">
        <v>3991</v>
      </c>
    </row>
    <row r="82" spans="3:8" x14ac:dyDescent="0.3">
      <c r="C82" s="3" t="s">
        <v>2583</v>
      </c>
      <c r="D82" s="1">
        <v>11.56</v>
      </c>
      <c r="H82" s="3" t="s">
        <v>4217</v>
      </c>
    </row>
    <row r="83" spans="3:8" x14ac:dyDescent="0.3">
      <c r="C83" s="4" t="s">
        <v>2584</v>
      </c>
      <c r="D83" s="1">
        <v>11.56</v>
      </c>
      <c r="H83" s="4" t="s">
        <v>25</v>
      </c>
    </row>
    <row r="84" spans="3:8" x14ac:dyDescent="0.3">
      <c r="C84" s="3" t="s">
        <v>1007</v>
      </c>
      <c r="D84" s="1">
        <v>87.54</v>
      </c>
      <c r="H84" s="5" t="s">
        <v>4218</v>
      </c>
    </row>
    <row r="85" spans="3:8" x14ac:dyDescent="0.3">
      <c r="C85" s="4" t="s">
        <v>1008</v>
      </c>
      <c r="D85" s="1">
        <v>87.54</v>
      </c>
      <c r="H85" s="3" t="s">
        <v>2421</v>
      </c>
    </row>
    <row r="86" spans="3:8" x14ac:dyDescent="0.3">
      <c r="C86" s="3" t="s">
        <v>2744</v>
      </c>
      <c r="D86" s="1">
        <v>7.96</v>
      </c>
      <c r="H86" s="4" t="s">
        <v>25</v>
      </c>
    </row>
    <row r="87" spans="3:8" x14ac:dyDescent="0.3">
      <c r="C87" s="4" t="s">
        <v>2745</v>
      </c>
      <c r="D87" s="1">
        <v>7.96</v>
      </c>
      <c r="H87" s="5" t="s">
        <v>2422</v>
      </c>
    </row>
    <row r="88" spans="3:8" x14ac:dyDescent="0.3">
      <c r="C88" s="3" t="s">
        <v>685</v>
      </c>
      <c r="D88" s="1">
        <v>176.8</v>
      </c>
      <c r="H88" s="3" t="s">
        <v>943</v>
      </c>
    </row>
    <row r="89" spans="3:8" x14ac:dyDescent="0.3">
      <c r="C89" s="4" t="s">
        <v>686</v>
      </c>
      <c r="D89" s="1">
        <v>176.8</v>
      </c>
      <c r="H89" s="4" t="s">
        <v>25</v>
      </c>
    </row>
    <row r="90" spans="3:8" x14ac:dyDescent="0.3">
      <c r="C90" s="3" t="s">
        <v>3755</v>
      </c>
      <c r="D90" s="1">
        <v>74.352000000000004</v>
      </c>
      <c r="H90" s="5" t="s">
        <v>944</v>
      </c>
    </row>
    <row r="91" spans="3:8" x14ac:dyDescent="0.3">
      <c r="C91" s="4" t="s">
        <v>3756</v>
      </c>
      <c r="D91" s="1">
        <v>74.352000000000004</v>
      </c>
      <c r="H91" s="3" t="s">
        <v>1017</v>
      </c>
    </row>
    <row r="92" spans="3:8" x14ac:dyDescent="0.3">
      <c r="C92" s="3" t="s">
        <v>3085</v>
      </c>
      <c r="D92" s="1">
        <v>96.256</v>
      </c>
      <c r="H92" s="4" t="s">
        <v>25</v>
      </c>
    </row>
    <row r="93" spans="3:8" x14ac:dyDescent="0.3">
      <c r="C93" s="4" t="s">
        <v>3086</v>
      </c>
      <c r="D93" s="1">
        <v>96.256</v>
      </c>
      <c r="H93" s="5" t="s">
        <v>1018</v>
      </c>
    </row>
    <row r="94" spans="3:8" x14ac:dyDescent="0.3">
      <c r="C94" s="3" t="s">
        <v>3335</v>
      </c>
      <c r="D94" s="1">
        <v>832.93</v>
      </c>
      <c r="H94" s="3" t="s">
        <v>1242</v>
      </c>
    </row>
    <row r="95" spans="3:8" x14ac:dyDescent="0.3">
      <c r="C95" s="4" t="s">
        <v>2336</v>
      </c>
      <c r="D95" s="1">
        <v>832.93</v>
      </c>
      <c r="H95" s="4" t="s">
        <v>25</v>
      </c>
    </row>
    <row r="96" spans="3:8" x14ac:dyDescent="0.3">
      <c r="C96" s="3" t="s">
        <v>2154</v>
      </c>
      <c r="D96" s="1">
        <v>39.96</v>
      </c>
      <c r="H96" s="5" t="s">
        <v>1243</v>
      </c>
    </row>
    <row r="97" spans="3:8" x14ac:dyDescent="0.3">
      <c r="C97" s="4" t="s">
        <v>737</v>
      </c>
      <c r="D97" s="1">
        <v>39.96</v>
      </c>
      <c r="H97" s="3" t="s">
        <v>2192</v>
      </c>
    </row>
    <row r="98" spans="3:8" x14ac:dyDescent="0.3">
      <c r="C98" s="3" t="s">
        <v>3604</v>
      </c>
      <c r="D98" s="1">
        <v>785.88</v>
      </c>
      <c r="H98" s="4" t="s">
        <v>25</v>
      </c>
    </row>
    <row r="99" spans="3:8" x14ac:dyDescent="0.3">
      <c r="C99" s="4" t="s">
        <v>3605</v>
      </c>
      <c r="D99" s="1">
        <v>785.88</v>
      </c>
      <c r="H99" s="5" t="s">
        <v>2193</v>
      </c>
    </row>
    <row r="100" spans="3:8" x14ac:dyDescent="0.3">
      <c r="C100" s="3" t="s">
        <v>2633</v>
      </c>
      <c r="D100" s="1">
        <v>12.35</v>
      </c>
      <c r="H100" s="3" t="s">
        <v>1141</v>
      </c>
    </row>
    <row r="101" spans="3:8" x14ac:dyDescent="0.3">
      <c r="C101" s="4" t="s">
        <v>2634</v>
      </c>
      <c r="D101" s="1">
        <v>12.35</v>
      </c>
      <c r="H101" s="4" t="s">
        <v>25</v>
      </c>
    </row>
    <row r="102" spans="3:8" x14ac:dyDescent="0.3">
      <c r="C102" s="3" t="s">
        <v>2589</v>
      </c>
      <c r="D102" s="1">
        <v>12.096</v>
      </c>
      <c r="H102" s="5" t="s">
        <v>1142</v>
      </c>
    </row>
    <row r="103" spans="3:8" x14ac:dyDescent="0.3">
      <c r="C103" s="4" t="s">
        <v>669</v>
      </c>
      <c r="D103" s="1">
        <v>12.096</v>
      </c>
      <c r="H103" s="3" t="s">
        <v>4158</v>
      </c>
    </row>
    <row r="104" spans="3:8" x14ac:dyDescent="0.3">
      <c r="C104" s="3" t="s">
        <v>3610</v>
      </c>
      <c r="D104" s="1">
        <v>129.97999999999999</v>
      </c>
      <c r="H104" s="4" t="s">
        <v>25</v>
      </c>
    </row>
    <row r="105" spans="3:8" x14ac:dyDescent="0.3">
      <c r="C105" s="4" t="s">
        <v>1918</v>
      </c>
      <c r="D105" s="1">
        <v>129.97999999999999</v>
      </c>
      <c r="H105" s="5" t="s">
        <v>4159</v>
      </c>
    </row>
    <row r="106" spans="3:8" x14ac:dyDescent="0.3">
      <c r="C106" s="3" t="s">
        <v>2321</v>
      </c>
      <c r="D106" s="1">
        <v>4.6079999999999997</v>
      </c>
      <c r="H106" s="3" t="s">
        <v>2950</v>
      </c>
    </row>
    <row r="107" spans="3:8" x14ac:dyDescent="0.3">
      <c r="C107" s="4" t="s">
        <v>2322</v>
      </c>
      <c r="D107" s="1">
        <v>4.6079999999999997</v>
      </c>
      <c r="H107" s="4" t="s">
        <v>25</v>
      </c>
    </row>
    <row r="108" spans="3:8" x14ac:dyDescent="0.3">
      <c r="C108" s="3" t="s">
        <v>1409</v>
      </c>
      <c r="D108" s="1">
        <v>159.97999999999999</v>
      </c>
      <c r="H108" s="5" t="s">
        <v>2951</v>
      </c>
    </row>
    <row r="109" spans="3:8" x14ac:dyDescent="0.3">
      <c r="C109" s="4" t="s">
        <v>1410</v>
      </c>
      <c r="D109" s="1">
        <v>159.97999999999999</v>
      </c>
      <c r="H109" s="3" t="s">
        <v>957</v>
      </c>
    </row>
    <row r="110" spans="3:8" x14ac:dyDescent="0.3">
      <c r="C110" s="3" t="s">
        <v>2569</v>
      </c>
      <c r="D110" s="1">
        <v>9.99</v>
      </c>
      <c r="H110" s="4" t="s">
        <v>25</v>
      </c>
    </row>
    <row r="111" spans="3:8" x14ac:dyDescent="0.3">
      <c r="C111" s="4" t="s">
        <v>1586</v>
      </c>
      <c r="D111" s="1">
        <v>9.99</v>
      </c>
      <c r="H111" s="5" t="s">
        <v>958</v>
      </c>
    </row>
    <row r="112" spans="3:8" x14ac:dyDescent="0.3">
      <c r="C112" s="3" t="s">
        <v>3353</v>
      </c>
      <c r="D112" s="1">
        <v>52.98</v>
      </c>
      <c r="H112" s="3" t="s">
        <v>899</v>
      </c>
    </row>
    <row r="113" spans="3:8" x14ac:dyDescent="0.3">
      <c r="C113" s="4" t="s">
        <v>3354</v>
      </c>
      <c r="D113" s="1">
        <v>52.98</v>
      </c>
      <c r="H113" s="4" t="s">
        <v>25</v>
      </c>
    </row>
    <row r="114" spans="3:8" x14ac:dyDescent="0.3">
      <c r="C114" s="3" t="s">
        <v>1078</v>
      </c>
      <c r="D114" s="1">
        <v>7.7119999999999997</v>
      </c>
      <c r="H114" s="5" t="s">
        <v>900</v>
      </c>
    </row>
    <row r="115" spans="3:8" x14ac:dyDescent="0.3">
      <c r="C115" s="4" t="s">
        <v>1079</v>
      </c>
      <c r="D115" s="1">
        <v>7.7119999999999997</v>
      </c>
      <c r="H115" s="3" t="s">
        <v>3867</v>
      </c>
    </row>
    <row r="116" spans="3:8" x14ac:dyDescent="0.3">
      <c r="C116" s="3" t="s">
        <v>3598</v>
      </c>
      <c r="D116" s="1">
        <v>42.81</v>
      </c>
      <c r="H116" s="4" t="s">
        <v>25</v>
      </c>
    </row>
    <row r="117" spans="3:8" x14ac:dyDescent="0.3">
      <c r="C117" s="4" t="s">
        <v>3599</v>
      </c>
      <c r="D117" s="1">
        <v>42.81</v>
      </c>
      <c r="H117" s="5" t="s">
        <v>3868</v>
      </c>
    </row>
    <row r="118" spans="3:8" x14ac:dyDescent="0.3">
      <c r="C118" s="3" t="s">
        <v>1692</v>
      </c>
      <c r="D118" s="1">
        <v>76.12</v>
      </c>
      <c r="H118" s="3" t="s">
        <v>4181</v>
      </c>
    </row>
    <row r="119" spans="3:8" x14ac:dyDescent="0.3">
      <c r="C119" s="4" t="s">
        <v>1693</v>
      </c>
      <c r="D119" s="1">
        <v>76.12</v>
      </c>
      <c r="H119" s="4" t="s">
        <v>25</v>
      </c>
    </row>
    <row r="120" spans="3:8" x14ac:dyDescent="0.3">
      <c r="C120" s="3" t="s">
        <v>837</v>
      </c>
      <c r="D120" s="1">
        <v>166.72</v>
      </c>
      <c r="H120" s="5" t="s">
        <v>4182</v>
      </c>
    </row>
    <row r="121" spans="3:8" x14ac:dyDescent="0.3">
      <c r="C121" s="4" t="s">
        <v>838</v>
      </c>
      <c r="D121" s="1">
        <v>166.72</v>
      </c>
      <c r="H121" s="3" t="s">
        <v>2167</v>
      </c>
    </row>
    <row r="122" spans="3:8" x14ac:dyDescent="0.3">
      <c r="C122" s="3" t="s">
        <v>2264</v>
      </c>
      <c r="D122" s="1">
        <v>15.552</v>
      </c>
      <c r="H122" s="4" t="s">
        <v>25</v>
      </c>
    </row>
    <row r="123" spans="3:8" x14ac:dyDescent="0.3">
      <c r="C123" s="4" t="s">
        <v>819</v>
      </c>
      <c r="D123" s="1">
        <v>15.552</v>
      </c>
      <c r="H123" s="5" t="s">
        <v>2168</v>
      </c>
    </row>
    <row r="124" spans="3:8" x14ac:dyDescent="0.3">
      <c r="C124" s="3" t="s">
        <v>736</v>
      </c>
      <c r="D124" s="1">
        <v>218.75</v>
      </c>
      <c r="H124" s="3" t="s">
        <v>2025</v>
      </c>
    </row>
    <row r="125" spans="3:8" x14ac:dyDescent="0.3">
      <c r="C125" s="4" t="s">
        <v>737</v>
      </c>
      <c r="D125" s="1">
        <v>218.75</v>
      </c>
      <c r="H125" s="4" t="s">
        <v>25</v>
      </c>
    </row>
    <row r="126" spans="3:8" x14ac:dyDescent="0.3">
      <c r="C126" s="3" t="s">
        <v>4018</v>
      </c>
      <c r="D126" s="1">
        <v>43.92</v>
      </c>
      <c r="H126" s="5" t="s">
        <v>2026</v>
      </c>
    </row>
    <row r="127" spans="3:8" x14ac:dyDescent="0.3">
      <c r="C127" s="4" t="s">
        <v>503</v>
      </c>
      <c r="D127" s="1">
        <v>43.92</v>
      </c>
      <c r="H127" s="3" t="s">
        <v>1588</v>
      </c>
    </row>
    <row r="128" spans="3:8" x14ac:dyDescent="0.3">
      <c r="C128" s="3" t="s">
        <v>1429</v>
      </c>
      <c r="D128" s="1">
        <v>7.992</v>
      </c>
      <c r="H128" s="4" t="s">
        <v>25</v>
      </c>
    </row>
    <row r="129" spans="3:8" x14ac:dyDescent="0.3">
      <c r="C129" s="4" t="s">
        <v>58</v>
      </c>
      <c r="D129" s="1">
        <v>7.992</v>
      </c>
      <c r="H129" s="5" t="s">
        <v>1589</v>
      </c>
    </row>
    <row r="130" spans="3:8" x14ac:dyDescent="0.3">
      <c r="C130" s="3" t="s">
        <v>4104</v>
      </c>
      <c r="D130" s="1">
        <v>9.5879999999999992</v>
      </c>
      <c r="H130" s="3" t="s">
        <v>1437</v>
      </c>
    </row>
    <row r="131" spans="3:8" x14ac:dyDescent="0.3">
      <c r="C131" s="4" t="s">
        <v>99</v>
      </c>
      <c r="D131" s="1">
        <v>9.5879999999999992</v>
      </c>
      <c r="H131" s="4" t="s">
        <v>25</v>
      </c>
    </row>
    <row r="132" spans="3:8" x14ac:dyDescent="0.3">
      <c r="C132" s="3" t="s">
        <v>2159</v>
      </c>
      <c r="D132" s="1">
        <v>23.1</v>
      </c>
      <c r="H132" s="5" t="s">
        <v>1438</v>
      </c>
    </row>
    <row r="133" spans="3:8" x14ac:dyDescent="0.3">
      <c r="C133" s="4" t="s">
        <v>58</v>
      </c>
      <c r="D133" s="1">
        <v>23.1</v>
      </c>
      <c r="H133" s="3" t="s">
        <v>694</v>
      </c>
    </row>
    <row r="134" spans="3:8" x14ac:dyDescent="0.3">
      <c r="C134" s="3" t="s">
        <v>2196</v>
      </c>
      <c r="D134" s="1">
        <v>17.46</v>
      </c>
      <c r="H134" s="4" t="s">
        <v>25</v>
      </c>
    </row>
    <row r="135" spans="3:8" x14ac:dyDescent="0.3">
      <c r="C135" s="4" t="s">
        <v>2197</v>
      </c>
      <c r="D135" s="1">
        <v>17.46</v>
      </c>
      <c r="H135" s="5" t="s">
        <v>695</v>
      </c>
    </row>
    <row r="136" spans="3:8" x14ac:dyDescent="0.3">
      <c r="C136" s="3" t="s">
        <v>1402</v>
      </c>
      <c r="D136" s="1">
        <v>9.09</v>
      </c>
      <c r="H136" s="3" t="s">
        <v>3285</v>
      </c>
    </row>
    <row r="137" spans="3:8" x14ac:dyDescent="0.3">
      <c r="C137" s="4" t="s">
        <v>1403</v>
      </c>
      <c r="D137" s="1">
        <v>9.09</v>
      </c>
      <c r="H137" s="4" t="s">
        <v>25</v>
      </c>
    </row>
    <row r="138" spans="3:8" x14ac:dyDescent="0.3">
      <c r="C138" s="3" t="s">
        <v>1684</v>
      </c>
      <c r="D138" s="1">
        <v>9.3439999999999994</v>
      </c>
      <c r="H138" s="5" t="s">
        <v>3286</v>
      </c>
    </row>
    <row r="139" spans="3:8" x14ac:dyDescent="0.3">
      <c r="C139" s="4" t="s">
        <v>1685</v>
      </c>
      <c r="D139" s="1">
        <v>9.3439999999999994</v>
      </c>
      <c r="H139" s="3" t="s">
        <v>2571</v>
      </c>
    </row>
    <row r="140" spans="3:8" x14ac:dyDescent="0.3">
      <c r="C140" s="3" t="s">
        <v>3023</v>
      </c>
      <c r="D140" s="1">
        <v>109.92</v>
      </c>
      <c r="H140" s="4" t="s">
        <v>25</v>
      </c>
    </row>
    <row r="141" spans="3:8" x14ac:dyDescent="0.3">
      <c r="C141" s="4" t="s">
        <v>3024</v>
      </c>
      <c r="D141" s="1">
        <v>109.92</v>
      </c>
      <c r="H141" s="5" t="s">
        <v>2572</v>
      </c>
    </row>
    <row r="142" spans="3:8" x14ac:dyDescent="0.3">
      <c r="C142" s="3" t="s">
        <v>2178</v>
      </c>
      <c r="D142" s="1">
        <v>44.91</v>
      </c>
      <c r="H142" s="3" t="s">
        <v>1924</v>
      </c>
    </row>
    <row r="143" spans="3:8" x14ac:dyDescent="0.3">
      <c r="C143" s="4" t="s">
        <v>2179</v>
      </c>
      <c r="D143" s="1">
        <v>44.91</v>
      </c>
      <c r="H143" s="4" t="s">
        <v>25</v>
      </c>
    </row>
    <row r="144" spans="3:8" x14ac:dyDescent="0.3">
      <c r="C144" s="3" t="s">
        <v>1910</v>
      </c>
      <c r="D144" s="1">
        <v>10.368</v>
      </c>
      <c r="H144" s="5" t="s">
        <v>1925</v>
      </c>
    </row>
    <row r="145" spans="3:8" x14ac:dyDescent="0.3">
      <c r="C145" s="4" t="s">
        <v>627</v>
      </c>
      <c r="D145" s="1">
        <v>10.368</v>
      </c>
      <c r="H145" s="3" t="s">
        <v>1157</v>
      </c>
    </row>
    <row r="146" spans="3:8" x14ac:dyDescent="0.3">
      <c r="C146" s="3" t="s">
        <v>328</v>
      </c>
      <c r="D146" s="1">
        <v>14.9</v>
      </c>
      <c r="H146" s="4" t="s">
        <v>25</v>
      </c>
    </row>
    <row r="147" spans="3:8" x14ac:dyDescent="0.3">
      <c r="C147" s="4" t="s">
        <v>329</v>
      </c>
      <c r="D147" s="1">
        <v>14.9</v>
      </c>
      <c r="H147" s="5" t="s">
        <v>1158</v>
      </c>
    </row>
    <row r="148" spans="3:8" x14ac:dyDescent="0.3">
      <c r="C148" s="3" t="s">
        <v>3060</v>
      </c>
      <c r="D148" s="1">
        <v>12.35</v>
      </c>
      <c r="H148" s="3" t="s">
        <v>1721</v>
      </c>
    </row>
    <row r="149" spans="3:8" x14ac:dyDescent="0.3">
      <c r="C149" s="4" t="s">
        <v>3061</v>
      </c>
      <c r="D149" s="1">
        <v>12.35</v>
      </c>
      <c r="H149" s="4" t="s">
        <v>25</v>
      </c>
    </row>
    <row r="150" spans="3:8" x14ac:dyDescent="0.3">
      <c r="C150" s="3" t="s">
        <v>625</v>
      </c>
      <c r="D150" s="1">
        <v>9.9359999999999999</v>
      </c>
      <c r="H150" s="5" t="s">
        <v>1722</v>
      </c>
    </row>
    <row r="151" spans="3:8" x14ac:dyDescent="0.3">
      <c r="C151" s="4" t="s">
        <v>626</v>
      </c>
      <c r="D151" s="1">
        <v>9.9359999999999999</v>
      </c>
      <c r="H151" s="3" t="s">
        <v>4229</v>
      </c>
    </row>
    <row r="152" spans="3:8" x14ac:dyDescent="0.3">
      <c r="C152" s="3" t="s">
        <v>706</v>
      </c>
      <c r="D152" s="1">
        <v>7.4080000000000004</v>
      </c>
      <c r="H152" s="4" t="s">
        <v>25</v>
      </c>
    </row>
    <row r="153" spans="3:8" x14ac:dyDescent="0.3">
      <c r="C153" s="4" t="s">
        <v>707</v>
      </c>
      <c r="D153" s="1">
        <v>7.4080000000000004</v>
      </c>
      <c r="H153" s="5" t="s">
        <v>4230</v>
      </c>
    </row>
    <row r="154" spans="3:8" x14ac:dyDescent="0.3">
      <c r="C154" s="3" t="s">
        <v>1558</v>
      </c>
      <c r="D154" s="1">
        <v>468.9</v>
      </c>
      <c r="H154" s="3" t="s">
        <v>1819</v>
      </c>
    </row>
    <row r="155" spans="3:8" x14ac:dyDescent="0.3">
      <c r="C155" s="4" t="s">
        <v>1559</v>
      </c>
      <c r="D155" s="1">
        <v>468.9</v>
      </c>
      <c r="H155" s="4" t="s">
        <v>25</v>
      </c>
    </row>
    <row r="156" spans="3:8" x14ac:dyDescent="0.3">
      <c r="C156" s="3" t="s">
        <v>3884</v>
      </c>
      <c r="D156" s="1">
        <v>447.94400000000002</v>
      </c>
      <c r="H156" s="5" t="s">
        <v>1820</v>
      </c>
    </row>
    <row r="157" spans="3:8" x14ac:dyDescent="0.3">
      <c r="C157" s="4" t="s">
        <v>3885</v>
      </c>
      <c r="D157" s="1">
        <v>447.94400000000002</v>
      </c>
      <c r="H157" s="3" t="s">
        <v>2769</v>
      </c>
    </row>
    <row r="158" spans="3:8" x14ac:dyDescent="0.3">
      <c r="C158" s="3" t="s">
        <v>116</v>
      </c>
      <c r="D158" s="1">
        <v>8.56</v>
      </c>
      <c r="H158" s="4" t="s">
        <v>25</v>
      </c>
    </row>
    <row r="159" spans="3:8" x14ac:dyDescent="0.3">
      <c r="C159" s="4" t="s">
        <v>117</v>
      </c>
      <c r="D159" s="1">
        <v>8.56</v>
      </c>
      <c r="H159" s="5" t="s">
        <v>2770</v>
      </c>
    </row>
    <row r="160" spans="3:8" x14ac:dyDescent="0.3">
      <c r="C160" s="3" t="s">
        <v>3783</v>
      </c>
      <c r="D160" s="1">
        <v>44.95</v>
      </c>
      <c r="H160" s="3" t="s">
        <v>3200</v>
      </c>
    </row>
    <row r="161" spans="3:8" x14ac:dyDescent="0.3">
      <c r="C161" s="4" t="s">
        <v>3306</v>
      </c>
      <c r="D161" s="1">
        <v>44.95</v>
      </c>
      <c r="H161" s="4" t="s">
        <v>25</v>
      </c>
    </row>
    <row r="162" spans="3:8" x14ac:dyDescent="0.3">
      <c r="C162" s="3" t="s">
        <v>1390</v>
      </c>
      <c r="D162" s="1">
        <v>340.92</v>
      </c>
      <c r="H162" s="5" t="s">
        <v>3201</v>
      </c>
    </row>
    <row r="163" spans="3:8" x14ac:dyDescent="0.3">
      <c r="C163" s="4" t="s">
        <v>1030</v>
      </c>
      <c r="D163" s="1">
        <v>340.92</v>
      </c>
      <c r="H163" s="3" t="s">
        <v>1569</v>
      </c>
    </row>
    <row r="164" spans="3:8" x14ac:dyDescent="0.3">
      <c r="C164" s="3" t="s">
        <v>1604</v>
      </c>
      <c r="D164" s="1">
        <v>13</v>
      </c>
      <c r="H164" s="4" t="s">
        <v>25</v>
      </c>
    </row>
    <row r="165" spans="3:8" x14ac:dyDescent="0.3">
      <c r="C165" s="4" t="s">
        <v>641</v>
      </c>
      <c r="D165" s="1">
        <v>13</v>
      </c>
      <c r="H165" s="5" t="s">
        <v>1570</v>
      </c>
    </row>
    <row r="166" spans="3:8" x14ac:dyDescent="0.3">
      <c r="C166" s="3" t="s">
        <v>3842</v>
      </c>
      <c r="D166" s="1">
        <v>15.52</v>
      </c>
      <c r="H166" s="3" t="s">
        <v>982</v>
      </c>
    </row>
    <row r="167" spans="3:8" x14ac:dyDescent="0.3">
      <c r="C167" s="4" t="s">
        <v>3186</v>
      </c>
      <c r="D167" s="1">
        <v>15.52</v>
      </c>
      <c r="H167" s="4" t="s">
        <v>25</v>
      </c>
    </row>
    <row r="168" spans="3:8" x14ac:dyDescent="0.3">
      <c r="C168" s="3" t="s">
        <v>2811</v>
      </c>
      <c r="D168" s="1">
        <v>334.76799999999997</v>
      </c>
      <c r="H168" s="5" t="s">
        <v>983</v>
      </c>
    </row>
    <row r="169" spans="3:8" x14ac:dyDescent="0.3">
      <c r="C169" s="4" t="s">
        <v>2812</v>
      </c>
      <c r="D169" s="1">
        <v>334.76799999999997</v>
      </c>
      <c r="H169" s="3" t="s">
        <v>1714</v>
      </c>
    </row>
    <row r="170" spans="3:8" x14ac:dyDescent="0.3">
      <c r="C170" s="3" t="s">
        <v>219</v>
      </c>
      <c r="D170" s="1">
        <v>211.96</v>
      </c>
      <c r="H170" s="4" t="s">
        <v>25</v>
      </c>
    </row>
    <row r="171" spans="3:8" x14ac:dyDescent="0.3">
      <c r="C171" s="4" t="s">
        <v>220</v>
      </c>
      <c r="D171" s="1">
        <v>211.96</v>
      </c>
      <c r="H171" s="5" t="s">
        <v>1715</v>
      </c>
    </row>
    <row r="172" spans="3:8" x14ac:dyDescent="0.3">
      <c r="C172" s="3" t="s">
        <v>4060</v>
      </c>
      <c r="D172" s="1">
        <v>24.9</v>
      </c>
      <c r="H172" s="3" t="s">
        <v>1169</v>
      </c>
    </row>
    <row r="173" spans="3:8" x14ac:dyDescent="0.3">
      <c r="C173" s="4" t="s">
        <v>4061</v>
      </c>
      <c r="D173" s="1">
        <v>24.9</v>
      </c>
      <c r="H173" s="4" t="s">
        <v>25</v>
      </c>
    </row>
    <row r="174" spans="3:8" x14ac:dyDescent="0.3">
      <c r="C174" s="3" t="s">
        <v>3498</v>
      </c>
      <c r="D174" s="1">
        <v>366.786</v>
      </c>
      <c r="H174" s="5" t="s">
        <v>1170</v>
      </c>
    </row>
    <row r="175" spans="3:8" x14ac:dyDescent="0.3">
      <c r="C175" s="4" t="s">
        <v>708</v>
      </c>
      <c r="D175" s="1">
        <v>366.786</v>
      </c>
      <c r="H175" s="3" t="s">
        <v>2345</v>
      </c>
    </row>
    <row r="176" spans="3:8" x14ac:dyDescent="0.3">
      <c r="C176" s="3" t="s">
        <v>3262</v>
      </c>
      <c r="D176" s="1">
        <v>5.1040000000000001</v>
      </c>
      <c r="H176" s="4" t="s">
        <v>25</v>
      </c>
    </row>
    <row r="177" spans="3:8" x14ac:dyDescent="0.3">
      <c r="C177" s="4" t="s">
        <v>2648</v>
      </c>
      <c r="D177" s="1">
        <v>5.1040000000000001</v>
      </c>
      <c r="H177" s="5" t="s">
        <v>2346</v>
      </c>
    </row>
    <row r="178" spans="3:8" x14ac:dyDescent="0.3">
      <c r="C178" s="3" t="s">
        <v>2165</v>
      </c>
      <c r="D178" s="1">
        <v>2.89</v>
      </c>
      <c r="H178" s="3" t="s">
        <v>2585</v>
      </c>
    </row>
    <row r="179" spans="3:8" x14ac:dyDescent="0.3">
      <c r="C179" s="4" t="s">
        <v>2166</v>
      </c>
      <c r="D179" s="1">
        <v>2.89</v>
      </c>
      <c r="H179" s="4" t="s">
        <v>25</v>
      </c>
    </row>
    <row r="180" spans="3:8" x14ac:dyDescent="0.3">
      <c r="C180" s="3" t="s">
        <v>1711</v>
      </c>
      <c r="D180" s="1">
        <v>142.77600000000001</v>
      </c>
      <c r="H180" s="5" t="s">
        <v>2586</v>
      </c>
    </row>
    <row r="181" spans="3:8" x14ac:dyDescent="0.3">
      <c r="C181" s="4" t="s">
        <v>1712</v>
      </c>
      <c r="D181" s="1">
        <v>142.77600000000001</v>
      </c>
      <c r="H181" s="3" t="s">
        <v>1773</v>
      </c>
    </row>
    <row r="182" spans="3:8" x14ac:dyDescent="0.3">
      <c r="C182" s="3" t="s">
        <v>3777</v>
      </c>
      <c r="D182" s="1">
        <v>20.736000000000001</v>
      </c>
      <c r="H182" s="4" t="s">
        <v>25</v>
      </c>
    </row>
    <row r="183" spans="3:8" x14ac:dyDescent="0.3">
      <c r="C183" s="4" t="s">
        <v>2336</v>
      </c>
      <c r="D183" s="1">
        <v>20.736000000000001</v>
      </c>
      <c r="H183" s="5" t="s">
        <v>1774</v>
      </c>
    </row>
    <row r="184" spans="3:8" x14ac:dyDescent="0.3">
      <c r="C184" s="3" t="s">
        <v>3341</v>
      </c>
      <c r="D184" s="1">
        <v>2.8159999999999998</v>
      </c>
      <c r="H184" s="3" t="s">
        <v>2943</v>
      </c>
    </row>
    <row r="185" spans="3:8" x14ac:dyDescent="0.3">
      <c r="C185" s="4" t="s">
        <v>503</v>
      </c>
      <c r="D185" s="1">
        <v>2.8159999999999998</v>
      </c>
      <c r="H185" s="4" t="s">
        <v>25</v>
      </c>
    </row>
    <row r="186" spans="3:8" x14ac:dyDescent="0.3">
      <c r="C186" s="3" t="s">
        <v>3323</v>
      </c>
      <c r="D186" s="1">
        <v>19.751999999999999</v>
      </c>
      <c r="H186" s="5" t="s">
        <v>2944</v>
      </c>
    </row>
    <row r="187" spans="3:8" x14ac:dyDescent="0.3">
      <c r="C187" s="4" t="s">
        <v>3159</v>
      </c>
      <c r="D187" s="1">
        <v>19.751999999999999</v>
      </c>
      <c r="H187" s="3" t="s">
        <v>3547</v>
      </c>
    </row>
    <row r="188" spans="3:8" x14ac:dyDescent="0.3">
      <c r="C188" s="3" t="s">
        <v>3750</v>
      </c>
      <c r="D188" s="1">
        <v>59.52</v>
      </c>
      <c r="H188" s="4" t="s">
        <v>25</v>
      </c>
    </row>
    <row r="189" spans="3:8" x14ac:dyDescent="0.3">
      <c r="C189" s="4" t="s">
        <v>884</v>
      </c>
      <c r="D189" s="1">
        <v>59.52</v>
      </c>
      <c r="H189" s="5" t="s">
        <v>3548</v>
      </c>
    </row>
    <row r="190" spans="3:8" x14ac:dyDescent="0.3">
      <c r="C190" s="3" t="s">
        <v>1422</v>
      </c>
      <c r="D190" s="1">
        <v>2735.9520000000002</v>
      </c>
      <c r="H190" s="3" t="s">
        <v>3662</v>
      </c>
    </row>
    <row r="191" spans="3:8" x14ac:dyDescent="0.3">
      <c r="C191" s="4" t="s">
        <v>1423</v>
      </c>
      <c r="D191" s="1">
        <v>2735.9520000000002</v>
      </c>
      <c r="H191" s="4" t="s">
        <v>25</v>
      </c>
    </row>
    <row r="192" spans="3:8" x14ac:dyDescent="0.3">
      <c r="C192" s="3" t="s">
        <v>1585</v>
      </c>
      <c r="D192" s="1">
        <v>19.456</v>
      </c>
      <c r="H192" s="5" t="s">
        <v>3663</v>
      </c>
    </row>
    <row r="193" spans="3:8" x14ac:dyDescent="0.3">
      <c r="C193" s="4" t="s">
        <v>1586</v>
      </c>
      <c r="D193" s="1">
        <v>19.456</v>
      </c>
      <c r="H193" s="3" t="s">
        <v>3500</v>
      </c>
    </row>
    <row r="194" spans="3:8" x14ac:dyDescent="0.3">
      <c r="C194" s="3" t="s">
        <v>1836</v>
      </c>
      <c r="D194" s="1">
        <v>30.36</v>
      </c>
      <c r="H194" s="4" t="s">
        <v>25</v>
      </c>
    </row>
    <row r="195" spans="3:8" x14ac:dyDescent="0.3">
      <c r="C195" s="4" t="s">
        <v>1247</v>
      </c>
      <c r="D195" s="1">
        <v>30.36</v>
      </c>
      <c r="H195" s="5" t="s">
        <v>3501</v>
      </c>
    </row>
    <row r="196" spans="3:8" x14ac:dyDescent="0.3">
      <c r="C196" s="3" t="s">
        <v>2990</v>
      </c>
      <c r="D196" s="1">
        <v>201.584</v>
      </c>
      <c r="H196" s="3" t="s">
        <v>935</v>
      </c>
    </row>
    <row r="197" spans="3:8" x14ac:dyDescent="0.3">
      <c r="C197" s="4" t="s">
        <v>2991</v>
      </c>
      <c r="D197" s="1">
        <v>201.584</v>
      </c>
      <c r="H197" s="4" t="s">
        <v>25</v>
      </c>
    </row>
    <row r="198" spans="3:8" x14ac:dyDescent="0.3">
      <c r="C198" s="3" t="s">
        <v>2064</v>
      </c>
      <c r="D198" s="1">
        <v>9.9600000000000009</v>
      </c>
      <c r="H198" s="5" t="s">
        <v>936</v>
      </c>
    </row>
    <row r="199" spans="3:8" x14ac:dyDescent="0.3">
      <c r="C199" s="4" t="s">
        <v>503</v>
      </c>
      <c r="D199" s="1">
        <v>9.9600000000000009</v>
      </c>
      <c r="H199" s="3" t="s">
        <v>1344</v>
      </c>
    </row>
    <row r="200" spans="3:8" x14ac:dyDescent="0.3">
      <c r="C200" s="3" t="s">
        <v>1035</v>
      </c>
      <c r="D200" s="1">
        <v>7.16</v>
      </c>
      <c r="H200" s="4" t="s">
        <v>25</v>
      </c>
    </row>
    <row r="201" spans="3:8" x14ac:dyDescent="0.3">
      <c r="C201" s="4" t="s">
        <v>642</v>
      </c>
      <c r="D201" s="1">
        <v>7.16</v>
      </c>
      <c r="H201" s="5" t="s">
        <v>1345</v>
      </c>
    </row>
    <row r="202" spans="3:8" x14ac:dyDescent="0.3">
      <c r="C202" s="3" t="s">
        <v>1868</v>
      </c>
      <c r="D202" s="1">
        <v>14.62</v>
      </c>
      <c r="H202" s="3" t="s">
        <v>1575</v>
      </c>
    </row>
    <row r="203" spans="3:8" x14ac:dyDescent="0.3">
      <c r="C203" s="4" t="s">
        <v>1869</v>
      </c>
      <c r="D203" s="1">
        <v>14.62</v>
      </c>
      <c r="H203" s="4" t="s">
        <v>25</v>
      </c>
    </row>
    <row r="204" spans="3:8" x14ac:dyDescent="0.3">
      <c r="C204" s="3" t="s">
        <v>667</v>
      </c>
      <c r="D204" s="1">
        <v>503.96</v>
      </c>
      <c r="H204" s="5" t="s">
        <v>1576</v>
      </c>
    </row>
    <row r="205" spans="3:8" x14ac:dyDescent="0.3">
      <c r="C205" s="4" t="s">
        <v>668</v>
      </c>
      <c r="D205" s="1">
        <v>503.96</v>
      </c>
      <c r="H205" s="3" t="s">
        <v>1561</v>
      </c>
    </row>
    <row r="206" spans="3:8" x14ac:dyDescent="0.3">
      <c r="C206" s="3" t="s">
        <v>2388</v>
      </c>
      <c r="D206" s="1">
        <v>151.72</v>
      </c>
      <c r="H206" s="4" t="s">
        <v>25</v>
      </c>
    </row>
    <row r="207" spans="3:8" x14ac:dyDescent="0.3">
      <c r="C207" s="4" t="s">
        <v>669</v>
      </c>
      <c r="D207" s="1">
        <v>151.72</v>
      </c>
      <c r="H207" s="5" t="s">
        <v>1562</v>
      </c>
    </row>
    <row r="208" spans="3:8" x14ac:dyDescent="0.3">
      <c r="C208" s="3" t="s">
        <v>2015</v>
      </c>
      <c r="D208" s="1">
        <v>50.94</v>
      </c>
      <c r="H208" s="3" t="s">
        <v>1499</v>
      </c>
    </row>
    <row r="209" spans="3:8" x14ac:dyDescent="0.3">
      <c r="C209" s="4" t="s">
        <v>1686</v>
      </c>
      <c r="D209" s="1">
        <v>50.94</v>
      </c>
      <c r="H209" s="4" t="s">
        <v>25</v>
      </c>
    </row>
    <row r="210" spans="3:8" x14ac:dyDescent="0.3">
      <c r="C210" s="3" t="s">
        <v>2335</v>
      </c>
      <c r="D210" s="1">
        <v>3.3919999999999999</v>
      </c>
      <c r="H210" s="5" t="s">
        <v>1500</v>
      </c>
    </row>
    <row r="211" spans="3:8" x14ac:dyDescent="0.3">
      <c r="C211" s="4" t="s">
        <v>98</v>
      </c>
      <c r="D211" s="1">
        <v>3.3919999999999999</v>
      </c>
      <c r="H211" s="3" t="s">
        <v>4055</v>
      </c>
    </row>
    <row r="212" spans="3:8" x14ac:dyDescent="0.3">
      <c r="C212" s="3" t="s">
        <v>3504</v>
      </c>
      <c r="D212" s="1">
        <v>145.97999999999999</v>
      </c>
      <c r="H212" s="4" t="s">
        <v>25</v>
      </c>
    </row>
    <row r="213" spans="3:8" x14ac:dyDescent="0.3">
      <c r="C213" s="4" t="s">
        <v>99</v>
      </c>
      <c r="D213" s="1">
        <v>145.97999999999999</v>
      </c>
      <c r="H213" s="5" t="s">
        <v>4056</v>
      </c>
    </row>
    <row r="214" spans="3:8" x14ac:dyDescent="0.3">
      <c r="C214" s="3" t="s">
        <v>1022</v>
      </c>
      <c r="D214" s="1">
        <v>99.135999999999996</v>
      </c>
      <c r="H214" s="3" t="s">
        <v>1671</v>
      </c>
    </row>
    <row r="215" spans="3:8" x14ac:dyDescent="0.3">
      <c r="C215" s="4" t="s">
        <v>497</v>
      </c>
      <c r="D215" s="1">
        <v>99.135999999999996</v>
      </c>
      <c r="H215" s="4" t="s">
        <v>25</v>
      </c>
    </row>
    <row r="216" spans="3:8" x14ac:dyDescent="0.3">
      <c r="C216" s="3" t="s">
        <v>1028</v>
      </c>
      <c r="D216" s="1">
        <v>135.88200000000001</v>
      </c>
      <c r="H216" s="5" t="s">
        <v>1672</v>
      </c>
    </row>
    <row r="217" spans="3:8" x14ac:dyDescent="0.3">
      <c r="C217" s="4" t="s">
        <v>1029</v>
      </c>
      <c r="D217" s="1">
        <v>135.88200000000001</v>
      </c>
      <c r="H217" s="3" t="s">
        <v>2693</v>
      </c>
    </row>
    <row r="218" spans="3:8" x14ac:dyDescent="0.3">
      <c r="C218" s="3" t="s">
        <v>2035</v>
      </c>
      <c r="D218" s="1">
        <v>32.76</v>
      </c>
      <c r="H218" s="4" t="s">
        <v>25</v>
      </c>
    </row>
    <row r="219" spans="3:8" x14ac:dyDescent="0.3">
      <c r="C219" s="4" t="s">
        <v>2036</v>
      </c>
      <c r="D219" s="1">
        <v>32.76</v>
      </c>
      <c r="H219" s="5" t="s">
        <v>2694</v>
      </c>
    </row>
    <row r="220" spans="3:8" x14ac:dyDescent="0.3">
      <c r="C220" s="3" t="s">
        <v>661</v>
      </c>
      <c r="D220" s="1">
        <v>24.815999999999999</v>
      </c>
      <c r="H220" s="3" t="s">
        <v>2247</v>
      </c>
    </row>
    <row r="221" spans="3:8" x14ac:dyDescent="0.3">
      <c r="C221" s="4" t="s">
        <v>280</v>
      </c>
      <c r="D221" s="1">
        <v>24.815999999999999</v>
      </c>
      <c r="H221" s="4" t="s">
        <v>25</v>
      </c>
    </row>
    <row r="222" spans="3:8" x14ac:dyDescent="0.3">
      <c r="C222" s="3" t="s">
        <v>3812</v>
      </c>
      <c r="D222" s="1">
        <v>193.06559999999999</v>
      </c>
      <c r="H222" s="5" t="s">
        <v>2248</v>
      </c>
    </row>
    <row r="223" spans="3:8" x14ac:dyDescent="0.3">
      <c r="C223" s="4" t="s">
        <v>3813</v>
      </c>
      <c r="D223" s="1">
        <v>193.06559999999999</v>
      </c>
      <c r="H223" s="3" t="s">
        <v>3462</v>
      </c>
    </row>
    <row r="224" spans="3:8" x14ac:dyDescent="0.3">
      <c r="C224" s="3" t="s">
        <v>107</v>
      </c>
      <c r="D224" s="1">
        <v>55.5</v>
      </c>
      <c r="H224" s="4" t="s">
        <v>25</v>
      </c>
    </row>
    <row r="225" spans="3:8" x14ac:dyDescent="0.3">
      <c r="C225" s="4" t="s">
        <v>108</v>
      </c>
      <c r="D225" s="1">
        <v>55.5</v>
      </c>
      <c r="H225" s="5" t="s">
        <v>3463</v>
      </c>
    </row>
    <row r="226" spans="3:8" x14ac:dyDescent="0.3">
      <c r="C226" s="3" t="s">
        <v>1015</v>
      </c>
      <c r="D226" s="1">
        <v>178.38399999999999</v>
      </c>
      <c r="H226" s="3" t="s">
        <v>3160</v>
      </c>
    </row>
    <row r="227" spans="3:8" x14ac:dyDescent="0.3">
      <c r="C227" s="4" t="s">
        <v>635</v>
      </c>
      <c r="D227" s="1">
        <v>178.38399999999999</v>
      </c>
      <c r="H227" s="4" t="s">
        <v>25</v>
      </c>
    </row>
    <row r="228" spans="3:8" x14ac:dyDescent="0.3">
      <c r="C228" s="3" t="s">
        <v>2646</v>
      </c>
      <c r="D228" s="1">
        <v>764.68799999999999</v>
      </c>
      <c r="H228" s="5" t="s">
        <v>3161</v>
      </c>
    </row>
    <row r="229" spans="3:8" x14ac:dyDescent="0.3">
      <c r="C229" s="4" t="s">
        <v>2647</v>
      </c>
      <c r="D229" s="1">
        <v>764.68799999999999</v>
      </c>
      <c r="H229" s="3" t="s">
        <v>3455</v>
      </c>
    </row>
    <row r="230" spans="3:8" x14ac:dyDescent="0.3">
      <c r="C230" s="3" t="s">
        <v>3010</v>
      </c>
      <c r="D230" s="1">
        <v>438.33600000000001</v>
      </c>
      <c r="H230" s="4" t="s">
        <v>25</v>
      </c>
    </row>
    <row r="231" spans="3:8" x14ac:dyDescent="0.3">
      <c r="C231" s="4" t="s">
        <v>1197</v>
      </c>
      <c r="D231" s="1">
        <v>438.33600000000001</v>
      </c>
      <c r="H231" s="5" t="s">
        <v>3456</v>
      </c>
    </row>
    <row r="232" spans="3:8" x14ac:dyDescent="0.3">
      <c r="C232" s="3" t="s">
        <v>2120</v>
      </c>
      <c r="D232" s="1">
        <v>11.52</v>
      </c>
      <c r="H232" s="3" t="s">
        <v>2617</v>
      </c>
    </row>
    <row r="233" spans="3:8" x14ac:dyDescent="0.3">
      <c r="C233" s="4" t="s">
        <v>2121</v>
      </c>
      <c r="D233" s="1">
        <v>11.52</v>
      </c>
      <c r="H233" s="4" t="s">
        <v>25</v>
      </c>
    </row>
    <row r="234" spans="3:8" x14ac:dyDescent="0.3">
      <c r="C234" s="3" t="s">
        <v>773</v>
      </c>
      <c r="D234" s="1">
        <v>20.8</v>
      </c>
      <c r="H234" s="5" t="s">
        <v>2618</v>
      </c>
    </row>
    <row r="235" spans="3:8" x14ac:dyDescent="0.3">
      <c r="C235" s="4" t="s">
        <v>774</v>
      </c>
      <c r="D235" s="1">
        <v>20.8</v>
      </c>
      <c r="H235" s="3" t="s">
        <v>3700</v>
      </c>
    </row>
    <row r="236" spans="3:8" x14ac:dyDescent="0.3">
      <c r="C236" s="3" t="s">
        <v>699</v>
      </c>
      <c r="D236" s="1">
        <v>899.13599999999997</v>
      </c>
      <c r="H236" s="4" t="s">
        <v>25</v>
      </c>
    </row>
    <row r="237" spans="3:8" x14ac:dyDescent="0.3">
      <c r="C237" s="4" t="s">
        <v>700</v>
      </c>
      <c r="D237" s="1">
        <v>899.13599999999997</v>
      </c>
      <c r="H237" s="5" t="s">
        <v>3701</v>
      </c>
    </row>
    <row r="238" spans="3:8" x14ac:dyDescent="0.3">
      <c r="C238" s="3" t="s">
        <v>1516</v>
      </c>
      <c r="D238" s="1">
        <v>190.72</v>
      </c>
      <c r="H238" s="3" t="s">
        <v>2629</v>
      </c>
    </row>
    <row r="239" spans="3:8" x14ac:dyDescent="0.3">
      <c r="C239" s="4" t="s">
        <v>1517</v>
      </c>
      <c r="D239" s="1">
        <v>190.72</v>
      </c>
      <c r="H239" s="4" t="s">
        <v>25</v>
      </c>
    </row>
    <row r="240" spans="3:8" x14ac:dyDescent="0.3">
      <c r="C240" s="3" t="s">
        <v>2383</v>
      </c>
      <c r="D240" s="1">
        <v>4.4009999999999998</v>
      </c>
      <c r="H240" s="5" t="s">
        <v>2630</v>
      </c>
    </row>
    <row r="241" spans="3:8" x14ac:dyDescent="0.3">
      <c r="C241" s="4" t="s">
        <v>949</v>
      </c>
      <c r="D241" s="1">
        <v>4.4009999999999998</v>
      </c>
      <c r="H241" s="3" t="s">
        <v>60</v>
      </c>
    </row>
    <row r="242" spans="3:8" x14ac:dyDescent="0.3">
      <c r="C242" s="3" t="s">
        <v>3939</v>
      </c>
      <c r="D242" s="1">
        <v>14.98</v>
      </c>
      <c r="H242" s="4" t="s">
        <v>25</v>
      </c>
    </row>
    <row r="243" spans="3:8" x14ac:dyDescent="0.3">
      <c r="C243" s="4" t="s">
        <v>3940</v>
      </c>
      <c r="D243" s="1">
        <v>14.98</v>
      </c>
      <c r="H243" s="5" t="s">
        <v>61</v>
      </c>
    </row>
    <row r="244" spans="3:8" x14ac:dyDescent="0.3">
      <c r="C244" s="3" t="s">
        <v>2399</v>
      </c>
      <c r="D244" s="1">
        <v>13.96</v>
      </c>
      <c r="H244" s="3" t="s">
        <v>2155</v>
      </c>
    </row>
    <row r="245" spans="3:8" x14ac:dyDescent="0.3">
      <c r="C245" s="4" t="s">
        <v>2400</v>
      </c>
      <c r="D245" s="1">
        <v>13.96</v>
      </c>
      <c r="H245" s="4" t="s">
        <v>25</v>
      </c>
    </row>
    <row r="246" spans="3:8" x14ac:dyDescent="0.3">
      <c r="C246" s="3" t="s">
        <v>4137</v>
      </c>
      <c r="D246" s="1">
        <v>466.15800000000002</v>
      </c>
      <c r="H246" s="5" t="s">
        <v>2156</v>
      </c>
    </row>
    <row r="247" spans="3:8" x14ac:dyDescent="0.3">
      <c r="C247" s="4" t="s">
        <v>4138</v>
      </c>
      <c r="D247" s="1">
        <v>466.15800000000002</v>
      </c>
      <c r="H247" s="3" t="s">
        <v>628</v>
      </c>
    </row>
    <row r="248" spans="3:8" x14ac:dyDescent="0.3">
      <c r="C248" s="3" t="s">
        <v>2504</v>
      </c>
      <c r="D248" s="1">
        <v>19.920000000000002</v>
      </c>
      <c r="H248" s="4" t="s">
        <v>25</v>
      </c>
    </row>
    <row r="249" spans="3:8" x14ac:dyDescent="0.3">
      <c r="C249" s="4" t="s">
        <v>1759</v>
      </c>
      <c r="D249" s="1">
        <v>19.920000000000002</v>
      </c>
      <c r="H249" s="5" t="s">
        <v>629</v>
      </c>
    </row>
    <row r="250" spans="3:8" x14ac:dyDescent="0.3">
      <c r="C250" s="3" t="s">
        <v>474</v>
      </c>
      <c r="D250" s="1">
        <v>787.53</v>
      </c>
      <c r="H250" s="3" t="s">
        <v>2123</v>
      </c>
    </row>
    <row r="251" spans="3:8" x14ac:dyDescent="0.3">
      <c r="C251" s="4" t="s">
        <v>475</v>
      </c>
      <c r="D251" s="1">
        <v>787.53</v>
      </c>
      <c r="H251" s="4" t="s">
        <v>25</v>
      </c>
    </row>
    <row r="252" spans="3:8" x14ac:dyDescent="0.3">
      <c r="C252" s="3" t="s">
        <v>2463</v>
      </c>
      <c r="D252" s="1">
        <v>11.16</v>
      </c>
      <c r="H252" s="5" t="s">
        <v>2124</v>
      </c>
    </row>
    <row r="253" spans="3:8" x14ac:dyDescent="0.3">
      <c r="C253" s="4" t="s">
        <v>2464</v>
      </c>
      <c r="D253" s="1">
        <v>11.16</v>
      </c>
      <c r="H253" s="3" t="s">
        <v>2045</v>
      </c>
    </row>
    <row r="254" spans="3:8" x14ac:dyDescent="0.3">
      <c r="C254" s="3" t="s">
        <v>2257</v>
      </c>
      <c r="D254" s="1">
        <v>85.14</v>
      </c>
      <c r="H254" s="4" t="s">
        <v>25</v>
      </c>
    </row>
    <row r="255" spans="3:8" x14ac:dyDescent="0.3">
      <c r="C255" s="4" t="s">
        <v>2258</v>
      </c>
      <c r="D255" s="1">
        <v>85.14</v>
      </c>
      <c r="H255" s="5" t="s">
        <v>2046</v>
      </c>
    </row>
    <row r="256" spans="3:8" x14ac:dyDescent="0.3">
      <c r="C256" s="3" t="s">
        <v>3441</v>
      </c>
      <c r="D256" s="1">
        <v>36.51</v>
      </c>
      <c r="H256" s="3" t="s">
        <v>1911</v>
      </c>
    </row>
    <row r="257" spans="3:8" x14ac:dyDescent="0.3">
      <c r="C257" s="4" t="s">
        <v>2377</v>
      </c>
      <c r="D257" s="1">
        <v>36.51</v>
      </c>
      <c r="H257" s="4" t="s">
        <v>25</v>
      </c>
    </row>
    <row r="258" spans="3:8" x14ac:dyDescent="0.3">
      <c r="C258" s="3" t="s">
        <v>4085</v>
      </c>
      <c r="D258" s="1">
        <v>27.552</v>
      </c>
      <c r="H258" s="5" t="s">
        <v>1912</v>
      </c>
    </row>
    <row r="259" spans="3:8" x14ac:dyDescent="0.3">
      <c r="C259" s="4" t="s">
        <v>4086</v>
      </c>
      <c r="D259" s="1">
        <v>27.552</v>
      </c>
      <c r="H259" s="3" t="s">
        <v>1486</v>
      </c>
    </row>
    <row r="260" spans="3:8" x14ac:dyDescent="0.3">
      <c r="C260" s="3" t="s">
        <v>4029</v>
      </c>
      <c r="D260" s="1">
        <v>50.88</v>
      </c>
      <c r="H260" s="4" t="s">
        <v>25</v>
      </c>
    </row>
    <row r="261" spans="3:8" x14ac:dyDescent="0.3">
      <c r="C261" s="4" t="s">
        <v>2394</v>
      </c>
      <c r="D261" s="1">
        <v>50.88</v>
      </c>
      <c r="H261" s="5" t="s">
        <v>1487</v>
      </c>
    </row>
    <row r="262" spans="3:8" x14ac:dyDescent="0.3">
      <c r="C262" s="3" t="s">
        <v>2563</v>
      </c>
      <c r="D262" s="1">
        <v>644.07600000000002</v>
      </c>
      <c r="H262" s="3" t="s">
        <v>4152</v>
      </c>
    </row>
    <row r="263" spans="3:8" x14ac:dyDescent="0.3">
      <c r="C263" s="4" t="s">
        <v>2464</v>
      </c>
      <c r="D263" s="1">
        <v>644.07600000000002</v>
      </c>
      <c r="H263" s="4" t="s">
        <v>25</v>
      </c>
    </row>
    <row r="264" spans="3:8" x14ac:dyDescent="0.3">
      <c r="C264" s="3" t="s">
        <v>2310</v>
      </c>
      <c r="D264" s="1">
        <v>204.6</v>
      </c>
      <c r="H264" s="5" t="s">
        <v>4153</v>
      </c>
    </row>
    <row r="265" spans="3:8" x14ac:dyDescent="0.3">
      <c r="C265" s="4" t="s">
        <v>1642</v>
      </c>
      <c r="D265" s="1">
        <v>204.6</v>
      </c>
      <c r="H265" s="3" t="s">
        <v>4235</v>
      </c>
    </row>
    <row r="266" spans="3:8" x14ac:dyDescent="0.3">
      <c r="C266" s="3" t="s">
        <v>3864</v>
      </c>
      <c r="D266" s="1">
        <v>523.91999999999996</v>
      </c>
      <c r="H266" s="4" t="s">
        <v>25</v>
      </c>
    </row>
    <row r="267" spans="3:8" x14ac:dyDescent="0.3">
      <c r="C267" s="4" t="s">
        <v>3865</v>
      </c>
      <c r="D267" s="1">
        <v>523.91999999999996</v>
      </c>
      <c r="H267" s="5" t="s">
        <v>4236</v>
      </c>
    </row>
    <row r="268" spans="3:8" x14ac:dyDescent="0.3">
      <c r="C268" s="3" t="s">
        <v>237</v>
      </c>
      <c r="D268" s="1">
        <v>38.22</v>
      </c>
      <c r="H268" s="3" t="s">
        <v>1218</v>
      </c>
    </row>
    <row r="269" spans="3:8" x14ac:dyDescent="0.3">
      <c r="C269" s="4" t="s">
        <v>238</v>
      </c>
      <c r="D269" s="1">
        <v>38.22</v>
      </c>
      <c r="H269" s="4" t="s">
        <v>25</v>
      </c>
    </row>
    <row r="270" spans="3:8" x14ac:dyDescent="0.3">
      <c r="C270" s="3" t="s">
        <v>2703</v>
      </c>
      <c r="D270" s="1">
        <v>61.96</v>
      </c>
      <c r="H270" s="5" t="s">
        <v>1219</v>
      </c>
    </row>
    <row r="271" spans="3:8" x14ac:dyDescent="0.3">
      <c r="C271" s="4" t="s">
        <v>2704</v>
      </c>
      <c r="D271" s="1">
        <v>61.96</v>
      </c>
      <c r="H271" s="3" t="s">
        <v>3729</v>
      </c>
    </row>
    <row r="272" spans="3:8" x14ac:dyDescent="0.3">
      <c r="C272" s="3" t="s">
        <v>3392</v>
      </c>
      <c r="D272" s="1">
        <v>13.36</v>
      </c>
      <c r="H272" s="4" t="s">
        <v>25</v>
      </c>
    </row>
    <row r="273" spans="3:8" x14ac:dyDescent="0.3">
      <c r="C273" s="4" t="s">
        <v>3114</v>
      </c>
      <c r="D273" s="1">
        <v>13.36</v>
      </c>
      <c r="H273" s="5" t="s">
        <v>3730</v>
      </c>
    </row>
    <row r="274" spans="3:8" x14ac:dyDescent="0.3">
      <c r="C274" s="3" t="s">
        <v>177</v>
      </c>
      <c r="D274" s="1">
        <v>113.328</v>
      </c>
      <c r="H274" s="3" t="s">
        <v>1002</v>
      </c>
    </row>
    <row r="275" spans="3:8" x14ac:dyDescent="0.3">
      <c r="C275" s="4" t="s">
        <v>178</v>
      </c>
      <c r="D275" s="1">
        <v>113.328</v>
      </c>
      <c r="H275" s="4" t="s">
        <v>25</v>
      </c>
    </row>
    <row r="276" spans="3:8" x14ac:dyDescent="0.3">
      <c r="C276" s="3" t="s">
        <v>2977</v>
      </c>
      <c r="D276" s="1">
        <v>359.05799999999999</v>
      </c>
      <c r="H276" s="5" t="s">
        <v>1003</v>
      </c>
    </row>
    <row r="277" spans="3:8" x14ac:dyDescent="0.3">
      <c r="C277" s="4" t="s">
        <v>2978</v>
      </c>
      <c r="D277" s="1">
        <v>359.05799999999999</v>
      </c>
      <c r="H277" s="3" t="s">
        <v>3193</v>
      </c>
    </row>
    <row r="278" spans="3:8" x14ac:dyDescent="0.3">
      <c r="C278" s="3" t="s">
        <v>582</v>
      </c>
      <c r="D278" s="1">
        <v>6.63</v>
      </c>
      <c r="H278" s="4" t="s">
        <v>25</v>
      </c>
    </row>
    <row r="279" spans="3:8" x14ac:dyDescent="0.3">
      <c r="C279" s="4" t="s">
        <v>583</v>
      </c>
      <c r="D279" s="1">
        <v>6.63</v>
      </c>
      <c r="H279" s="5" t="s">
        <v>3194</v>
      </c>
    </row>
    <row r="280" spans="3:8" x14ac:dyDescent="0.3">
      <c r="C280" s="3" t="s">
        <v>3915</v>
      </c>
      <c r="D280" s="1">
        <v>28.751999999999999</v>
      </c>
      <c r="H280" s="3" t="s">
        <v>4025</v>
      </c>
    </row>
    <row r="281" spans="3:8" x14ac:dyDescent="0.3">
      <c r="C281" s="4" t="s">
        <v>3916</v>
      </c>
      <c r="D281" s="1">
        <v>28.751999999999999</v>
      </c>
      <c r="H281" s="4" t="s">
        <v>25</v>
      </c>
    </row>
    <row r="282" spans="3:8" x14ac:dyDescent="0.3">
      <c r="C282" s="3" t="s">
        <v>1895</v>
      </c>
      <c r="D282" s="1">
        <v>47.36</v>
      </c>
      <c r="H282" s="5" t="s">
        <v>4026</v>
      </c>
    </row>
    <row r="283" spans="3:8" x14ac:dyDescent="0.3">
      <c r="C283" s="4" t="s">
        <v>1896</v>
      </c>
      <c r="D283" s="1">
        <v>47.36</v>
      </c>
      <c r="H283" s="3" t="s">
        <v>282</v>
      </c>
    </row>
    <row r="284" spans="3:8" x14ac:dyDescent="0.3">
      <c r="C284" s="3" t="s">
        <v>605</v>
      </c>
      <c r="D284" s="1">
        <v>54.384</v>
      </c>
      <c r="H284" s="4" t="s">
        <v>25</v>
      </c>
    </row>
    <row r="285" spans="3:8" x14ac:dyDescent="0.3">
      <c r="C285" s="4" t="s">
        <v>606</v>
      </c>
      <c r="D285" s="1">
        <v>54.384</v>
      </c>
      <c r="H285" s="5" t="s">
        <v>283</v>
      </c>
    </row>
    <row r="286" spans="3:8" x14ac:dyDescent="0.3">
      <c r="C286" s="3" t="s">
        <v>3538</v>
      </c>
      <c r="D286" s="1">
        <v>32.783999999999999</v>
      </c>
      <c r="H286" s="3" t="s">
        <v>4203</v>
      </c>
    </row>
    <row r="287" spans="3:8" x14ac:dyDescent="0.3">
      <c r="C287" s="4" t="s">
        <v>3539</v>
      </c>
      <c r="D287" s="1">
        <v>32.783999999999999</v>
      </c>
      <c r="H287" s="4" t="s">
        <v>25</v>
      </c>
    </row>
    <row r="288" spans="3:8" x14ac:dyDescent="0.3">
      <c r="C288" s="3" t="s">
        <v>3312</v>
      </c>
      <c r="D288" s="1">
        <v>94.92</v>
      </c>
      <c r="H288" s="5" t="s">
        <v>4204</v>
      </c>
    </row>
    <row r="289" spans="3:8" x14ac:dyDescent="0.3">
      <c r="C289" s="4" t="s">
        <v>266</v>
      </c>
      <c r="D289" s="1">
        <v>94.92</v>
      </c>
      <c r="H289" s="3" t="s">
        <v>738</v>
      </c>
    </row>
    <row r="290" spans="3:8" x14ac:dyDescent="0.3">
      <c r="C290" s="3" t="s">
        <v>3289</v>
      </c>
      <c r="D290" s="1">
        <v>11.952</v>
      </c>
      <c r="H290" s="4" t="s">
        <v>25</v>
      </c>
    </row>
    <row r="291" spans="3:8" x14ac:dyDescent="0.3">
      <c r="C291" s="4" t="s">
        <v>3290</v>
      </c>
      <c r="D291" s="1">
        <v>11.952</v>
      </c>
      <c r="H291" s="5" t="s">
        <v>739</v>
      </c>
    </row>
    <row r="292" spans="3:8" x14ac:dyDescent="0.3">
      <c r="C292" s="3" t="s">
        <v>1189</v>
      </c>
      <c r="D292" s="1">
        <v>482.34</v>
      </c>
      <c r="H292" s="3" t="s">
        <v>2331</v>
      </c>
    </row>
    <row r="293" spans="3:8" x14ac:dyDescent="0.3">
      <c r="C293" s="4" t="s">
        <v>1190</v>
      </c>
      <c r="D293" s="1">
        <v>482.34</v>
      </c>
      <c r="H293" s="4" t="s">
        <v>25</v>
      </c>
    </row>
    <row r="294" spans="3:8" x14ac:dyDescent="0.3">
      <c r="C294" s="3" t="s">
        <v>2969</v>
      </c>
      <c r="D294" s="1">
        <v>201.56800000000001</v>
      </c>
      <c r="H294" s="5" t="s">
        <v>2332</v>
      </c>
    </row>
    <row r="295" spans="3:8" x14ac:dyDescent="0.3">
      <c r="C295" s="4" t="s">
        <v>2970</v>
      </c>
      <c r="D295" s="1">
        <v>201.56800000000001</v>
      </c>
      <c r="H295" s="3" t="s">
        <v>2820</v>
      </c>
    </row>
    <row r="296" spans="3:8" x14ac:dyDescent="0.3">
      <c r="C296" s="3" t="s">
        <v>3552</v>
      </c>
      <c r="D296" s="1">
        <v>25.488</v>
      </c>
      <c r="H296" s="4" t="s">
        <v>25</v>
      </c>
    </row>
    <row r="297" spans="3:8" x14ac:dyDescent="0.3">
      <c r="C297" s="4" t="s">
        <v>3553</v>
      </c>
      <c r="D297" s="1">
        <v>25.488</v>
      </c>
      <c r="H297" s="5" t="s">
        <v>2821</v>
      </c>
    </row>
    <row r="298" spans="3:8" x14ac:dyDescent="0.3">
      <c r="C298" s="3" t="s">
        <v>2830</v>
      </c>
      <c r="D298" s="1">
        <v>86.272000000000006</v>
      </c>
      <c r="H298" s="3" t="s">
        <v>2505</v>
      </c>
    </row>
    <row r="299" spans="3:8" x14ac:dyDescent="0.3">
      <c r="C299" s="4" t="s">
        <v>2831</v>
      </c>
      <c r="D299" s="1">
        <v>86.272000000000006</v>
      </c>
      <c r="H299" s="4" t="s">
        <v>25</v>
      </c>
    </row>
    <row r="300" spans="3:8" x14ac:dyDescent="0.3">
      <c r="C300" s="3" t="s">
        <v>2370</v>
      </c>
      <c r="D300" s="1">
        <v>2309.65</v>
      </c>
      <c r="H300" s="5" t="s">
        <v>2506</v>
      </c>
    </row>
    <row r="301" spans="3:8" x14ac:dyDescent="0.3">
      <c r="C301" s="4" t="s">
        <v>927</v>
      </c>
      <c r="D301" s="1">
        <v>2309.65</v>
      </c>
      <c r="H301" s="3" t="s">
        <v>3348</v>
      </c>
    </row>
    <row r="302" spans="3:8" x14ac:dyDescent="0.3">
      <c r="C302" s="3" t="s">
        <v>574</v>
      </c>
      <c r="D302" s="1">
        <v>58.38</v>
      </c>
      <c r="H302" s="4" t="s">
        <v>25</v>
      </c>
    </row>
    <row r="303" spans="3:8" x14ac:dyDescent="0.3">
      <c r="C303" s="4" t="s">
        <v>575</v>
      </c>
      <c r="D303" s="1">
        <v>58.38</v>
      </c>
      <c r="H303" s="5" t="s">
        <v>3349</v>
      </c>
    </row>
    <row r="304" spans="3:8" x14ac:dyDescent="0.3">
      <c r="C304" s="3" t="s">
        <v>3226</v>
      </c>
      <c r="D304" s="1">
        <v>15.007999999999999</v>
      </c>
      <c r="H304" s="3" t="s">
        <v>2521</v>
      </c>
    </row>
    <row r="305" spans="3:8" x14ac:dyDescent="0.3">
      <c r="C305" s="4" t="s">
        <v>2043</v>
      </c>
      <c r="D305" s="1">
        <v>15.007999999999999</v>
      </c>
      <c r="H305" s="4" t="s">
        <v>25</v>
      </c>
    </row>
    <row r="306" spans="3:8" x14ac:dyDescent="0.3">
      <c r="C306" s="3" t="s">
        <v>1173</v>
      </c>
      <c r="D306" s="1">
        <v>41.9</v>
      </c>
      <c r="H306" s="5" t="s">
        <v>2522</v>
      </c>
    </row>
    <row r="307" spans="3:8" x14ac:dyDescent="0.3">
      <c r="C307" s="4" t="s">
        <v>1174</v>
      </c>
      <c r="D307" s="1">
        <v>41.9</v>
      </c>
      <c r="H307" s="3" t="s">
        <v>2598</v>
      </c>
    </row>
    <row r="308" spans="3:8" x14ac:dyDescent="0.3">
      <c r="C308" s="3" t="s">
        <v>3134</v>
      </c>
      <c r="D308" s="1">
        <v>9.9600000000000009</v>
      </c>
      <c r="H308" s="4" t="s">
        <v>25</v>
      </c>
    </row>
    <row r="309" spans="3:8" x14ac:dyDescent="0.3">
      <c r="C309" s="4" t="s">
        <v>2283</v>
      </c>
      <c r="D309" s="1">
        <v>9.9600000000000009</v>
      </c>
      <c r="H309" s="5" t="s">
        <v>2599</v>
      </c>
    </row>
    <row r="310" spans="3:8" x14ac:dyDescent="0.3">
      <c r="C310" s="3" t="s">
        <v>2375</v>
      </c>
      <c r="D310" s="1">
        <v>484.65</v>
      </c>
      <c r="H310" s="3" t="s">
        <v>3848</v>
      </c>
    </row>
    <row r="311" spans="3:8" x14ac:dyDescent="0.3">
      <c r="C311" s="4" t="s">
        <v>2376</v>
      </c>
      <c r="D311" s="1">
        <v>484.65</v>
      </c>
      <c r="H311" s="4" t="s">
        <v>25</v>
      </c>
    </row>
    <row r="312" spans="3:8" x14ac:dyDescent="0.3">
      <c r="C312" s="3" t="s">
        <v>2825</v>
      </c>
      <c r="D312" s="1">
        <v>946.34400000000005</v>
      </c>
      <c r="H312" s="5" t="s">
        <v>3849</v>
      </c>
    </row>
    <row r="313" spans="3:8" x14ac:dyDescent="0.3">
      <c r="C313" s="4" t="s">
        <v>154</v>
      </c>
      <c r="D313" s="1">
        <v>946.34400000000005</v>
      </c>
      <c r="H313" s="3" t="s">
        <v>2031</v>
      </c>
    </row>
    <row r="314" spans="3:8" x14ac:dyDescent="0.3">
      <c r="C314" s="3" t="s">
        <v>4201</v>
      </c>
      <c r="D314" s="1">
        <v>415.96800000000002</v>
      </c>
      <c r="H314" s="4" t="s">
        <v>25</v>
      </c>
    </row>
    <row r="315" spans="3:8" x14ac:dyDescent="0.3">
      <c r="C315" s="4" t="s">
        <v>427</v>
      </c>
      <c r="D315" s="1">
        <v>415.96800000000002</v>
      </c>
      <c r="H315" s="5" t="s">
        <v>2032</v>
      </c>
    </row>
    <row r="316" spans="3:8" x14ac:dyDescent="0.3">
      <c r="C316" s="3" t="s">
        <v>2432</v>
      </c>
      <c r="D316" s="1">
        <v>36.624000000000002</v>
      </c>
      <c r="H316" s="3" t="s">
        <v>3571</v>
      </c>
    </row>
    <row r="317" spans="3:8" x14ac:dyDescent="0.3">
      <c r="C317" s="4" t="s">
        <v>2433</v>
      </c>
      <c r="D317" s="1">
        <v>36.624000000000002</v>
      </c>
      <c r="H317" s="4" t="s">
        <v>25</v>
      </c>
    </row>
    <row r="318" spans="3:8" x14ac:dyDescent="0.3">
      <c r="C318" s="3" t="s">
        <v>1668</v>
      </c>
      <c r="D318" s="1">
        <v>294.93</v>
      </c>
      <c r="H318" s="5" t="s">
        <v>3572</v>
      </c>
    </row>
    <row r="319" spans="3:8" x14ac:dyDescent="0.3">
      <c r="C319" s="4" t="s">
        <v>1669</v>
      </c>
      <c r="D319" s="1">
        <v>294.93</v>
      </c>
      <c r="H319" s="3" t="s">
        <v>1754</v>
      </c>
    </row>
    <row r="320" spans="3:8" x14ac:dyDescent="0.3">
      <c r="C320" s="3" t="s">
        <v>2942</v>
      </c>
      <c r="D320" s="1">
        <v>21.48</v>
      </c>
      <c r="H320" s="4" t="s">
        <v>25</v>
      </c>
    </row>
    <row r="321" spans="3:8" x14ac:dyDescent="0.3">
      <c r="C321" s="4" t="s">
        <v>1759</v>
      </c>
      <c r="D321" s="1">
        <v>21.48</v>
      </c>
      <c r="H321" s="5" t="s">
        <v>1755</v>
      </c>
    </row>
    <row r="322" spans="3:8" x14ac:dyDescent="0.3">
      <c r="C322" s="3" t="s">
        <v>3994</v>
      </c>
      <c r="D322" s="1">
        <v>21.12</v>
      </c>
      <c r="H322" s="3" t="s">
        <v>913</v>
      </c>
    </row>
    <row r="323" spans="3:8" x14ac:dyDescent="0.3">
      <c r="C323" s="4" t="s">
        <v>3995</v>
      </c>
      <c r="D323" s="1">
        <v>21.12</v>
      </c>
      <c r="H323" s="4" t="s">
        <v>25</v>
      </c>
    </row>
    <row r="324" spans="3:8" x14ac:dyDescent="0.3">
      <c r="C324" s="3" t="s">
        <v>442</v>
      </c>
      <c r="D324" s="1">
        <v>339.96</v>
      </c>
      <c r="H324" s="5" t="s">
        <v>914</v>
      </c>
    </row>
    <row r="325" spans="3:8" x14ac:dyDescent="0.3">
      <c r="C325" s="4" t="s">
        <v>443</v>
      </c>
      <c r="D325" s="1">
        <v>339.96</v>
      </c>
      <c r="H325" s="3" t="s">
        <v>1606</v>
      </c>
    </row>
    <row r="326" spans="3:8" x14ac:dyDescent="0.3">
      <c r="C326" s="3" t="s">
        <v>3891</v>
      </c>
      <c r="D326" s="1">
        <v>40.256</v>
      </c>
      <c r="H326" s="4" t="s">
        <v>25</v>
      </c>
    </row>
    <row r="327" spans="3:8" x14ac:dyDescent="0.3">
      <c r="C327" s="4" t="s">
        <v>3892</v>
      </c>
      <c r="D327" s="1">
        <v>40.256</v>
      </c>
      <c r="H327" s="5" t="s">
        <v>1607</v>
      </c>
    </row>
    <row r="328" spans="3:8" x14ac:dyDescent="0.3">
      <c r="C328" s="3" t="s">
        <v>2997</v>
      </c>
      <c r="D328" s="1">
        <v>29.79</v>
      </c>
      <c r="H328" s="3" t="s">
        <v>709</v>
      </c>
    </row>
    <row r="329" spans="3:8" x14ac:dyDescent="0.3">
      <c r="C329" s="4" t="s">
        <v>2998</v>
      </c>
      <c r="D329" s="1">
        <v>29.79</v>
      </c>
      <c r="H329" s="4" t="s">
        <v>25</v>
      </c>
    </row>
    <row r="330" spans="3:8" x14ac:dyDescent="0.3">
      <c r="C330" s="3" t="s">
        <v>1611</v>
      </c>
      <c r="D330" s="1">
        <v>3.96</v>
      </c>
      <c r="H330" s="5" t="s">
        <v>710</v>
      </c>
    </row>
    <row r="331" spans="3:8" x14ac:dyDescent="0.3">
      <c r="C331" s="4" t="s">
        <v>1191</v>
      </c>
      <c r="D331" s="1">
        <v>3.96</v>
      </c>
      <c r="H331" s="3" t="s">
        <v>4043</v>
      </c>
    </row>
    <row r="332" spans="3:8" x14ac:dyDescent="0.3">
      <c r="C332" s="3" t="s">
        <v>1161</v>
      </c>
      <c r="D332" s="1">
        <v>8.6519999999999992</v>
      </c>
      <c r="H332" s="4" t="s">
        <v>25</v>
      </c>
    </row>
    <row r="333" spans="3:8" x14ac:dyDescent="0.3">
      <c r="C333" s="4" t="s">
        <v>1162</v>
      </c>
      <c r="D333" s="1">
        <v>8.6519999999999992</v>
      </c>
      <c r="H333" s="5" t="s">
        <v>4044</v>
      </c>
    </row>
    <row r="334" spans="3:8" x14ac:dyDescent="0.3">
      <c r="C334" s="3" t="s">
        <v>947</v>
      </c>
      <c r="D334" s="1">
        <v>1038.8399999999999</v>
      </c>
      <c r="H334" s="3" t="s">
        <v>906</v>
      </c>
    </row>
    <row r="335" spans="3:8" x14ac:dyDescent="0.3">
      <c r="C335" s="4" t="s">
        <v>948</v>
      </c>
      <c r="D335" s="1">
        <v>1038.8399999999999</v>
      </c>
      <c r="H335" s="4" t="s">
        <v>25</v>
      </c>
    </row>
    <row r="336" spans="3:8" x14ac:dyDescent="0.3">
      <c r="C336" s="3" t="s">
        <v>1888</v>
      </c>
      <c r="D336" s="1">
        <v>166.24</v>
      </c>
      <c r="H336" s="5" t="s">
        <v>907</v>
      </c>
    </row>
    <row r="337" spans="3:8" x14ac:dyDescent="0.3">
      <c r="C337" s="4" t="s">
        <v>1889</v>
      </c>
      <c r="D337" s="1">
        <v>166.24</v>
      </c>
      <c r="H337" s="3" t="s">
        <v>2495</v>
      </c>
    </row>
    <row r="338" spans="3:8" x14ac:dyDescent="0.3">
      <c r="C338" s="3" t="s">
        <v>2621</v>
      </c>
      <c r="D338" s="1">
        <v>79.959999999999994</v>
      </c>
      <c r="H338" s="4" t="s">
        <v>25</v>
      </c>
    </row>
    <row r="339" spans="3:8" x14ac:dyDescent="0.3">
      <c r="C339" s="4" t="s">
        <v>2622</v>
      </c>
      <c r="D339" s="1">
        <v>79.959999999999994</v>
      </c>
      <c r="H339" s="5" t="s">
        <v>2496</v>
      </c>
    </row>
    <row r="340" spans="3:8" x14ac:dyDescent="0.3">
      <c r="C340" s="3" t="s">
        <v>3847</v>
      </c>
      <c r="D340" s="1">
        <v>12.39</v>
      </c>
      <c r="H340" s="3" t="s">
        <v>1657</v>
      </c>
    </row>
    <row r="341" spans="3:8" x14ac:dyDescent="0.3">
      <c r="C341" s="4" t="s">
        <v>1670</v>
      </c>
      <c r="D341" s="1">
        <v>12.39</v>
      </c>
      <c r="H341" s="4" t="s">
        <v>25</v>
      </c>
    </row>
    <row r="342" spans="3:8" x14ac:dyDescent="0.3">
      <c r="C342" s="3" t="s">
        <v>1654</v>
      </c>
      <c r="D342" s="1">
        <v>51.52</v>
      </c>
      <c r="H342" s="5" t="s">
        <v>1658</v>
      </c>
    </row>
    <row r="343" spans="3:8" x14ac:dyDescent="0.3">
      <c r="C343" s="4" t="s">
        <v>1655</v>
      </c>
      <c r="D343" s="1">
        <v>51.52</v>
      </c>
      <c r="H343" s="3" t="s">
        <v>3437</v>
      </c>
    </row>
    <row r="344" spans="3:8" x14ac:dyDescent="0.3">
      <c r="C344" s="3" t="s">
        <v>4195</v>
      </c>
      <c r="D344" s="1">
        <v>83.7</v>
      </c>
      <c r="H344" s="4" t="s">
        <v>25</v>
      </c>
    </row>
    <row r="345" spans="3:8" x14ac:dyDescent="0.3">
      <c r="C345" s="4" t="s">
        <v>2979</v>
      </c>
      <c r="D345" s="1">
        <v>83.7</v>
      </c>
      <c r="H345" s="5" t="s">
        <v>3438</v>
      </c>
    </row>
    <row r="346" spans="3:8" x14ac:dyDescent="0.3">
      <c r="C346" s="3" t="s">
        <v>1455</v>
      </c>
      <c r="D346" s="1">
        <v>105.42</v>
      </c>
      <c r="H346" s="3" t="s">
        <v>4222</v>
      </c>
    </row>
    <row r="347" spans="3:8" x14ac:dyDescent="0.3">
      <c r="C347" s="4" t="s">
        <v>178</v>
      </c>
      <c r="D347" s="1">
        <v>105.42</v>
      </c>
      <c r="H347" s="4" t="s">
        <v>25</v>
      </c>
    </row>
    <row r="348" spans="3:8" x14ac:dyDescent="0.3">
      <c r="C348" s="3" t="s">
        <v>1552</v>
      </c>
      <c r="D348" s="1">
        <v>152.94</v>
      </c>
      <c r="H348" s="5" t="s">
        <v>4223</v>
      </c>
    </row>
    <row r="349" spans="3:8" x14ac:dyDescent="0.3">
      <c r="C349" s="4" t="s">
        <v>1191</v>
      </c>
      <c r="D349" s="1">
        <v>152.94</v>
      </c>
      <c r="H349" s="3" t="s">
        <v>1813</v>
      </c>
    </row>
    <row r="350" spans="3:8" x14ac:dyDescent="0.3">
      <c r="C350" s="3" t="s">
        <v>264</v>
      </c>
      <c r="D350" s="1">
        <v>13.98</v>
      </c>
      <c r="H350" s="4" t="s">
        <v>25</v>
      </c>
    </row>
    <row r="351" spans="3:8" x14ac:dyDescent="0.3">
      <c r="C351" s="4" t="s">
        <v>265</v>
      </c>
      <c r="D351" s="1">
        <v>13.98</v>
      </c>
      <c r="H351" s="5" t="s">
        <v>1814</v>
      </c>
    </row>
    <row r="352" spans="3:8" x14ac:dyDescent="0.3">
      <c r="C352" s="3" t="s">
        <v>3091</v>
      </c>
      <c r="D352" s="1">
        <v>1718.4</v>
      </c>
      <c r="H352" s="3" t="s">
        <v>4127</v>
      </c>
    </row>
    <row r="353" spans="3:8" x14ac:dyDescent="0.3">
      <c r="C353" s="4" t="s">
        <v>3092</v>
      </c>
      <c r="D353" s="1">
        <v>1718.4</v>
      </c>
      <c r="H353" s="4" t="s">
        <v>25</v>
      </c>
    </row>
    <row r="354" spans="3:8" x14ac:dyDescent="0.3">
      <c r="C354" s="3" t="s">
        <v>3636</v>
      </c>
      <c r="D354" s="1">
        <v>185.58</v>
      </c>
      <c r="H354" s="5" t="s">
        <v>4128</v>
      </c>
    </row>
    <row r="355" spans="3:8" x14ac:dyDescent="0.3">
      <c r="C355" s="4" t="s">
        <v>3637</v>
      </c>
      <c r="D355" s="1">
        <v>185.58</v>
      </c>
      <c r="H355" s="3" t="s">
        <v>4270</v>
      </c>
    </row>
    <row r="356" spans="3:8" x14ac:dyDescent="0.3">
      <c r="C356" s="3" t="s">
        <v>654</v>
      </c>
      <c r="D356" s="1">
        <v>3.28</v>
      </c>
      <c r="H356" s="4" t="s">
        <v>25</v>
      </c>
    </row>
    <row r="357" spans="3:8" x14ac:dyDescent="0.3">
      <c r="C357" s="4" t="s">
        <v>655</v>
      </c>
      <c r="D357" s="1">
        <v>3.28</v>
      </c>
      <c r="H357" s="5" t="s">
        <v>4271</v>
      </c>
    </row>
    <row r="358" spans="3:8" x14ac:dyDescent="0.3">
      <c r="C358" s="3" t="s">
        <v>1071</v>
      </c>
      <c r="D358" s="1">
        <v>4.7519999999999998</v>
      </c>
      <c r="H358" s="3" t="s">
        <v>871</v>
      </c>
    </row>
    <row r="359" spans="3:8" x14ac:dyDescent="0.3">
      <c r="C359" s="4" t="s">
        <v>1072</v>
      </c>
      <c r="D359" s="1">
        <v>4.7519999999999998</v>
      </c>
      <c r="H359" s="4" t="s">
        <v>25</v>
      </c>
    </row>
    <row r="360" spans="3:8" x14ac:dyDescent="0.3">
      <c r="C360" s="3" t="s">
        <v>1758</v>
      </c>
      <c r="D360" s="1">
        <v>301.95999999999998</v>
      </c>
      <c r="H360" s="5" t="s">
        <v>872</v>
      </c>
    </row>
    <row r="361" spans="3:8" x14ac:dyDescent="0.3">
      <c r="C361" s="4" t="s">
        <v>1759</v>
      </c>
      <c r="D361" s="1">
        <v>301.95999999999998</v>
      </c>
      <c r="H361" s="3" t="s">
        <v>4063</v>
      </c>
    </row>
    <row r="362" spans="3:8" x14ac:dyDescent="0.3">
      <c r="C362" s="3" t="s">
        <v>4251</v>
      </c>
      <c r="D362" s="1">
        <v>623.96</v>
      </c>
      <c r="H362" s="4" t="s">
        <v>25</v>
      </c>
    </row>
    <row r="363" spans="3:8" x14ac:dyDescent="0.3">
      <c r="C363" s="4" t="s">
        <v>3630</v>
      </c>
      <c r="D363" s="1">
        <v>623.96</v>
      </c>
      <c r="H363" s="5" t="s">
        <v>4064</v>
      </c>
    </row>
    <row r="364" spans="3:8" x14ac:dyDescent="0.3">
      <c r="C364" s="3" t="s">
        <v>3666</v>
      </c>
      <c r="D364" s="1">
        <v>20.736000000000001</v>
      </c>
      <c r="H364" s="3" t="s">
        <v>1850</v>
      </c>
    </row>
    <row r="365" spans="3:8" x14ac:dyDescent="0.3">
      <c r="C365" s="4" t="s">
        <v>3667</v>
      </c>
      <c r="D365" s="1">
        <v>20.736000000000001</v>
      </c>
      <c r="H365" s="4" t="s">
        <v>25</v>
      </c>
    </row>
    <row r="366" spans="3:8" x14ac:dyDescent="0.3">
      <c r="C366" s="3" t="s">
        <v>2889</v>
      </c>
      <c r="D366" s="1">
        <v>1212.848</v>
      </c>
      <c r="H366" s="5" t="s">
        <v>1851</v>
      </c>
    </row>
    <row r="367" spans="3:8" x14ac:dyDescent="0.3">
      <c r="C367" s="4" t="s">
        <v>2365</v>
      </c>
      <c r="D367" s="1">
        <v>1212.848</v>
      </c>
      <c r="H367" s="3" t="s">
        <v>3031</v>
      </c>
    </row>
    <row r="368" spans="3:8" x14ac:dyDescent="0.3">
      <c r="C368" s="3" t="s">
        <v>3532</v>
      </c>
      <c r="D368" s="1">
        <v>631.96</v>
      </c>
      <c r="H368" s="4" t="s">
        <v>25</v>
      </c>
    </row>
    <row r="369" spans="3:8" x14ac:dyDescent="0.3">
      <c r="C369" s="4" t="s">
        <v>1784</v>
      </c>
      <c r="D369" s="1">
        <v>631.96</v>
      </c>
      <c r="H369" s="5" t="s">
        <v>3032</v>
      </c>
    </row>
    <row r="370" spans="3:8" x14ac:dyDescent="0.3">
      <c r="C370" s="3" t="s">
        <v>1903</v>
      </c>
      <c r="D370" s="1">
        <v>369.91199999999998</v>
      </c>
      <c r="H370" s="3" t="s">
        <v>3063</v>
      </c>
    </row>
    <row r="371" spans="3:8" x14ac:dyDescent="0.3">
      <c r="C371" s="4" t="s">
        <v>1904</v>
      </c>
      <c r="D371" s="1">
        <v>369.91199999999998</v>
      </c>
      <c r="H371" s="4" t="s">
        <v>25</v>
      </c>
    </row>
    <row r="372" spans="3:8" x14ac:dyDescent="0.3">
      <c r="C372" s="3" t="s">
        <v>2544</v>
      </c>
      <c r="D372" s="1">
        <v>4.3600000000000003</v>
      </c>
      <c r="H372" s="5" t="s">
        <v>3064</v>
      </c>
    </row>
    <row r="373" spans="3:8" x14ac:dyDescent="0.3">
      <c r="C373" s="4" t="s">
        <v>1073</v>
      </c>
      <c r="D373" s="1">
        <v>4.3600000000000003</v>
      </c>
      <c r="H373" s="3" t="s">
        <v>2278</v>
      </c>
    </row>
    <row r="374" spans="3:8" x14ac:dyDescent="0.3">
      <c r="C374" s="3" t="s">
        <v>2203</v>
      </c>
      <c r="D374" s="1">
        <v>13.944000000000001</v>
      </c>
      <c r="H374" s="4" t="s">
        <v>25</v>
      </c>
    </row>
    <row r="375" spans="3:8" x14ac:dyDescent="0.3">
      <c r="C375" s="4" t="s">
        <v>2204</v>
      </c>
      <c r="D375" s="1">
        <v>13.944000000000001</v>
      </c>
      <c r="H375" s="5" t="s">
        <v>2279</v>
      </c>
    </row>
    <row r="376" spans="3:8" x14ac:dyDescent="0.3">
      <c r="C376" s="3" t="s">
        <v>979</v>
      </c>
      <c r="D376" s="1">
        <v>26.8</v>
      </c>
      <c r="H376" s="3" t="s">
        <v>22</v>
      </c>
    </row>
    <row r="377" spans="3:8" x14ac:dyDescent="0.3">
      <c r="C377" s="4" t="s">
        <v>980</v>
      </c>
      <c r="D377" s="1">
        <v>26.8</v>
      </c>
      <c r="H377" s="4" t="s">
        <v>25</v>
      </c>
    </row>
    <row r="378" spans="3:8" x14ac:dyDescent="0.3">
      <c r="C378" s="3" t="s">
        <v>2924</v>
      </c>
      <c r="D378" s="1">
        <v>19.920000000000002</v>
      </c>
      <c r="H378" s="5" t="s">
        <v>23</v>
      </c>
    </row>
    <row r="379" spans="3:8" x14ac:dyDescent="0.3">
      <c r="C379" s="4" t="s">
        <v>2925</v>
      </c>
      <c r="D379" s="1">
        <v>19.920000000000002</v>
      </c>
      <c r="H379" s="3" t="s">
        <v>3147</v>
      </c>
    </row>
    <row r="380" spans="3:8" x14ac:dyDescent="0.3">
      <c r="C380" s="3" t="s">
        <v>3472</v>
      </c>
      <c r="D380" s="1">
        <v>7.86</v>
      </c>
      <c r="H380" s="4" t="s">
        <v>25</v>
      </c>
    </row>
    <row r="381" spans="3:8" x14ac:dyDescent="0.3">
      <c r="C381" s="4" t="s">
        <v>2050</v>
      </c>
      <c r="D381" s="1">
        <v>7.86</v>
      </c>
      <c r="H381" s="5" t="s">
        <v>3148</v>
      </c>
    </row>
    <row r="382" spans="3:8" x14ac:dyDescent="0.3">
      <c r="C382" s="3" t="s">
        <v>1469</v>
      </c>
      <c r="D382" s="1">
        <v>2.74</v>
      </c>
      <c r="H382" s="3" t="s">
        <v>1276</v>
      </c>
    </row>
    <row r="383" spans="3:8" x14ac:dyDescent="0.3">
      <c r="C383" s="4" t="s">
        <v>1470</v>
      </c>
      <c r="D383" s="1">
        <v>2.74</v>
      </c>
      <c r="H383" s="4" t="s">
        <v>25</v>
      </c>
    </row>
    <row r="384" spans="3:8" x14ac:dyDescent="0.3">
      <c r="C384" s="3" t="s">
        <v>3366</v>
      </c>
      <c r="D384" s="1">
        <v>24.32</v>
      </c>
      <c r="H384" s="5" t="s">
        <v>1277</v>
      </c>
    </row>
    <row r="385" spans="3:8" x14ac:dyDescent="0.3">
      <c r="C385" s="4" t="s">
        <v>3367</v>
      </c>
      <c r="D385" s="1">
        <v>24.32</v>
      </c>
      <c r="H385" s="3" t="s">
        <v>1707</v>
      </c>
    </row>
    <row r="386" spans="3:8" x14ac:dyDescent="0.3">
      <c r="C386" s="3" t="s">
        <v>780</v>
      </c>
      <c r="D386" s="1">
        <v>23.68</v>
      </c>
      <c r="H386" s="4" t="s">
        <v>25</v>
      </c>
    </row>
    <row r="387" spans="3:8" x14ac:dyDescent="0.3">
      <c r="C387" s="4" t="s">
        <v>781</v>
      </c>
      <c r="D387" s="1">
        <v>23.68</v>
      </c>
      <c r="H387" s="5" t="s">
        <v>1708</v>
      </c>
    </row>
    <row r="388" spans="3:8" x14ac:dyDescent="0.3">
      <c r="C388" s="3" t="s">
        <v>2349</v>
      </c>
      <c r="D388" s="1">
        <v>1.1120000000000001</v>
      </c>
      <c r="H388" s="3" t="s">
        <v>1741</v>
      </c>
    </row>
    <row r="389" spans="3:8" x14ac:dyDescent="0.3">
      <c r="C389" s="4" t="s">
        <v>2350</v>
      </c>
      <c r="D389" s="1">
        <v>1.1120000000000001</v>
      </c>
      <c r="H389" s="4" t="s">
        <v>25</v>
      </c>
    </row>
    <row r="390" spans="3:8" x14ac:dyDescent="0.3">
      <c r="C390" s="3" t="s">
        <v>2282</v>
      </c>
      <c r="D390" s="1">
        <v>12.96</v>
      </c>
      <c r="H390" s="5" t="s">
        <v>1742</v>
      </c>
    </row>
    <row r="391" spans="3:8" x14ac:dyDescent="0.3">
      <c r="C391" s="4" t="s">
        <v>2283</v>
      </c>
      <c r="D391" s="1">
        <v>12.96</v>
      </c>
      <c r="H391" s="3" t="s">
        <v>2143</v>
      </c>
    </row>
    <row r="392" spans="3:8" x14ac:dyDescent="0.3">
      <c r="C392" s="3" t="s">
        <v>3629</v>
      </c>
      <c r="D392" s="1">
        <v>12.96</v>
      </c>
      <c r="H392" s="4" t="s">
        <v>25</v>
      </c>
    </row>
    <row r="393" spans="3:8" x14ac:dyDescent="0.3">
      <c r="C393" s="4" t="s">
        <v>3630</v>
      </c>
      <c r="D393" s="1">
        <v>12.96</v>
      </c>
      <c r="H393" s="5" t="s">
        <v>2144</v>
      </c>
    </row>
    <row r="394" spans="3:8" x14ac:dyDescent="0.3">
      <c r="C394" s="3" t="s">
        <v>372</v>
      </c>
      <c r="D394" s="1">
        <v>12.96</v>
      </c>
      <c r="H394" s="3" t="s">
        <v>460</v>
      </c>
    </row>
    <row r="395" spans="3:8" x14ac:dyDescent="0.3">
      <c r="C395" s="4" t="s">
        <v>373</v>
      </c>
      <c r="D395" s="1">
        <v>12.96</v>
      </c>
      <c r="H395" s="4" t="s">
        <v>25</v>
      </c>
    </row>
    <row r="396" spans="3:8" x14ac:dyDescent="0.3">
      <c r="C396" s="3" t="s">
        <v>1640</v>
      </c>
      <c r="D396" s="1">
        <v>19.920000000000002</v>
      </c>
      <c r="H396" s="5" t="s">
        <v>461</v>
      </c>
    </row>
    <row r="397" spans="3:8" x14ac:dyDescent="0.3">
      <c r="C397" s="4" t="s">
        <v>1641</v>
      </c>
      <c r="D397" s="1">
        <v>19.920000000000002</v>
      </c>
      <c r="H397" s="3" t="s">
        <v>3779</v>
      </c>
    </row>
    <row r="398" spans="3:8" x14ac:dyDescent="0.3">
      <c r="C398" s="3" t="s">
        <v>335</v>
      </c>
      <c r="D398" s="1">
        <v>200.98400000000001</v>
      </c>
      <c r="H398" s="4" t="s">
        <v>25</v>
      </c>
    </row>
    <row r="399" spans="3:8" x14ac:dyDescent="0.3">
      <c r="C399" s="4" t="s">
        <v>336</v>
      </c>
      <c r="D399" s="1">
        <v>200.98400000000001</v>
      </c>
      <c r="H399" s="5" t="s">
        <v>3780</v>
      </c>
    </row>
    <row r="400" spans="3:8" x14ac:dyDescent="0.3">
      <c r="C400" s="3" t="s">
        <v>2906</v>
      </c>
      <c r="D400" s="1">
        <v>1004.976</v>
      </c>
      <c r="H400" s="3" t="s">
        <v>3528</v>
      </c>
    </row>
    <row r="401" spans="3:8" x14ac:dyDescent="0.3">
      <c r="C401" s="4" t="s">
        <v>2907</v>
      </c>
      <c r="D401" s="1">
        <v>1004.976</v>
      </c>
      <c r="H401" s="4" t="s">
        <v>25</v>
      </c>
    </row>
    <row r="402" spans="3:8" x14ac:dyDescent="0.3">
      <c r="C402" s="3" t="s">
        <v>3805</v>
      </c>
      <c r="D402" s="1">
        <v>5.16</v>
      </c>
      <c r="H402" s="5" t="s">
        <v>3529</v>
      </c>
    </row>
    <row r="403" spans="3:8" x14ac:dyDescent="0.3">
      <c r="C403" s="4" t="s">
        <v>1670</v>
      </c>
      <c r="D403" s="1">
        <v>5.16</v>
      </c>
      <c r="H403" s="3" t="s">
        <v>2762</v>
      </c>
    </row>
    <row r="404" spans="3:8" x14ac:dyDescent="0.3">
      <c r="C404" s="3" t="s">
        <v>3976</v>
      </c>
      <c r="D404" s="1">
        <v>160.97999999999999</v>
      </c>
      <c r="H404" s="4" t="s">
        <v>25</v>
      </c>
    </row>
    <row r="405" spans="3:8" x14ac:dyDescent="0.3">
      <c r="C405" s="4" t="s">
        <v>3977</v>
      </c>
      <c r="D405" s="1">
        <v>160.97999999999999</v>
      </c>
      <c r="H405" s="5" t="s">
        <v>2763</v>
      </c>
    </row>
    <row r="406" spans="3:8" x14ac:dyDescent="0.3">
      <c r="C406" s="3" t="s">
        <v>1383</v>
      </c>
      <c r="D406" s="1">
        <v>55.48</v>
      </c>
      <c r="H406" s="3" t="s">
        <v>3275</v>
      </c>
    </row>
    <row r="407" spans="3:8" x14ac:dyDescent="0.3">
      <c r="C407" s="4" t="s">
        <v>1384</v>
      </c>
      <c r="D407" s="1">
        <v>55.48</v>
      </c>
      <c r="H407" s="4" t="s">
        <v>25</v>
      </c>
    </row>
    <row r="408" spans="3:8" x14ac:dyDescent="0.3">
      <c r="C408" s="3" t="s">
        <v>3113</v>
      </c>
      <c r="D408" s="1">
        <v>139.94999999999999</v>
      </c>
      <c r="H408" s="5" t="s">
        <v>3276</v>
      </c>
    </row>
    <row r="409" spans="3:8" x14ac:dyDescent="0.3">
      <c r="C409" s="4" t="s">
        <v>3114</v>
      </c>
      <c r="D409" s="1">
        <v>139.94999999999999</v>
      </c>
      <c r="H409" s="3" t="s">
        <v>4209</v>
      </c>
    </row>
    <row r="410" spans="3:8" x14ac:dyDescent="0.3">
      <c r="C410" s="3" t="s">
        <v>2049</v>
      </c>
      <c r="D410" s="1">
        <v>348.928</v>
      </c>
      <c r="H410" s="4" t="s">
        <v>25</v>
      </c>
    </row>
    <row r="411" spans="3:8" x14ac:dyDescent="0.3">
      <c r="C411" s="4" t="s">
        <v>2050</v>
      </c>
      <c r="D411" s="1">
        <v>348.928</v>
      </c>
      <c r="H411" s="5" t="s">
        <v>4210</v>
      </c>
    </row>
    <row r="412" spans="3:8" x14ac:dyDescent="0.3">
      <c r="C412" s="3" t="s">
        <v>896</v>
      </c>
      <c r="D412" s="1">
        <v>79.900000000000006</v>
      </c>
      <c r="H412" s="3" t="s">
        <v>1472</v>
      </c>
    </row>
    <row r="413" spans="3:8" x14ac:dyDescent="0.3">
      <c r="C413" s="4" t="s">
        <v>897</v>
      </c>
      <c r="D413" s="1">
        <v>79.900000000000006</v>
      </c>
      <c r="H413" s="4" t="s">
        <v>25</v>
      </c>
    </row>
    <row r="414" spans="3:8" x14ac:dyDescent="0.3">
      <c r="C414" s="3" t="s">
        <v>4110</v>
      </c>
      <c r="D414" s="1">
        <v>16.776</v>
      </c>
      <c r="H414" s="5" t="s">
        <v>1473</v>
      </c>
    </row>
    <row r="415" spans="3:8" x14ac:dyDescent="0.3">
      <c r="C415" s="4" t="s">
        <v>4111</v>
      </c>
      <c r="D415" s="1">
        <v>16.776</v>
      </c>
      <c r="H415" s="3" t="s">
        <v>2161</v>
      </c>
    </row>
    <row r="416" spans="3:8" x14ac:dyDescent="0.3">
      <c r="C416" s="3" t="s">
        <v>925</v>
      </c>
      <c r="D416" s="1">
        <v>209.93</v>
      </c>
      <c r="H416" s="4" t="s">
        <v>25</v>
      </c>
    </row>
    <row r="417" spans="3:8" x14ac:dyDescent="0.3">
      <c r="C417" s="4" t="s">
        <v>926</v>
      </c>
      <c r="D417" s="1">
        <v>209.93</v>
      </c>
      <c r="H417" s="5" t="s">
        <v>2162</v>
      </c>
    </row>
    <row r="418" spans="3:8" x14ac:dyDescent="0.3">
      <c r="C418" s="3" t="s">
        <v>3279</v>
      </c>
      <c r="D418" s="1">
        <v>46.344000000000001</v>
      </c>
      <c r="H418" s="3" t="s">
        <v>2890</v>
      </c>
    </row>
    <row r="419" spans="3:8" x14ac:dyDescent="0.3">
      <c r="C419" s="4" t="s">
        <v>1553</v>
      </c>
      <c r="D419" s="1">
        <v>46.344000000000001</v>
      </c>
      <c r="H419" s="4" t="s">
        <v>25</v>
      </c>
    </row>
    <row r="420" spans="3:8" x14ac:dyDescent="0.3">
      <c r="C420" s="3" t="s">
        <v>3317</v>
      </c>
      <c r="D420" s="1">
        <v>14.76</v>
      </c>
      <c r="H420" s="5" t="s">
        <v>2891</v>
      </c>
    </row>
    <row r="421" spans="3:8" x14ac:dyDescent="0.3">
      <c r="C421" s="4" t="s">
        <v>179</v>
      </c>
      <c r="D421" s="1">
        <v>14.76</v>
      </c>
      <c r="H421" s="3" t="s">
        <v>3612</v>
      </c>
    </row>
    <row r="422" spans="3:8" x14ac:dyDescent="0.3">
      <c r="C422" s="3" t="s">
        <v>1490</v>
      </c>
      <c r="D422" s="1">
        <v>129.56800000000001</v>
      </c>
      <c r="H422" s="4" t="s">
        <v>25</v>
      </c>
    </row>
    <row r="423" spans="3:8" x14ac:dyDescent="0.3">
      <c r="C423" s="4" t="s">
        <v>1471</v>
      </c>
      <c r="D423" s="1">
        <v>129.56800000000001</v>
      </c>
      <c r="H423" s="5" t="s">
        <v>3613</v>
      </c>
    </row>
    <row r="424" spans="3:8" x14ac:dyDescent="0.3">
      <c r="C424" s="3" t="s">
        <v>1496</v>
      </c>
      <c r="D424" s="1">
        <v>22.2</v>
      </c>
      <c r="H424" s="3" t="s">
        <v>2879</v>
      </c>
    </row>
    <row r="425" spans="3:8" x14ac:dyDescent="0.3">
      <c r="C425" s="4" t="s">
        <v>1497</v>
      </c>
      <c r="D425" s="1">
        <v>22.2</v>
      </c>
      <c r="H425" s="4" t="s">
        <v>25</v>
      </c>
    </row>
    <row r="426" spans="3:8" x14ac:dyDescent="0.3">
      <c r="C426" s="3" t="s">
        <v>2315</v>
      </c>
      <c r="D426" s="1">
        <v>6.24</v>
      </c>
      <c r="H426" s="5" t="s">
        <v>2880</v>
      </c>
    </row>
    <row r="427" spans="3:8" x14ac:dyDescent="0.3">
      <c r="C427" s="4" t="s">
        <v>1182</v>
      </c>
      <c r="D427" s="1">
        <v>6.24</v>
      </c>
      <c r="H427" s="3" t="s">
        <v>987</v>
      </c>
    </row>
    <row r="428" spans="3:8" x14ac:dyDescent="0.3">
      <c r="C428" s="3" t="s">
        <v>2475</v>
      </c>
      <c r="D428" s="1">
        <v>10.416</v>
      </c>
      <c r="H428" s="4" t="s">
        <v>25</v>
      </c>
    </row>
    <row r="429" spans="3:8" x14ac:dyDescent="0.3">
      <c r="C429" s="4" t="s">
        <v>2476</v>
      </c>
      <c r="D429" s="1">
        <v>10.416</v>
      </c>
      <c r="H429" s="5" t="s">
        <v>988</v>
      </c>
    </row>
    <row r="430" spans="3:8" x14ac:dyDescent="0.3">
      <c r="C430" s="3" t="s">
        <v>2363</v>
      </c>
      <c r="D430" s="1">
        <v>10.67</v>
      </c>
      <c r="H430" s="3" t="s">
        <v>1827</v>
      </c>
    </row>
    <row r="431" spans="3:8" x14ac:dyDescent="0.3">
      <c r="C431" s="4" t="s">
        <v>2364</v>
      </c>
      <c r="D431" s="1">
        <v>10.67</v>
      </c>
      <c r="H431" s="4" t="s">
        <v>25</v>
      </c>
    </row>
    <row r="432" spans="3:8" x14ac:dyDescent="0.3">
      <c r="C432" s="3" t="s">
        <v>802</v>
      </c>
      <c r="D432" s="1">
        <v>2.2000000000000002</v>
      </c>
      <c r="H432" s="5" t="s">
        <v>1828</v>
      </c>
    </row>
    <row r="433" spans="3:8" x14ac:dyDescent="0.3">
      <c r="C433" s="4" t="s">
        <v>803</v>
      </c>
      <c r="D433" s="1">
        <v>2.2000000000000002</v>
      </c>
      <c r="H433" s="3" t="s">
        <v>4277</v>
      </c>
    </row>
    <row r="434" spans="3:8" x14ac:dyDescent="0.3">
      <c r="C434" s="3" t="s">
        <v>2520</v>
      </c>
      <c r="D434" s="1">
        <v>28.9</v>
      </c>
      <c r="H434" s="4" t="s">
        <v>25</v>
      </c>
    </row>
    <row r="435" spans="3:8" x14ac:dyDescent="0.3">
      <c r="C435" s="4" t="s">
        <v>178</v>
      </c>
      <c r="D435" s="1">
        <v>28.9</v>
      </c>
      <c r="H435" s="5" t="s">
        <v>4278</v>
      </c>
    </row>
    <row r="436" spans="3:8" x14ac:dyDescent="0.3">
      <c r="C436" s="3" t="s">
        <v>3957</v>
      </c>
      <c r="D436" s="1">
        <v>97.88</v>
      </c>
      <c r="H436" s="3" t="s">
        <v>3741</v>
      </c>
    </row>
    <row r="437" spans="3:8" x14ac:dyDescent="0.3">
      <c r="C437" s="4" t="s">
        <v>3958</v>
      </c>
      <c r="D437" s="1">
        <v>97.88</v>
      </c>
      <c r="H437" s="4" t="s">
        <v>25</v>
      </c>
    </row>
    <row r="438" spans="3:8" x14ac:dyDescent="0.3">
      <c r="C438" s="3" t="s">
        <v>3898</v>
      </c>
      <c r="D438" s="1">
        <v>352.45</v>
      </c>
      <c r="H438" s="5" t="s">
        <v>3742</v>
      </c>
    </row>
    <row r="439" spans="3:8" x14ac:dyDescent="0.3">
      <c r="C439" s="4" t="s">
        <v>482</v>
      </c>
      <c r="D439" s="1">
        <v>352.45</v>
      </c>
      <c r="H439" s="3" t="s">
        <v>1650</v>
      </c>
    </row>
    <row r="440" spans="3:8" x14ac:dyDescent="0.3">
      <c r="C440" s="3" t="s">
        <v>1782</v>
      </c>
      <c r="D440" s="1">
        <v>392.94</v>
      </c>
      <c r="H440" s="4" t="s">
        <v>25</v>
      </c>
    </row>
    <row r="441" spans="3:8" x14ac:dyDescent="0.3">
      <c r="C441" s="4" t="s">
        <v>1783</v>
      </c>
      <c r="D441" s="1">
        <v>392.94</v>
      </c>
      <c r="H441" s="5" t="s">
        <v>1651</v>
      </c>
    </row>
    <row r="442" spans="3:8" x14ac:dyDescent="0.3">
      <c r="C442" s="3" t="s">
        <v>795</v>
      </c>
      <c r="D442" s="1">
        <v>5.5839999999999996</v>
      </c>
      <c r="H442" s="3" t="s">
        <v>636</v>
      </c>
    </row>
    <row r="443" spans="3:8" x14ac:dyDescent="0.3">
      <c r="C443" s="4" t="s">
        <v>796</v>
      </c>
      <c r="D443" s="1">
        <v>5.5839999999999996</v>
      </c>
      <c r="H443" s="4" t="s">
        <v>25</v>
      </c>
    </row>
    <row r="444" spans="3:8" x14ac:dyDescent="0.3">
      <c r="C444" s="3" t="s">
        <v>1395</v>
      </c>
      <c r="D444" s="1">
        <v>14.7</v>
      </c>
      <c r="H444" s="5" t="s">
        <v>637</v>
      </c>
    </row>
    <row r="445" spans="3:8" x14ac:dyDescent="0.3">
      <c r="C445" s="4" t="s">
        <v>1396</v>
      </c>
      <c r="D445" s="1">
        <v>14.7</v>
      </c>
      <c r="H445" s="3" t="s">
        <v>3935</v>
      </c>
    </row>
    <row r="446" spans="3:8" x14ac:dyDescent="0.3">
      <c r="C446" s="3" t="s">
        <v>194</v>
      </c>
      <c r="D446" s="1">
        <v>77.88</v>
      </c>
      <c r="H446" s="4" t="s">
        <v>25</v>
      </c>
    </row>
    <row r="447" spans="3:8" x14ac:dyDescent="0.3">
      <c r="C447" s="4" t="s">
        <v>195</v>
      </c>
      <c r="D447" s="1">
        <v>77.88</v>
      </c>
      <c r="H447" s="5" t="s">
        <v>3936</v>
      </c>
    </row>
    <row r="448" spans="3:8" x14ac:dyDescent="0.3">
      <c r="C448" s="3" t="s">
        <v>4207</v>
      </c>
      <c r="D448" s="1">
        <v>109.92</v>
      </c>
      <c r="H448" s="3" t="s">
        <v>2017</v>
      </c>
    </row>
    <row r="449" spans="3:8" x14ac:dyDescent="0.3">
      <c r="C449" s="4" t="s">
        <v>1727</v>
      </c>
      <c r="D449" s="1">
        <v>109.92</v>
      </c>
      <c r="H449" s="4" t="s">
        <v>25</v>
      </c>
    </row>
    <row r="450" spans="3:8" x14ac:dyDescent="0.3">
      <c r="C450" s="3" t="s">
        <v>2445</v>
      </c>
      <c r="D450" s="1">
        <v>31.86</v>
      </c>
      <c r="H450" s="5" t="s">
        <v>2018</v>
      </c>
    </row>
    <row r="451" spans="3:8" x14ac:dyDescent="0.3">
      <c r="C451" s="4" t="s">
        <v>404</v>
      </c>
      <c r="D451" s="1">
        <v>31.86</v>
      </c>
      <c r="H451" s="3" t="s">
        <v>2545</v>
      </c>
    </row>
    <row r="452" spans="3:8" x14ac:dyDescent="0.3">
      <c r="C452" s="3" t="s">
        <v>489</v>
      </c>
      <c r="D452" s="1">
        <v>47.04</v>
      </c>
      <c r="H452" s="4" t="s">
        <v>25</v>
      </c>
    </row>
    <row r="453" spans="3:8" x14ac:dyDescent="0.3">
      <c r="C453" s="4" t="s">
        <v>34</v>
      </c>
      <c r="D453" s="1">
        <v>47.04</v>
      </c>
      <c r="H453" s="5" t="s">
        <v>2546</v>
      </c>
    </row>
    <row r="454" spans="3:8" x14ac:dyDescent="0.3">
      <c r="C454" s="3" t="s">
        <v>4214</v>
      </c>
      <c r="D454" s="1">
        <v>167.28</v>
      </c>
      <c r="H454" s="3" t="s">
        <v>346</v>
      </c>
    </row>
    <row r="455" spans="3:8" x14ac:dyDescent="0.3">
      <c r="C455" s="4" t="s">
        <v>4215</v>
      </c>
      <c r="D455" s="1">
        <v>167.28</v>
      </c>
      <c r="H455" s="4" t="s">
        <v>25</v>
      </c>
    </row>
    <row r="456" spans="3:8" x14ac:dyDescent="0.3">
      <c r="C456" s="3" t="s">
        <v>676</v>
      </c>
      <c r="D456" s="1">
        <v>7.16</v>
      </c>
      <c r="H456" s="5" t="s">
        <v>347</v>
      </c>
    </row>
    <row r="457" spans="3:8" x14ac:dyDescent="0.3">
      <c r="C457" s="4" t="s">
        <v>677</v>
      </c>
      <c r="D457" s="1">
        <v>7.16</v>
      </c>
      <c r="H457" s="3" t="s">
        <v>2713</v>
      </c>
    </row>
    <row r="458" spans="3:8" x14ac:dyDescent="0.3">
      <c r="C458" s="3" t="s">
        <v>2057</v>
      </c>
      <c r="D458" s="1">
        <v>1363.96</v>
      </c>
      <c r="H458" s="4" t="s">
        <v>25</v>
      </c>
    </row>
    <row r="459" spans="3:8" x14ac:dyDescent="0.3">
      <c r="C459" s="4" t="s">
        <v>2058</v>
      </c>
      <c r="D459" s="1">
        <v>1363.96</v>
      </c>
      <c r="H459" s="5" t="s">
        <v>2714</v>
      </c>
    </row>
    <row r="460" spans="3:8" x14ac:dyDescent="0.3">
      <c r="C460" s="3" t="s">
        <v>2470</v>
      </c>
      <c r="D460" s="1">
        <v>4.4160000000000004</v>
      </c>
      <c r="H460" s="3" t="s">
        <v>2914</v>
      </c>
    </row>
    <row r="461" spans="3:8" x14ac:dyDescent="0.3">
      <c r="C461" s="4" t="s">
        <v>591</v>
      </c>
      <c r="D461" s="1">
        <v>4.4160000000000004</v>
      </c>
      <c r="H461" s="4" t="s">
        <v>25</v>
      </c>
    </row>
    <row r="462" spans="3:8" x14ac:dyDescent="0.3">
      <c r="C462" s="3" t="s">
        <v>2220</v>
      </c>
      <c r="D462" s="1">
        <v>70.007999999999996</v>
      </c>
      <c r="H462" s="5" t="s">
        <v>2915</v>
      </c>
    </row>
    <row r="463" spans="3:8" x14ac:dyDescent="0.3">
      <c r="C463" s="4" t="s">
        <v>459</v>
      </c>
      <c r="D463" s="1">
        <v>70.007999999999996</v>
      </c>
      <c r="H463" s="3" t="s">
        <v>3368</v>
      </c>
    </row>
    <row r="464" spans="3:8" x14ac:dyDescent="0.3">
      <c r="C464" s="3" t="s">
        <v>2290</v>
      </c>
      <c r="D464" s="1">
        <v>17.12</v>
      </c>
      <c r="H464" s="4" t="s">
        <v>25</v>
      </c>
    </row>
    <row r="465" spans="3:8" x14ac:dyDescent="0.3">
      <c r="C465" s="4" t="s">
        <v>2291</v>
      </c>
      <c r="D465" s="1">
        <v>17.12</v>
      </c>
      <c r="H465" s="5" t="s">
        <v>3369</v>
      </c>
    </row>
    <row r="466" spans="3:8" x14ac:dyDescent="0.3">
      <c r="C466" s="3" t="s">
        <v>246</v>
      </c>
      <c r="D466" s="1">
        <v>15.26</v>
      </c>
      <c r="H466" s="3" t="s">
        <v>3468</v>
      </c>
    </row>
    <row r="467" spans="3:8" x14ac:dyDescent="0.3">
      <c r="C467" s="4" t="s">
        <v>247</v>
      </c>
      <c r="D467" s="1">
        <v>15.26</v>
      </c>
      <c r="H467" s="4" t="s">
        <v>25</v>
      </c>
    </row>
    <row r="468" spans="3:8" x14ac:dyDescent="0.3">
      <c r="C468" s="3" t="s">
        <v>297</v>
      </c>
      <c r="D468" s="1">
        <v>4.6159999999999997</v>
      </c>
      <c r="H468" s="5" t="s">
        <v>3469</v>
      </c>
    </row>
    <row r="469" spans="3:8" x14ac:dyDescent="0.3">
      <c r="C469" s="4" t="s">
        <v>298</v>
      </c>
      <c r="D469" s="1">
        <v>4.6159999999999997</v>
      </c>
      <c r="H469" s="3" t="s">
        <v>453</v>
      </c>
    </row>
    <row r="470" spans="3:8" x14ac:dyDescent="0.3">
      <c r="C470" s="3" t="s">
        <v>3346</v>
      </c>
      <c r="D470" s="1">
        <v>72.293999999999997</v>
      </c>
      <c r="H470" s="4" t="s">
        <v>25</v>
      </c>
    </row>
    <row r="471" spans="3:8" x14ac:dyDescent="0.3">
      <c r="C471" s="4" t="s">
        <v>3347</v>
      </c>
      <c r="D471" s="1">
        <v>72.293999999999997</v>
      </c>
      <c r="H471" s="5" t="s">
        <v>454</v>
      </c>
    </row>
    <row r="472" spans="3:8" x14ac:dyDescent="0.3">
      <c r="C472" s="3" t="s">
        <v>2533</v>
      </c>
      <c r="D472" s="1">
        <v>7.04</v>
      </c>
      <c r="H472" s="3" t="s">
        <v>1431</v>
      </c>
    </row>
    <row r="473" spans="3:8" x14ac:dyDescent="0.3">
      <c r="C473" s="4" t="s">
        <v>1338</v>
      </c>
      <c r="D473" s="1">
        <v>7.04</v>
      </c>
      <c r="H473" s="4" t="s">
        <v>25</v>
      </c>
    </row>
    <row r="474" spans="3:8" x14ac:dyDescent="0.3">
      <c r="C474" s="3" t="s">
        <v>1239</v>
      </c>
      <c r="D474" s="1">
        <v>35.951999999999998</v>
      </c>
      <c r="H474" s="5" t="s">
        <v>1432</v>
      </c>
    </row>
    <row r="475" spans="3:8" x14ac:dyDescent="0.3">
      <c r="C475" s="4" t="s">
        <v>1240</v>
      </c>
      <c r="D475" s="1">
        <v>35.951999999999998</v>
      </c>
      <c r="H475" s="3" t="s">
        <v>2510</v>
      </c>
    </row>
    <row r="476" spans="3:8" x14ac:dyDescent="0.3">
      <c r="C476" s="3" t="s">
        <v>2937</v>
      </c>
      <c r="D476" s="1">
        <v>9.3439999999999994</v>
      </c>
      <c r="H476" s="4" t="s">
        <v>25</v>
      </c>
    </row>
    <row r="477" spans="3:8" x14ac:dyDescent="0.3">
      <c r="C477" s="4" t="s">
        <v>1442</v>
      </c>
      <c r="D477" s="1">
        <v>9.3439999999999994</v>
      </c>
      <c r="H477" s="5" t="s">
        <v>2511</v>
      </c>
    </row>
    <row r="478" spans="3:8" x14ac:dyDescent="0.3">
      <c r="C478" s="3" t="s">
        <v>3145</v>
      </c>
      <c r="D478" s="1">
        <v>1127.9760000000001</v>
      </c>
      <c r="H478" s="3" t="s">
        <v>3174</v>
      </c>
    </row>
    <row r="479" spans="3:8" x14ac:dyDescent="0.3">
      <c r="C479" s="4" t="s">
        <v>3146</v>
      </c>
      <c r="D479" s="1">
        <v>1127.9760000000001</v>
      </c>
      <c r="H479" s="4" t="s">
        <v>25</v>
      </c>
    </row>
    <row r="480" spans="3:8" x14ac:dyDescent="0.3">
      <c r="C480" s="3" t="s">
        <v>365</v>
      </c>
      <c r="D480" s="1">
        <v>20.100000000000001</v>
      </c>
      <c r="H480" s="5" t="s">
        <v>3175</v>
      </c>
    </row>
    <row r="481" spans="3:8" x14ac:dyDescent="0.3">
      <c r="C481" s="4" t="s">
        <v>366</v>
      </c>
      <c r="D481" s="1">
        <v>20.100000000000001</v>
      </c>
      <c r="H481" s="3" t="s">
        <v>3706</v>
      </c>
    </row>
    <row r="482" spans="3:8" x14ac:dyDescent="0.3">
      <c r="C482" s="3" t="s">
        <v>2419</v>
      </c>
      <c r="D482" s="1">
        <v>15.696</v>
      </c>
      <c r="H482" s="4" t="s">
        <v>25</v>
      </c>
    </row>
    <row r="483" spans="3:8" x14ac:dyDescent="0.3">
      <c r="C483" s="4" t="s">
        <v>590</v>
      </c>
      <c r="D483" s="1">
        <v>15.696</v>
      </c>
      <c r="H483" s="5" t="s">
        <v>3707</v>
      </c>
    </row>
    <row r="484" spans="3:8" x14ac:dyDescent="0.3">
      <c r="C484" s="3" t="s">
        <v>1377</v>
      </c>
      <c r="D484" s="1">
        <v>1272.6300000000001</v>
      </c>
      <c r="H484" s="3" t="s">
        <v>1325</v>
      </c>
    </row>
    <row r="485" spans="3:8" x14ac:dyDescent="0.3">
      <c r="C485" s="4" t="s">
        <v>1378</v>
      </c>
      <c r="D485" s="1">
        <v>1272.6300000000001</v>
      </c>
      <c r="H485" s="4" t="s">
        <v>25</v>
      </c>
    </row>
    <row r="486" spans="3:8" x14ac:dyDescent="0.3">
      <c r="C486" s="3" t="s">
        <v>3097</v>
      </c>
      <c r="D486" s="1">
        <v>109.8</v>
      </c>
      <c r="H486" s="5" t="s">
        <v>1326</v>
      </c>
    </row>
    <row r="487" spans="3:8" x14ac:dyDescent="0.3">
      <c r="C487" s="4" t="s">
        <v>3098</v>
      </c>
      <c r="D487" s="1">
        <v>109.8</v>
      </c>
      <c r="H487" s="3" t="s">
        <v>826</v>
      </c>
    </row>
    <row r="488" spans="3:8" x14ac:dyDescent="0.3">
      <c r="C488" s="3" t="s">
        <v>2008</v>
      </c>
      <c r="D488" s="1">
        <v>1199.9760000000001</v>
      </c>
      <c r="H488" s="4" t="s">
        <v>25</v>
      </c>
    </row>
    <row r="489" spans="3:8" x14ac:dyDescent="0.3">
      <c r="C489" s="4" t="s">
        <v>2009</v>
      </c>
      <c r="D489" s="1">
        <v>1199.9760000000001</v>
      </c>
      <c r="H489" s="5" t="s">
        <v>827</v>
      </c>
    </row>
    <row r="490" spans="3:8" x14ac:dyDescent="0.3">
      <c r="C490" s="3" t="s">
        <v>962</v>
      </c>
      <c r="D490" s="1">
        <v>19.096</v>
      </c>
      <c r="H490" s="3" t="s">
        <v>1492</v>
      </c>
    </row>
    <row r="491" spans="3:8" x14ac:dyDescent="0.3">
      <c r="C491" s="4" t="s">
        <v>590</v>
      </c>
      <c r="D491" s="1">
        <v>19.096</v>
      </c>
      <c r="H491" s="4" t="s">
        <v>25</v>
      </c>
    </row>
    <row r="492" spans="3:8" x14ac:dyDescent="0.3">
      <c r="C492" s="3" t="s">
        <v>256</v>
      </c>
      <c r="D492" s="1">
        <v>208.56</v>
      </c>
      <c r="H492" s="5" t="s">
        <v>1493</v>
      </c>
    </row>
    <row r="493" spans="3:8" x14ac:dyDescent="0.3">
      <c r="C493" s="4" t="s">
        <v>257</v>
      </c>
      <c r="D493" s="1">
        <v>208.56</v>
      </c>
      <c r="H493" s="3" t="s">
        <v>3296</v>
      </c>
    </row>
    <row r="494" spans="3:8" x14ac:dyDescent="0.3">
      <c r="C494" s="3" t="s">
        <v>3246</v>
      </c>
      <c r="D494" s="1">
        <v>19.968</v>
      </c>
      <c r="H494" s="4" t="s">
        <v>25</v>
      </c>
    </row>
    <row r="495" spans="3:8" x14ac:dyDescent="0.3">
      <c r="C495" s="4" t="s">
        <v>3233</v>
      </c>
      <c r="D495" s="1">
        <v>19.968</v>
      </c>
      <c r="H495" s="5" t="s">
        <v>3297</v>
      </c>
    </row>
    <row r="496" spans="3:8" x14ac:dyDescent="0.3">
      <c r="C496" s="3" t="s">
        <v>2538</v>
      </c>
      <c r="D496" s="1">
        <v>22.92</v>
      </c>
      <c r="H496" s="3" t="s">
        <v>3521</v>
      </c>
    </row>
    <row r="497" spans="3:8" x14ac:dyDescent="0.3">
      <c r="C497" s="4" t="s">
        <v>1123</v>
      </c>
      <c r="D497" s="1">
        <v>22.92</v>
      </c>
      <c r="H497" s="4" t="s">
        <v>25</v>
      </c>
    </row>
    <row r="498" spans="3:8" x14ac:dyDescent="0.3">
      <c r="C498" s="3" t="s">
        <v>2930</v>
      </c>
      <c r="D498" s="1">
        <v>40.74</v>
      </c>
      <c r="H498" s="5" t="s">
        <v>3522</v>
      </c>
    </row>
    <row r="499" spans="3:8" x14ac:dyDescent="0.3">
      <c r="C499" s="4" t="s">
        <v>1168</v>
      </c>
      <c r="D499" s="1">
        <v>40.74</v>
      </c>
      <c r="H499" s="3" t="s">
        <v>3342</v>
      </c>
    </row>
    <row r="500" spans="3:8" x14ac:dyDescent="0.3">
      <c r="C500" s="3" t="s">
        <v>3409</v>
      </c>
      <c r="D500" s="1">
        <v>14.352</v>
      </c>
      <c r="H500" s="4" t="s">
        <v>25</v>
      </c>
    </row>
    <row r="501" spans="3:8" x14ac:dyDescent="0.3">
      <c r="C501" s="4" t="s">
        <v>2774</v>
      </c>
      <c r="D501" s="1">
        <v>14.352</v>
      </c>
      <c r="H501" s="5" t="s">
        <v>3343</v>
      </c>
    </row>
    <row r="502" spans="3:8" x14ac:dyDescent="0.3">
      <c r="C502" s="3" t="s">
        <v>954</v>
      </c>
      <c r="D502" s="1">
        <v>254.05799999999999</v>
      </c>
      <c r="H502" s="3" t="s">
        <v>1074</v>
      </c>
    </row>
    <row r="503" spans="3:8" x14ac:dyDescent="0.3">
      <c r="C503" s="4" t="s">
        <v>955</v>
      </c>
      <c r="D503" s="1">
        <v>254.05799999999999</v>
      </c>
      <c r="H503" s="4" t="s">
        <v>25</v>
      </c>
    </row>
    <row r="504" spans="3:8" x14ac:dyDescent="0.3">
      <c r="C504" s="3" t="s">
        <v>1936</v>
      </c>
      <c r="D504" s="1">
        <v>146.82</v>
      </c>
      <c r="H504" s="5" t="s">
        <v>1075</v>
      </c>
    </row>
    <row r="505" spans="3:8" x14ac:dyDescent="0.3">
      <c r="C505" s="4" t="s">
        <v>1937</v>
      </c>
      <c r="D505" s="1">
        <v>146.82</v>
      </c>
      <c r="H505" s="3" t="s">
        <v>3214</v>
      </c>
    </row>
    <row r="506" spans="3:8" x14ac:dyDescent="0.3">
      <c r="C506" s="3" t="s">
        <v>2425</v>
      </c>
      <c r="D506" s="1">
        <v>86.62</v>
      </c>
      <c r="H506" s="4" t="s">
        <v>25</v>
      </c>
    </row>
    <row r="507" spans="3:8" x14ac:dyDescent="0.3">
      <c r="C507" s="4" t="s">
        <v>1378</v>
      </c>
      <c r="D507" s="1">
        <v>86.62</v>
      </c>
      <c r="H507" s="5" t="s">
        <v>3215</v>
      </c>
    </row>
    <row r="508" spans="3:8" x14ac:dyDescent="0.3">
      <c r="C508" s="3" t="s">
        <v>2869</v>
      </c>
      <c r="D508" s="1">
        <v>17.28</v>
      </c>
      <c r="H508" s="3" t="s">
        <v>2680</v>
      </c>
    </row>
    <row r="509" spans="3:8" x14ac:dyDescent="0.3">
      <c r="C509" s="4" t="s">
        <v>1856</v>
      </c>
      <c r="D509" s="1">
        <v>17.28</v>
      </c>
      <c r="H509" s="4" t="s">
        <v>25</v>
      </c>
    </row>
    <row r="510" spans="3:8" x14ac:dyDescent="0.3">
      <c r="C510" s="3" t="s">
        <v>1592</v>
      </c>
      <c r="D510" s="1">
        <v>20.7</v>
      </c>
      <c r="H510" s="5" t="s">
        <v>2681</v>
      </c>
    </row>
    <row r="511" spans="3:8" x14ac:dyDescent="0.3">
      <c r="C511" s="4" t="s">
        <v>1593</v>
      </c>
      <c r="D511" s="1">
        <v>20.7</v>
      </c>
      <c r="H511" s="3" t="s">
        <v>3074</v>
      </c>
    </row>
    <row r="512" spans="3:8" x14ac:dyDescent="0.3">
      <c r="C512" s="3" t="s">
        <v>619</v>
      </c>
      <c r="D512" s="1">
        <v>27.68</v>
      </c>
      <c r="H512" s="4" t="s">
        <v>25</v>
      </c>
    </row>
    <row r="513" spans="3:8" x14ac:dyDescent="0.3">
      <c r="C513" s="4" t="s">
        <v>620</v>
      </c>
      <c r="D513" s="1">
        <v>27.68</v>
      </c>
      <c r="H513" s="5" t="s">
        <v>3075</v>
      </c>
    </row>
    <row r="514" spans="3:8" x14ac:dyDescent="0.3">
      <c r="C514" s="3" t="s">
        <v>589</v>
      </c>
      <c r="D514" s="1">
        <v>14.62</v>
      </c>
      <c r="H514" s="3" t="s">
        <v>4146</v>
      </c>
    </row>
    <row r="515" spans="3:8" x14ac:dyDescent="0.3">
      <c r="C515" s="4" t="s">
        <v>590</v>
      </c>
      <c r="D515" s="1">
        <v>14.62</v>
      </c>
      <c r="H515" s="4" t="s">
        <v>25</v>
      </c>
    </row>
    <row r="516" spans="3:8" x14ac:dyDescent="0.3">
      <c r="C516" s="3" t="s">
        <v>561</v>
      </c>
      <c r="D516" s="1">
        <v>384.45</v>
      </c>
      <c r="H516" s="5" t="s">
        <v>4147</v>
      </c>
    </row>
    <row r="517" spans="3:8" x14ac:dyDescent="0.3">
      <c r="C517" s="4" t="s">
        <v>76</v>
      </c>
      <c r="D517" s="1">
        <v>384.45</v>
      </c>
      <c r="H517" s="3" t="s">
        <v>2415</v>
      </c>
    </row>
    <row r="518" spans="3:8" x14ac:dyDescent="0.3">
      <c r="C518" s="3" t="s">
        <v>1950</v>
      </c>
      <c r="D518" s="1">
        <v>45.584000000000003</v>
      </c>
      <c r="H518" s="4" t="s">
        <v>25</v>
      </c>
    </row>
    <row r="519" spans="3:8" x14ac:dyDescent="0.3">
      <c r="C519" s="4" t="s">
        <v>1951</v>
      </c>
      <c r="D519" s="1">
        <v>45.584000000000003</v>
      </c>
      <c r="H519" s="5" t="s">
        <v>2416</v>
      </c>
    </row>
    <row r="520" spans="3:8" x14ac:dyDescent="0.3">
      <c r="C520" s="3" t="s">
        <v>2077</v>
      </c>
      <c r="D520" s="1">
        <v>12.96</v>
      </c>
      <c r="H520" s="3" t="s">
        <v>4289</v>
      </c>
    </row>
    <row r="521" spans="3:8" x14ac:dyDescent="0.3">
      <c r="C521" s="4" t="s">
        <v>2078</v>
      </c>
      <c r="D521" s="1">
        <v>12.96</v>
      </c>
      <c r="H521" s="4" t="s">
        <v>25</v>
      </c>
    </row>
    <row r="522" spans="3:8" x14ac:dyDescent="0.3">
      <c r="C522" s="3" t="s">
        <v>167</v>
      </c>
      <c r="D522" s="1">
        <v>1097.5440000000001</v>
      </c>
      <c r="H522" s="5" t="s">
        <v>4290</v>
      </c>
    </row>
    <row r="523" spans="3:8" x14ac:dyDescent="0.3">
      <c r="C523" s="4" t="s">
        <v>168</v>
      </c>
      <c r="D523" s="1">
        <v>1097.5440000000001</v>
      </c>
      <c r="H523" s="3" t="s">
        <v>2459</v>
      </c>
    </row>
    <row r="524" spans="3:8" x14ac:dyDescent="0.3">
      <c r="C524" s="3" t="s">
        <v>4294</v>
      </c>
      <c r="D524" s="1">
        <v>7.0720000000000001</v>
      </c>
      <c r="H524" s="4" t="s">
        <v>25</v>
      </c>
    </row>
    <row r="525" spans="3:8" x14ac:dyDescent="0.3">
      <c r="C525" s="4" t="s">
        <v>3461</v>
      </c>
      <c r="D525" s="1">
        <v>7.0720000000000001</v>
      </c>
      <c r="H525" s="5" t="s">
        <v>2460</v>
      </c>
    </row>
    <row r="526" spans="3:8" x14ac:dyDescent="0.3">
      <c r="C526" s="3" t="s">
        <v>3459</v>
      </c>
      <c r="D526" s="1">
        <v>49.567999999999998</v>
      </c>
      <c r="H526" s="3" t="s">
        <v>1785</v>
      </c>
    </row>
    <row r="527" spans="3:8" x14ac:dyDescent="0.3">
      <c r="C527" s="4" t="s">
        <v>3460</v>
      </c>
      <c r="D527" s="1">
        <v>49.567999999999998</v>
      </c>
      <c r="H527" s="4" t="s">
        <v>25</v>
      </c>
    </row>
    <row r="528" spans="3:8" x14ac:dyDescent="0.3">
      <c r="C528" s="3" t="s">
        <v>209</v>
      </c>
      <c r="D528" s="1">
        <v>45.98</v>
      </c>
      <c r="H528" s="5" t="s">
        <v>1786</v>
      </c>
    </row>
    <row r="529" spans="3:8" x14ac:dyDescent="0.3">
      <c r="C529" s="4" t="s">
        <v>210</v>
      </c>
      <c r="D529" s="1">
        <v>45.98</v>
      </c>
      <c r="H529" s="3" t="s">
        <v>1052</v>
      </c>
    </row>
    <row r="530" spans="3:8" x14ac:dyDescent="0.3">
      <c r="C530" s="3" t="s">
        <v>3563</v>
      </c>
      <c r="D530" s="1">
        <v>705.54399999999998</v>
      </c>
      <c r="H530" s="4" t="s">
        <v>25</v>
      </c>
    </row>
    <row r="531" spans="3:8" x14ac:dyDescent="0.3">
      <c r="C531" s="4" t="s">
        <v>1791</v>
      </c>
      <c r="D531" s="1">
        <v>705.54399999999998</v>
      </c>
      <c r="H531" s="5" t="s">
        <v>1053</v>
      </c>
    </row>
    <row r="532" spans="3:8" x14ac:dyDescent="0.3">
      <c r="C532" s="3" t="s">
        <v>288</v>
      </c>
      <c r="D532" s="1">
        <v>75.88</v>
      </c>
      <c r="H532" s="3" t="s">
        <v>1857</v>
      </c>
    </row>
    <row r="533" spans="3:8" x14ac:dyDescent="0.3">
      <c r="C533" s="4" t="s">
        <v>289</v>
      </c>
      <c r="D533" s="1">
        <v>75.88</v>
      </c>
      <c r="H533" s="4" t="s">
        <v>25</v>
      </c>
    </row>
    <row r="534" spans="3:8" x14ac:dyDescent="0.3">
      <c r="C534" s="3" t="s">
        <v>1699</v>
      </c>
      <c r="D534" s="1">
        <v>11.632</v>
      </c>
      <c r="H534" s="5" t="s">
        <v>1858</v>
      </c>
    </row>
    <row r="535" spans="3:8" x14ac:dyDescent="0.3">
      <c r="C535" s="4" t="s">
        <v>1700</v>
      </c>
      <c r="D535" s="1">
        <v>11.632</v>
      </c>
      <c r="H535" s="3" t="s">
        <v>2839</v>
      </c>
    </row>
    <row r="536" spans="3:8" x14ac:dyDescent="0.3">
      <c r="C536" s="3" t="s">
        <v>4035</v>
      </c>
      <c r="D536" s="1">
        <v>60.72</v>
      </c>
      <c r="H536" s="4" t="s">
        <v>25</v>
      </c>
    </row>
    <row r="537" spans="3:8" x14ac:dyDescent="0.3">
      <c r="C537" s="4" t="s">
        <v>298</v>
      </c>
      <c r="D537" s="1">
        <v>60.72</v>
      </c>
      <c r="H537" s="5" t="s">
        <v>2840</v>
      </c>
    </row>
    <row r="538" spans="3:8" x14ac:dyDescent="0.3">
      <c r="C538" s="3" t="s">
        <v>3121</v>
      </c>
      <c r="D538" s="1">
        <v>53.951999999999998</v>
      </c>
      <c r="H538" s="3" t="s">
        <v>3942</v>
      </c>
    </row>
    <row r="539" spans="3:8" x14ac:dyDescent="0.3">
      <c r="C539" s="4" t="s">
        <v>3099</v>
      </c>
      <c r="D539" s="1">
        <v>53.951999999999998</v>
      </c>
      <c r="H539" s="4" t="s">
        <v>25</v>
      </c>
    </row>
    <row r="540" spans="3:8" x14ac:dyDescent="0.3">
      <c r="C540" s="3" t="s">
        <v>1732</v>
      </c>
      <c r="D540" s="1">
        <v>8.4480000000000004</v>
      </c>
      <c r="H540" s="5" t="s">
        <v>3943</v>
      </c>
    </row>
    <row r="541" spans="3:8" x14ac:dyDescent="0.3">
      <c r="C541" s="4" t="s">
        <v>405</v>
      </c>
      <c r="D541" s="1">
        <v>8.4480000000000004</v>
      </c>
      <c r="H541" s="3" t="s">
        <v>1554</v>
      </c>
    </row>
    <row r="542" spans="3:8" x14ac:dyDescent="0.3">
      <c r="C542" s="3" t="s">
        <v>4098</v>
      </c>
      <c r="D542" s="1">
        <v>48.576000000000001</v>
      </c>
      <c r="H542" s="4" t="s">
        <v>25</v>
      </c>
    </row>
    <row r="543" spans="3:8" x14ac:dyDescent="0.3">
      <c r="C543" s="4" t="s">
        <v>4099</v>
      </c>
      <c r="D543" s="1">
        <v>48.576000000000001</v>
      </c>
      <c r="H543" s="5" t="s">
        <v>1555</v>
      </c>
    </row>
    <row r="544" spans="3:8" x14ac:dyDescent="0.3">
      <c r="C544" s="3" t="s">
        <v>145</v>
      </c>
      <c r="D544" s="1">
        <v>11.648</v>
      </c>
      <c r="H544" s="3" t="s">
        <v>477</v>
      </c>
    </row>
    <row r="545" spans="3:8" x14ac:dyDescent="0.3">
      <c r="C545" s="4" t="s">
        <v>146</v>
      </c>
      <c r="D545" s="1">
        <v>11.648</v>
      </c>
      <c r="H545" s="4" t="s">
        <v>25</v>
      </c>
    </row>
    <row r="546" spans="3:8" x14ac:dyDescent="0.3">
      <c r="C546" s="3" t="s">
        <v>2751</v>
      </c>
      <c r="D546" s="1">
        <v>552.55999999999995</v>
      </c>
      <c r="H546" s="5" t="s">
        <v>478</v>
      </c>
    </row>
    <row r="547" spans="3:8" x14ac:dyDescent="0.3">
      <c r="C547" s="4" t="s">
        <v>2752</v>
      </c>
      <c r="D547" s="1">
        <v>552.55999999999995</v>
      </c>
      <c r="H547" s="3" t="s">
        <v>663</v>
      </c>
    </row>
    <row r="548" spans="3:8" x14ac:dyDescent="0.3">
      <c r="C548" s="3" t="s">
        <v>3373</v>
      </c>
      <c r="D548" s="1">
        <v>44.4</v>
      </c>
      <c r="H548" s="4" t="s">
        <v>25</v>
      </c>
    </row>
    <row r="549" spans="3:8" x14ac:dyDescent="0.3">
      <c r="C549" s="4" t="s">
        <v>3374</v>
      </c>
      <c r="D549" s="1">
        <v>44.4</v>
      </c>
      <c r="H549" s="5" t="s">
        <v>664</v>
      </c>
    </row>
    <row r="550" spans="3:8" x14ac:dyDescent="0.3">
      <c r="C550" s="3" t="s">
        <v>3716</v>
      </c>
      <c r="D550" s="1">
        <v>12.957000000000001</v>
      </c>
      <c r="H550" s="3" t="s">
        <v>1192</v>
      </c>
    </row>
    <row r="551" spans="3:8" x14ac:dyDescent="0.3">
      <c r="C551" s="4" t="s">
        <v>168</v>
      </c>
      <c r="D551" s="1">
        <v>12.957000000000001</v>
      </c>
      <c r="H551" s="4" t="s">
        <v>25</v>
      </c>
    </row>
    <row r="552" spans="3:8" x14ac:dyDescent="0.3">
      <c r="C552" s="3" t="s">
        <v>890</v>
      </c>
      <c r="D552" s="1">
        <v>328.22399999999999</v>
      </c>
      <c r="H552" s="5" t="s">
        <v>1193</v>
      </c>
    </row>
    <row r="553" spans="3:8" x14ac:dyDescent="0.3">
      <c r="C553" s="4" t="s">
        <v>290</v>
      </c>
      <c r="D553" s="1">
        <v>328.22399999999999</v>
      </c>
      <c r="H553" s="3" t="s">
        <v>3473</v>
      </c>
    </row>
    <row r="554" spans="3:8" x14ac:dyDescent="0.3">
      <c r="C554" s="3" t="s">
        <v>3328</v>
      </c>
      <c r="D554" s="1">
        <v>45.68</v>
      </c>
      <c r="H554" s="4" t="s">
        <v>25</v>
      </c>
    </row>
    <row r="555" spans="3:8" x14ac:dyDescent="0.3">
      <c r="C555" s="4" t="s">
        <v>3329</v>
      </c>
      <c r="D555" s="1">
        <v>45.68</v>
      </c>
      <c r="H555" s="5" t="s">
        <v>3474</v>
      </c>
    </row>
    <row r="556" spans="3:8" x14ac:dyDescent="0.3">
      <c r="C556" s="3" t="s">
        <v>2412</v>
      </c>
      <c r="D556" s="1">
        <v>15.552</v>
      </c>
      <c r="H556" s="3" t="s">
        <v>2038</v>
      </c>
    </row>
    <row r="557" spans="3:8" x14ac:dyDescent="0.3">
      <c r="C557" s="4" t="s">
        <v>2413</v>
      </c>
      <c r="D557" s="1">
        <v>15.552</v>
      </c>
      <c r="H557" s="4" t="s">
        <v>25</v>
      </c>
    </row>
    <row r="558" spans="3:8" x14ac:dyDescent="0.3">
      <c r="C558" s="3" t="s">
        <v>1538</v>
      </c>
      <c r="D558" s="1">
        <v>16.768000000000001</v>
      </c>
      <c r="H558" s="5" t="s">
        <v>2039</v>
      </c>
    </row>
    <row r="559" spans="3:8" x14ac:dyDescent="0.3">
      <c r="C559" s="4" t="s">
        <v>1539</v>
      </c>
      <c r="D559" s="1">
        <v>16.768000000000001</v>
      </c>
      <c r="H559" s="3" t="s">
        <v>2311</v>
      </c>
    </row>
    <row r="560" spans="3:8" x14ac:dyDescent="0.3">
      <c r="C560" s="3" t="s">
        <v>320</v>
      </c>
      <c r="D560" s="1">
        <v>208.16</v>
      </c>
      <c r="H560" s="4" t="s">
        <v>25</v>
      </c>
    </row>
    <row r="561" spans="3:8" x14ac:dyDescent="0.3">
      <c r="C561" s="4" t="s">
        <v>34</v>
      </c>
      <c r="D561" s="1">
        <v>208.16</v>
      </c>
      <c r="H561" s="5" t="s">
        <v>2312</v>
      </c>
    </row>
    <row r="562" spans="3:8" x14ac:dyDescent="0.3">
      <c r="C562" s="3" t="s">
        <v>1634</v>
      </c>
      <c r="D562" s="1">
        <v>8.82</v>
      </c>
      <c r="H562" s="3" t="s">
        <v>858</v>
      </c>
    </row>
    <row r="563" spans="3:8" x14ac:dyDescent="0.3">
      <c r="C563" s="4" t="s">
        <v>458</v>
      </c>
      <c r="D563" s="1">
        <v>8.82</v>
      </c>
      <c r="H563" s="4" t="s">
        <v>25</v>
      </c>
    </row>
    <row r="564" spans="3:8" x14ac:dyDescent="0.3">
      <c r="C564" s="3" t="s">
        <v>1323</v>
      </c>
      <c r="D564" s="1">
        <v>714.3</v>
      </c>
      <c r="H564" s="5" t="s">
        <v>859</v>
      </c>
    </row>
    <row r="565" spans="3:8" x14ac:dyDescent="0.3">
      <c r="C565" s="4" t="s">
        <v>290</v>
      </c>
      <c r="D565" s="1">
        <v>714.3</v>
      </c>
      <c r="H565" s="3" t="s">
        <v>3972</v>
      </c>
    </row>
    <row r="566" spans="3:8" x14ac:dyDescent="0.3">
      <c r="C566" s="3" t="s">
        <v>3048</v>
      </c>
      <c r="D566" s="1">
        <v>4.3440000000000003</v>
      </c>
      <c r="H566" s="4" t="s">
        <v>25</v>
      </c>
    </row>
    <row r="567" spans="3:8" x14ac:dyDescent="0.3">
      <c r="C567" s="4" t="s">
        <v>591</v>
      </c>
      <c r="D567" s="1">
        <v>4.3440000000000003</v>
      </c>
      <c r="H567" s="5" t="s">
        <v>3973</v>
      </c>
    </row>
    <row r="568" spans="3:8" x14ac:dyDescent="0.3">
      <c r="C568" s="3" t="s">
        <v>457</v>
      </c>
      <c r="D568" s="1">
        <v>75.959999999999994</v>
      </c>
      <c r="H568" s="3" t="s">
        <v>3978</v>
      </c>
    </row>
    <row r="569" spans="3:8" x14ac:dyDescent="0.3">
      <c r="C569" s="4" t="s">
        <v>458</v>
      </c>
      <c r="D569" s="1">
        <v>75.959999999999994</v>
      </c>
      <c r="H569" s="4" t="s">
        <v>25</v>
      </c>
    </row>
    <row r="570" spans="3:8" x14ac:dyDescent="0.3">
      <c r="C570" s="3" t="s">
        <v>4118</v>
      </c>
      <c r="D570" s="1">
        <v>56.7</v>
      </c>
      <c r="H570" s="5" t="s">
        <v>3979</v>
      </c>
    </row>
    <row r="571" spans="3:8" x14ac:dyDescent="0.3">
      <c r="C571" s="4" t="s">
        <v>4119</v>
      </c>
      <c r="D571" s="1">
        <v>56.7</v>
      </c>
      <c r="H571" s="3" t="s">
        <v>878</v>
      </c>
    </row>
    <row r="572" spans="3:8" x14ac:dyDescent="0.3">
      <c r="C572" s="3" t="s">
        <v>4299</v>
      </c>
      <c r="D572" s="1">
        <v>224.93700000000001</v>
      </c>
      <c r="H572" s="4" t="s">
        <v>25</v>
      </c>
    </row>
    <row r="573" spans="3:8" x14ac:dyDescent="0.3">
      <c r="C573" s="4" t="s">
        <v>4042</v>
      </c>
      <c r="D573" s="1">
        <v>224.93700000000001</v>
      </c>
      <c r="H573" s="5" t="s">
        <v>879</v>
      </c>
    </row>
    <row r="574" spans="3:8" x14ac:dyDescent="0.3">
      <c r="C574" s="3" t="s">
        <v>1094</v>
      </c>
      <c r="D574" s="1">
        <v>24.56</v>
      </c>
      <c r="H574" s="3" t="s">
        <v>3996</v>
      </c>
    </row>
    <row r="575" spans="3:8" x14ac:dyDescent="0.3">
      <c r="C575" s="4" t="s">
        <v>1059</v>
      </c>
      <c r="D575" s="1">
        <v>24.56</v>
      </c>
      <c r="H575" s="4" t="s">
        <v>25</v>
      </c>
    </row>
    <row r="576" spans="3:8" x14ac:dyDescent="0.3">
      <c r="C576" s="3" t="s">
        <v>418</v>
      </c>
      <c r="D576" s="1">
        <v>23.92</v>
      </c>
      <c r="H576" s="5" t="s">
        <v>3997</v>
      </c>
    </row>
    <row r="577" spans="3:8" x14ac:dyDescent="0.3">
      <c r="C577" s="4" t="s">
        <v>419</v>
      </c>
      <c r="D577" s="1">
        <v>23.92</v>
      </c>
      <c r="H577" s="3" t="s">
        <v>3645</v>
      </c>
    </row>
    <row r="578" spans="3:8" x14ac:dyDescent="0.3">
      <c r="C578" s="3" t="s">
        <v>788</v>
      </c>
      <c r="D578" s="1">
        <v>302.37599999999998</v>
      </c>
      <c r="H578" s="4" t="s">
        <v>25</v>
      </c>
    </row>
    <row r="579" spans="3:8" x14ac:dyDescent="0.3">
      <c r="C579" s="4" t="s">
        <v>789</v>
      </c>
      <c r="D579" s="1">
        <v>302.37599999999998</v>
      </c>
      <c r="H579" s="5" t="s">
        <v>3646</v>
      </c>
    </row>
    <row r="580" spans="3:8" x14ac:dyDescent="0.3">
      <c r="C580" s="3" t="s">
        <v>3679</v>
      </c>
      <c r="D580" s="1">
        <v>207.48</v>
      </c>
      <c r="H580" s="3" t="s">
        <v>4176</v>
      </c>
    </row>
    <row r="581" spans="3:8" x14ac:dyDescent="0.3">
      <c r="C581" s="4" t="s">
        <v>1240</v>
      </c>
      <c r="D581" s="1">
        <v>207.48</v>
      </c>
      <c r="H581" s="4" t="s">
        <v>25</v>
      </c>
    </row>
    <row r="582" spans="3:8" x14ac:dyDescent="0.3">
      <c r="C582" s="3" t="s">
        <v>3909</v>
      </c>
      <c r="D582" s="1">
        <v>5.4720000000000004</v>
      </c>
      <c r="H582" s="5" t="s">
        <v>4177</v>
      </c>
    </row>
    <row r="583" spans="3:8" x14ac:dyDescent="0.3">
      <c r="C583" s="4" t="s">
        <v>3910</v>
      </c>
      <c r="D583" s="1">
        <v>5.4720000000000004</v>
      </c>
      <c r="H583" s="3" t="s">
        <v>331</v>
      </c>
    </row>
    <row r="584" spans="3:8" x14ac:dyDescent="0.3">
      <c r="C584" s="3" t="s">
        <v>3819</v>
      </c>
      <c r="D584" s="1">
        <v>657.55200000000002</v>
      </c>
      <c r="H584" s="4" t="s">
        <v>25</v>
      </c>
    </row>
    <row r="585" spans="3:8" x14ac:dyDescent="0.3">
      <c r="C585" s="4" t="s">
        <v>591</v>
      </c>
      <c r="D585" s="1">
        <v>657.55200000000002</v>
      </c>
      <c r="H585" s="5" t="s">
        <v>332</v>
      </c>
    </row>
    <row r="586" spans="3:8" x14ac:dyDescent="0.3">
      <c r="C586" s="3" t="s">
        <v>2856</v>
      </c>
      <c r="D586" s="1">
        <v>91.68</v>
      </c>
      <c r="H586" s="3" t="s">
        <v>1184</v>
      </c>
    </row>
    <row r="587" spans="3:8" x14ac:dyDescent="0.3">
      <c r="C587" s="4" t="s">
        <v>2698</v>
      </c>
      <c r="D587" s="1">
        <v>91.68</v>
      </c>
      <c r="H587" s="4" t="s">
        <v>25</v>
      </c>
    </row>
    <row r="588" spans="3:8" x14ac:dyDescent="0.3">
      <c r="C588" s="3" t="s">
        <v>2913</v>
      </c>
      <c r="D588" s="1">
        <v>396</v>
      </c>
      <c r="H588" s="5" t="s">
        <v>1185</v>
      </c>
    </row>
    <row r="589" spans="3:8" x14ac:dyDescent="0.3">
      <c r="C589" s="4" t="s">
        <v>366</v>
      </c>
      <c r="D589" s="1">
        <v>396</v>
      </c>
      <c r="H589" s="3" t="s">
        <v>4191</v>
      </c>
    </row>
    <row r="590" spans="3:8" x14ac:dyDescent="0.3">
      <c r="C590" s="3" t="s">
        <v>2488</v>
      </c>
      <c r="D590" s="1">
        <v>6.27</v>
      </c>
      <c r="H590" s="4" t="s">
        <v>25</v>
      </c>
    </row>
    <row r="591" spans="3:8" x14ac:dyDescent="0.3">
      <c r="C591" s="4" t="s">
        <v>2221</v>
      </c>
      <c r="D591" s="1">
        <v>6.27</v>
      </c>
      <c r="H591" s="5" t="s">
        <v>4192</v>
      </c>
    </row>
    <row r="592" spans="3:8" x14ac:dyDescent="0.3">
      <c r="C592" s="3" t="s">
        <v>2171</v>
      </c>
      <c r="D592" s="1">
        <v>15.936</v>
      </c>
      <c r="H592" s="3" t="s">
        <v>240</v>
      </c>
    </row>
    <row r="593" spans="3:8" x14ac:dyDescent="0.3">
      <c r="C593" s="4" t="s">
        <v>2172</v>
      </c>
      <c r="D593" s="1">
        <v>15.936</v>
      </c>
      <c r="H593" s="4" t="s">
        <v>25</v>
      </c>
    </row>
    <row r="594" spans="3:8" x14ac:dyDescent="0.3">
      <c r="C594" s="3" t="s">
        <v>1167</v>
      </c>
      <c r="D594" s="1">
        <v>50.96</v>
      </c>
      <c r="H594" s="5" t="s">
        <v>241</v>
      </c>
    </row>
    <row r="595" spans="3:8" x14ac:dyDescent="0.3">
      <c r="C595" s="4" t="s">
        <v>789</v>
      </c>
      <c r="D595" s="1">
        <v>50.96</v>
      </c>
      <c r="H595" s="3" t="s">
        <v>2149</v>
      </c>
    </row>
    <row r="596" spans="3:8" x14ac:dyDescent="0.3">
      <c r="C596" s="3" t="s">
        <v>4162</v>
      </c>
      <c r="D596" s="1">
        <v>105.55200000000001</v>
      </c>
      <c r="H596" s="4" t="s">
        <v>25</v>
      </c>
    </row>
    <row r="597" spans="3:8" x14ac:dyDescent="0.3">
      <c r="C597" s="4" t="s">
        <v>4163</v>
      </c>
      <c r="D597" s="1">
        <v>105.55200000000001</v>
      </c>
      <c r="H597" s="5" t="s">
        <v>2150</v>
      </c>
    </row>
    <row r="598" spans="3:8" x14ac:dyDescent="0.3">
      <c r="C598" s="3" t="s">
        <v>1573</v>
      </c>
      <c r="D598" s="1">
        <v>1121.568</v>
      </c>
      <c r="H598" s="3" t="s">
        <v>1919</v>
      </c>
    </row>
    <row r="599" spans="3:8" x14ac:dyDescent="0.3">
      <c r="C599" s="4" t="s">
        <v>1316</v>
      </c>
      <c r="D599" s="1">
        <v>1121.568</v>
      </c>
      <c r="H599" s="4" t="s">
        <v>25</v>
      </c>
    </row>
    <row r="600" spans="3:8" x14ac:dyDescent="0.3">
      <c r="C600" s="3" t="s">
        <v>3544</v>
      </c>
      <c r="D600" s="1">
        <v>1117.92</v>
      </c>
      <c r="H600" s="5" t="s">
        <v>1920</v>
      </c>
    </row>
    <row r="601" spans="3:8" x14ac:dyDescent="0.3">
      <c r="C601" s="4" t="s">
        <v>3545</v>
      </c>
      <c r="D601" s="1">
        <v>1117.92</v>
      </c>
      <c r="H601" s="3" t="s">
        <v>3948</v>
      </c>
    </row>
    <row r="602" spans="3:8" x14ac:dyDescent="0.3">
      <c r="C602" s="3" t="s">
        <v>2602</v>
      </c>
      <c r="D602" s="1">
        <v>41.86</v>
      </c>
      <c r="H602" s="4" t="s">
        <v>25</v>
      </c>
    </row>
    <row r="603" spans="3:8" x14ac:dyDescent="0.3">
      <c r="C603" s="4" t="s">
        <v>1700</v>
      </c>
      <c r="D603" s="1">
        <v>41.86</v>
      </c>
      <c r="H603" s="5" t="s">
        <v>3949</v>
      </c>
    </row>
    <row r="604" spans="3:8" x14ac:dyDescent="0.3">
      <c r="C604" s="3" t="s">
        <v>1824</v>
      </c>
      <c r="D604" s="1">
        <v>113.55200000000001</v>
      </c>
      <c r="H604" s="3" t="s">
        <v>2980</v>
      </c>
    </row>
    <row r="605" spans="3:8" x14ac:dyDescent="0.3">
      <c r="C605" s="4" t="s">
        <v>1825</v>
      </c>
      <c r="D605" s="1">
        <v>113.55200000000001</v>
      </c>
      <c r="H605" s="4" t="s">
        <v>25</v>
      </c>
    </row>
    <row r="606" spans="3:8" x14ac:dyDescent="0.3">
      <c r="C606" s="3" t="s">
        <v>125</v>
      </c>
      <c r="D606" s="1">
        <v>19.46</v>
      </c>
      <c r="H606" s="5" t="s">
        <v>2981</v>
      </c>
    </row>
    <row r="607" spans="3:8" x14ac:dyDescent="0.3">
      <c r="C607" s="4" t="s">
        <v>126</v>
      </c>
      <c r="D607" s="1">
        <v>19.46</v>
      </c>
      <c r="H607" s="3" t="s">
        <v>865</v>
      </c>
    </row>
    <row r="608" spans="3:8" x14ac:dyDescent="0.3">
      <c r="C608" s="3" t="s">
        <v>1100</v>
      </c>
      <c r="D608" s="1">
        <v>388.70400000000001</v>
      </c>
      <c r="H608" s="4" t="s">
        <v>25</v>
      </c>
    </row>
    <row r="609" spans="3:8" x14ac:dyDescent="0.3">
      <c r="C609" s="4" t="s">
        <v>1101</v>
      </c>
      <c r="D609" s="1">
        <v>388.70400000000001</v>
      </c>
      <c r="H609" s="5" t="s">
        <v>866</v>
      </c>
    </row>
    <row r="610" spans="3:8" x14ac:dyDescent="0.3">
      <c r="C610" s="3" t="s">
        <v>33</v>
      </c>
      <c r="D610" s="1">
        <v>14.62</v>
      </c>
      <c r="H610" s="3" t="s">
        <v>3762</v>
      </c>
    </row>
    <row r="611" spans="3:8" x14ac:dyDescent="0.3">
      <c r="C611" s="4" t="s">
        <v>34</v>
      </c>
      <c r="D611" s="1">
        <v>14.62</v>
      </c>
      <c r="H611" s="4" t="s">
        <v>25</v>
      </c>
    </row>
    <row r="612" spans="3:8" x14ac:dyDescent="0.3">
      <c r="C612" s="3" t="s">
        <v>3673</v>
      </c>
      <c r="D612" s="1">
        <v>24.96</v>
      </c>
      <c r="H612" s="5" t="s">
        <v>3763</v>
      </c>
    </row>
    <row r="613" spans="3:8" x14ac:dyDescent="0.3">
      <c r="C613" s="4" t="s">
        <v>3674</v>
      </c>
      <c r="D613" s="1">
        <v>24.96</v>
      </c>
      <c r="H613" s="3" t="s">
        <v>1976</v>
      </c>
    </row>
    <row r="614" spans="3:8" x14ac:dyDescent="0.3">
      <c r="C614" s="3" t="s">
        <v>2276</v>
      </c>
      <c r="D614" s="1">
        <v>45.055999999999997</v>
      </c>
      <c r="H614" s="4" t="s">
        <v>25</v>
      </c>
    </row>
    <row r="615" spans="3:8" x14ac:dyDescent="0.3">
      <c r="C615" s="4" t="s">
        <v>229</v>
      </c>
      <c r="D615" s="1">
        <v>45.055999999999997</v>
      </c>
      <c r="H615" s="5" t="s">
        <v>1977</v>
      </c>
    </row>
    <row r="616" spans="3:8" x14ac:dyDescent="0.3">
      <c r="C616" s="3" t="s">
        <v>2226</v>
      </c>
      <c r="D616" s="1">
        <v>15.648</v>
      </c>
      <c r="H616" s="3" t="s">
        <v>805</v>
      </c>
    </row>
    <row r="617" spans="3:8" x14ac:dyDescent="0.3">
      <c r="C617" s="4" t="s">
        <v>2227</v>
      </c>
      <c r="D617" s="1">
        <v>15.648</v>
      </c>
      <c r="H617" s="4" t="s">
        <v>25</v>
      </c>
    </row>
    <row r="618" spans="3:8" x14ac:dyDescent="0.3">
      <c r="C618" s="3" t="s">
        <v>973</v>
      </c>
      <c r="D618" s="1">
        <v>32.4</v>
      </c>
      <c r="H618" s="5" t="s">
        <v>806</v>
      </c>
    </row>
    <row r="619" spans="3:8" x14ac:dyDescent="0.3">
      <c r="C619" s="4" t="s">
        <v>789</v>
      </c>
      <c r="D619" s="1">
        <v>32.4</v>
      </c>
      <c r="H619" s="3" t="s">
        <v>36</v>
      </c>
    </row>
    <row r="620" spans="3:8" x14ac:dyDescent="0.3">
      <c r="C620" s="3" t="s">
        <v>999</v>
      </c>
      <c r="D620" s="1">
        <v>15.135999999999999</v>
      </c>
      <c r="H620" s="4" t="s">
        <v>25</v>
      </c>
    </row>
    <row r="621" spans="3:8" x14ac:dyDescent="0.3">
      <c r="C621" s="4" t="s">
        <v>1000</v>
      </c>
      <c r="D621" s="1">
        <v>15.135999999999999</v>
      </c>
      <c r="H621" s="5" t="s">
        <v>37</v>
      </c>
    </row>
    <row r="622" spans="3:8" x14ac:dyDescent="0.3">
      <c r="C622" s="3" t="s">
        <v>4221</v>
      </c>
      <c r="D622" s="1">
        <v>6.2939999999999996</v>
      </c>
      <c r="H622" s="3" t="s">
        <v>1664</v>
      </c>
    </row>
    <row r="623" spans="3:8" x14ac:dyDescent="0.3">
      <c r="C623" s="4" t="s">
        <v>2753</v>
      </c>
      <c r="D623" s="1">
        <v>6.2939999999999996</v>
      </c>
      <c r="H623" s="4" t="s">
        <v>25</v>
      </c>
    </row>
    <row r="624" spans="3:8" x14ac:dyDescent="0.3">
      <c r="C624" s="3" t="s">
        <v>3988</v>
      </c>
      <c r="D624" s="1">
        <v>81.94</v>
      </c>
      <c r="H624" s="5" t="s">
        <v>1665</v>
      </c>
    </row>
    <row r="625" spans="3:8" x14ac:dyDescent="0.3">
      <c r="C625" s="4" t="s">
        <v>76</v>
      </c>
      <c r="D625" s="1">
        <v>81.94</v>
      </c>
      <c r="H625" s="3" t="s">
        <v>3768</v>
      </c>
    </row>
    <row r="626" spans="3:8" x14ac:dyDescent="0.3">
      <c r="C626" s="3" t="s">
        <v>2773</v>
      </c>
      <c r="D626" s="1">
        <v>79.14</v>
      </c>
      <c r="H626" s="4" t="s">
        <v>25</v>
      </c>
    </row>
    <row r="627" spans="3:8" x14ac:dyDescent="0.3">
      <c r="C627" s="4" t="s">
        <v>2774</v>
      </c>
      <c r="D627" s="1">
        <v>79.14</v>
      </c>
      <c r="H627" s="5" t="s">
        <v>3769</v>
      </c>
    </row>
    <row r="628" spans="3:8" x14ac:dyDescent="0.3">
      <c r="C628" s="3" t="s">
        <v>530</v>
      </c>
      <c r="D628" s="1">
        <v>20.04</v>
      </c>
      <c r="H628" s="3" t="s">
        <v>840</v>
      </c>
    </row>
    <row r="629" spans="3:8" x14ac:dyDescent="0.3">
      <c r="C629" s="4" t="s">
        <v>531</v>
      </c>
      <c r="D629" s="1">
        <v>20.04</v>
      </c>
      <c r="H629" s="4" t="s">
        <v>25</v>
      </c>
    </row>
    <row r="630" spans="3:8" x14ac:dyDescent="0.3">
      <c r="C630" s="3" t="s">
        <v>851</v>
      </c>
      <c r="D630" s="1">
        <v>7.61</v>
      </c>
      <c r="H630" s="5" t="s">
        <v>841</v>
      </c>
    </row>
    <row r="631" spans="3:8" x14ac:dyDescent="0.3">
      <c r="C631" s="4" t="s">
        <v>405</v>
      </c>
      <c r="D631" s="1">
        <v>7.61</v>
      </c>
      <c r="H631" s="3" t="s">
        <v>2500</v>
      </c>
    </row>
    <row r="632" spans="3:8" x14ac:dyDescent="0.3">
      <c r="C632" s="3" t="s">
        <v>3284</v>
      </c>
      <c r="D632" s="1">
        <v>13.08</v>
      </c>
      <c r="H632" s="4" t="s">
        <v>25</v>
      </c>
    </row>
    <row r="633" spans="3:8" x14ac:dyDescent="0.3">
      <c r="C633" s="4" t="s">
        <v>298</v>
      </c>
      <c r="D633" s="1">
        <v>13.08</v>
      </c>
      <c r="H633" s="5" t="s">
        <v>2501</v>
      </c>
    </row>
    <row r="634" spans="3:8" x14ac:dyDescent="0.3">
      <c r="C634" s="3" t="s">
        <v>2717</v>
      </c>
      <c r="D634" s="1">
        <v>38.880000000000003</v>
      </c>
      <c r="H634" s="3" t="s">
        <v>526</v>
      </c>
    </row>
    <row r="635" spans="3:8" x14ac:dyDescent="0.3">
      <c r="C635" s="4" t="s">
        <v>955</v>
      </c>
      <c r="D635" s="1">
        <v>38.880000000000003</v>
      </c>
      <c r="H635" s="4" t="s">
        <v>25</v>
      </c>
    </row>
    <row r="636" spans="3:8" x14ac:dyDescent="0.3">
      <c r="C636" s="3" t="s">
        <v>3386</v>
      </c>
      <c r="D636" s="1">
        <v>38.136000000000003</v>
      </c>
      <c r="H636" s="5" t="s">
        <v>527</v>
      </c>
    </row>
    <row r="637" spans="3:8" x14ac:dyDescent="0.3">
      <c r="C637" s="4" t="s">
        <v>2557</v>
      </c>
      <c r="D637" s="1">
        <v>38.136000000000003</v>
      </c>
      <c r="H637" s="3" t="s">
        <v>821</v>
      </c>
    </row>
    <row r="638" spans="3:8" x14ac:dyDescent="0.3">
      <c r="C638" s="3" t="s">
        <v>3510</v>
      </c>
      <c r="D638" s="1">
        <v>26.88</v>
      </c>
      <c r="H638" s="4" t="s">
        <v>25</v>
      </c>
    </row>
    <row r="639" spans="3:8" x14ac:dyDescent="0.3">
      <c r="C639" s="4" t="s">
        <v>3511</v>
      </c>
      <c r="D639" s="1">
        <v>26.88</v>
      </c>
      <c r="H639" s="5" t="s">
        <v>822</v>
      </c>
    </row>
    <row r="640" spans="3:8" x14ac:dyDescent="0.3">
      <c r="C640" s="3" t="s">
        <v>857</v>
      </c>
      <c r="D640" s="1">
        <v>80.58</v>
      </c>
      <c r="H640" s="3" t="s">
        <v>1366</v>
      </c>
    </row>
    <row r="641" spans="3:8" x14ac:dyDescent="0.3">
      <c r="C641" s="4" t="s">
        <v>77</v>
      </c>
      <c r="D641" s="1">
        <v>80.58</v>
      </c>
      <c r="H641" s="4" t="s">
        <v>25</v>
      </c>
    </row>
    <row r="642" spans="3:8" x14ac:dyDescent="0.3">
      <c r="C642" s="3" t="s">
        <v>1797</v>
      </c>
      <c r="D642" s="1">
        <v>18.84</v>
      </c>
      <c r="H642" s="5" t="s">
        <v>1367</v>
      </c>
    </row>
    <row r="643" spans="3:8" x14ac:dyDescent="0.3">
      <c r="C643" s="4" t="s">
        <v>955</v>
      </c>
      <c r="D643" s="1">
        <v>18.84</v>
      </c>
      <c r="H643" s="3" t="s">
        <v>3618</v>
      </c>
    </row>
    <row r="644" spans="3:8" x14ac:dyDescent="0.3">
      <c r="C644" s="3" t="s">
        <v>4047</v>
      </c>
      <c r="D644" s="1">
        <v>43.96</v>
      </c>
      <c r="H644" s="4" t="s">
        <v>25</v>
      </c>
    </row>
    <row r="645" spans="3:8" x14ac:dyDescent="0.3">
      <c r="C645" s="4" t="s">
        <v>4048</v>
      </c>
      <c r="D645" s="1">
        <v>43.96</v>
      </c>
      <c r="H645" s="5" t="s">
        <v>3619</v>
      </c>
    </row>
    <row r="646" spans="3:8" x14ac:dyDescent="0.3">
      <c r="C646" s="3" t="s">
        <v>1337</v>
      </c>
      <c r="D646" s="1">
        <v>1007.979</v>
      </c>
      <c r="H646" s="3" t="s">
        <v>1624</v>
      </c>
    </row>
    <row r="647" spans="3:8" x14ac:dyDescent="0.3">
      <c r="C647" s="4" t="s">
        <v>34</v>
      </c>
      <c r="D647" s="1">
        <v>1007.979</v>
      </c>
      <c r="H647" s="4" t="s">
        <v>25</v>
      </c>
    </row>
    <row r="648" spans="3:8" x14ac:dyDescent="0.3">
      <c r="C648" s="3" t="s">
        <v>2690</v>
      </c>
      <c r="D648" s="1">
        <v>86.352000000000004</v>
      </c>
      <c r="H648" s="5" t="s">
        <v>1625</v>
      </c>
    </row>
    <row r="649" spans="3:8" x14ac:dyDescent="0.3">
      <c r="C649" s="4" t="s">
        <v>2691</v>
      </c>
      <c r="D649" s="1">
        <v>86.352000000000004</v>
      </c>
      <c r="H649" s="3" t="s">
        <v>3807</v>
      </c>
    </row>
    <row r="650" spans="3:8" x14ac:dyDescent="0.3">
      <c r="C650" s="3" t="s">
        <v>1281</v>
      </c>
      <c r="D650" s="1">
        <v>383.8</v>
      </c>
      <c r="H650" s="4" t="s">
        <v>25</v>
      </c>
    </row>
    <row r="651" spans="3:8" x14ac:dyDescent="0.3">
      <c r="C651" s="4" t="s">
        <v>1282</v>
      </c>
      <c r="D651" s="1">
        <v>383.8</v>
      </c>
      <c r="H651" s="5" t="s">
        <v>3808</v>
      </c>
    </row>
    <row r="652" spans="3:8" x14ac:dyDescent="0.3">
      <c r="C652" s="3" t="s">
        <v>403</v>
      </c>
      <c r="D652" s="1">
        <v>77.88</v>
      </c>
      <c r="H652" s="3" t="s">
        <v>3930</v>
      </c>
    </row>
    <row r="653" spans="3:8" x14ac:dyDescent="0.3">
      <c r="C653" s="4" t="s">
        <v>404</v>
      </c>
      <c r="D653" s="1">
        <v>77.88</v>
      </c>
      <c r="H653" s="4" t="s">
        <v>25</v>
      </c>
    </row>
    <row r="654" spans="3:8" x14ac:dyDescent="0.3">
      <c r="C654" s="3" t="s">
        <v>1993</v>
      </c>
      <c r="D654" s="1">
        <v>11.992000000000001</v>
      </c>
      <c r="H654" s="5" t="s">
        <v>3931</v>
      </c>
    </row>
    <row r="655" spans="3:8" x14ac:dyDescent="0.3">
      <c r="C655" s="4" t="s">
        <v>1677</v>
      </c>
      <c r="D655" s="1">
        <v>11.992000000000001</v>
      </c>
      <c r="H655" s="3" t="s">
        <v>4100</v>
      </c>
    </row>
    <row r="656" spans="3:8" x14ac:dyDescent="0.3">
      <c r="C656" s="3" t="s">
        <v>18</v>
      </c>
      <c r="D656" s="1">
        <v>261.95999999999998</v>
      </c>
      <c r="H656" s="4" t="s">
        <v>25</v>
      </c>
    </row>
    <row r="657" spans="3:8" x14ac:dyDescent="0.3">
      <c r="C657" s="4" t="s">
        <v>19</v>
      </c>
      <c r="D657" s="1">
        <v>261.95999999999998</v>
      </c>
      <c r="H657" s="5" t="s">
        <v>4101</v>
      </c>
    </row>
    <row r="658" spans="3:8" x14ac:dyDescent="0.3">
      <c r="C658" s="3" t="s">
        <v>2556</v>
      </c>
      <c r="D658" s="1">
        <v>287.52</v>
      </c>
      <c r="H658" s="3" t="s">
        <v>2733</v>
      </c>
    </row>
    <row r="659" spans="3:8" x14ac:dyDescent="0.3">
      <c r="C659" s="4" t="s">
        <v>2221</v>
      </c>
      <c r="D659" s="1">
        <v>287.52</v>
      </c>
      <c r="H659" s="4" t="s">
        <v>25</v>
      </c>
    </row>
    <row r="660" spans="3:8" x14ac:dyDescent="0.3">
      <c r="C660" s="3" t="s">
        <v>2148</v>
      </c>
      <c r="D660" s="1">
        <v>5.16</v>
      </c>
      <c r="H660" s="5" t="s">
        <v>2734</v>
      </c>
    </row>
    <row r="661" spans="3:8" x14ac:dyDescent="0.3">
      <c r="C661" s="4" t="s">
        <v>229</v>
      </c>
      <c r="D661" s="1">
        <v>5.16</v>
      </c>
      <c r="H661" s="3" t="s">
        <v>3724</v>
      </c>
    </row>
    <row r="662" spans="3:8" x14ac:dyDescent="0.3">
      <c r="C662" s="3" t="s">
        <v>2628</v>
      </c>
      <c r="D662" s="1">
        <v>839.98800000000006</v>
      </c>
      <c r="H662" s="4" t="s">
        <v>25</v>
      </c>
    </row>
    <row r="663" spans="3:8" x14ac:dyDescent="0.3">
      <c r="C663" s="4" t="s">
        <v>1463</v>
      </c>
      <c r="D663" s="1">
        <v>839.98800000000006</v>
      </c>
      <c r="H663" s="5" t="s">
        <v>3725</v>
      </c>
    </row>
    <row r="664" spans="3:8" x14ac:dyDescent="0.3">
      <c r="C664" s="3" t="s">
        <v>611</v>
      </c>
      <c r="D664" s="1">
        <v>28.4</v>
      </c>
      <c r="H664" s="3" t="s">
        <v>1968</v>
      </c>
    </row>
    <row r="665" spans="3:8" x14ac:dyDescent="0.3">
      <c r="C665" s="4" t="s">
        <v>612</v>
      </c>
      <c r="D665" s="1">
        <v>28.4</v>
      </c>
      <c r="H665" s="4" t="s">
        <v>25</v>
      </c>
    </row>
    <row r="666" spans="3:8" x14ac:dyDescent="0.3">
      <c r="C666" s="3" t="s">
        <v>2697</v>
      </c>
      <c r="D666" s="1">
        <v>20.82</v>
      </c>
      <c r="H666" s="5" t="s">
        <v>1969</v>
      </c>
    </row>
    <row r="667" spans="3:8" x14ac:dyDescent="0.3">
      <c r="C667" s="4" t="s">
        <v>2420</v>
      </c>
      <c r="D667" s="1">
        <v>20.82</v>
      </c>
      <c r="H667" s="3" t="s">
        <v>3221</v>
      </c>
    </row>
    <row r="668" spans="3:8" x14ac:dyDescent="0.3">
      <c r="C668" s="3" t="s">
        <v>845</v>
      </c>
      <c r="D668" s="1">
        <v>321.56799999999998</v>
      </c>
      <c r="H668" s="4" t="s">
        <v>25</v>
      </c>
    </row>
    <row r="669" spans="3:8" x14ac:dyDescent="0.3">
      <c r="C669" s="4" t="s">
        <v>77</v>
      </c>
      <c r="D669" s="1">
        <v>321.56799999999998</v>
      </c>
      <c r="H669" s="5" t="s">
        <v>3222</v>
      </c>
    </row>
    <row r="670" spans="3:8" x14ac:dyDescent="0.3">
      <c r="C670" s="3" t="s">
        <v>4124</v>
      </c>
      <c r="D670" s="1">
        <v>10.56</v>
      </c>
      <c r="H670" s="3" t="s">
        <v>148</v>
      </c>
    </row>
    <row r="671" spans="3:8" x14ac:dyDescent="0.3">
      <c r="C671" s="4" t="s">
        <v>4125</v>
      </c>
      <c r="D671" s="1">
        <v>10.56</v>
      </c>
      <c r="H671" s="4" t="s">
        <v>25</v>
      </c>
    </row>
    <row r="672" spans="3:8" x14ac:dyDescent="0.3">
      <c r="C672" s="3" t="s">
        <v>1122</v>
      </c>
      <c r="D672" s="1">
        <v>23.2</v>
      </c>
      <c r="H672" s="5" t="s">
        <v>149</v>
      </c>
    </row>
    <row r="673" spans="3:8" x14ac:dyDescent="0.3">
      <c r="C673" s="4" t="s">
        <v>1123</v>
      </c>
      <c r="D673" s="1">
        <v>23.2</v>
      </c>
      <c r="H673" s="3" t="s">
        <v>3448</v>
      </c>
    </row>
    <row r="674" spans="3:8" x14ac:dyDescent="0.3">
      <c r="C674" s="3" t="s">
        <v>3858</v>
      </c>
      <c r="D674" s="1">
        <v>102.592</v>
      </c>
      <c r="H674" s="4" t="s">
        <v>25</v>
      </c>
    </row>
    <row r="675" spans="3:8" x14ac:dyDescent="0.3">
      <c r="C675" s="4" t="s">
        <v>2877</v>
      </c>
      <c r="D675" s="1">
        <v>102.592</v>
      </c>
      <c r="H675" s="5" t="s">
        <v>3449</v>
      </c>
    </row>
    <row r="676" spans="3:8" x14ac:dyDescent="0.3">
      <c r="C676" s="3" t="s">
        <v>3232</v>
      </c>
      <c r="D676" s="1">
        <v>863.64</v>
      </c>
      <c r="H676" s="3" t="s">
        <v>3301</v>
      </c>
    </row>
    <row r="677" spans="3:8" x14ac:dyDescent="0.3">
      <c r="C677" s="4" t="s">
        <v>3233</v>
      </c>
      <c r="D677" s="1">
        <v>863.64</v>
      </c>
      <c r="H677" s="4" t="s">
        <v>25</v>
      </c>
    </row>
    <row r="678" spans="3:8" x14ac:dyDescent="0.3">
      <c r="C678" s="3" t="s">
        <v>692</v>
      </c>
      <c r="D678" s="1">
        <v>37.223999999999997</v>
      </c>
      <c r="H678" s="5" t="s">
        <v>3302</v>
      </c>
    </row>
    <row r="679" spans="3:8" x14ac:dyDescent="0.3">
      <c r="C679" s="4" t="s">
        <v>693</v>
      </c>
      <c r="D679" s="1">
        <v>37.223999999999997</v>
      </c>
      <c r="H679" s="3" t="s">
        <v>3984</v>
      </c>
    </row>
    <row r="680" spans="3:8" x14ac:dyDescent="0.3">
      <c r="C680" s="3" t="s">
        <v>3016</v>
      </c>
      <c r="D680" s="1">
        <v>19.440000000000001</v>
      </c>
      <c r="H680" s="4" t="s">
        <v>25</v>
      </c>
    </row>
    <row r="681" spans="3:8" x14ac:dyDescent="0.3">
      <c r="C681" s="4" t="s">
        <v>3017</v>
      </c>
      <c r="D681" s="1">
        <v>19.440000000000001</v>
      </c>
      <c r="H681" s="5" t="s">
        <v>3985</v>
      </c>
    </row>
    <row r="682" spans="3:8" x14ac:dyDescent="0.3">
      <c r="C682" s="3" t="s">
        <v>4268</v>
      </c>
      <c r="D682" s="1">
        <v>90.882000000000005</v>
      </c>
      <c r="H682" s="3" t="s">
        <v>3784</v>
      </c>
    </row>
    <row r="683" spans="3:8" x14ac:dyDescent="0.3">
      <c r="C683" s="4" t="s">
        <v>4269</v>
      </c>
      <c r="D683" s="1">
        <v>90.882000000000005</v>
      </c>
      <c r="H683" s="4" t="s">
        <v>25</v>
      </c>
    </row>
    <row r="684" spans="3:8" x14ac:dyDescent="0.3">
      <c r="C684" s="3" t="s">
        <v>831</v>
      </c>
      <c r="D684" s="1">
        <v>25.92</v>
      </c>
      <c r="H684" s="5" t="s">
        <v>3785</v>
      </c>
    </row>
    <row r="685" spans="3:8" x14ac:dyDescent="0.3">
      <c r="C685" s="4" t="s">
        <v>289</v>
      </c>
      <c r="D685" s="1">
        <v>25.92</v>
      </c>
      <c r="H685" s="3" t="s">
        <v>3854</v>
      </c>
    </row>
    <row r="686" spans="3:8" x14ac:dyDescent="0.3">
      <c r="C686" s="3" t="s">
        <v>3164</v>
      </c>
      <c r="D686" s="1">
        <v>140.81</v>
      </c>
      <c r="H686" s="4" t="s">
        <v>25</v>
      </c>
    </row>
    <row r="687" spans="3:8" x14ac:dyDescent="0.3">
      <c r="C687" s="4" t="s">
        <v>2603</v>
      </c>
      <c r="D687" s="1">
        <v>140.81</v>
      </c>
      <c r="H687" s="5" t="s">
        <v>3855</v>
      </c>
    </row>
    <row r="688" spans="3:8" x14ac:dyDescent="0.3">
      <c r="C688" s="3" t="s">
        <v>2185</v>
      </c>
      <c r="D688" s="1">
        <v>1141.47</v>
      </c>
      <c r="H688" s="3" t="s">
        <v>2641</v>
      </c>
    </row>
    <row r="689" spans="3:8" x14ac:dyDescent="0.3">
      <c r="C689" s="4" t="s">
        <v>1095</v>
      </c>
      <c r="D689" s="1">
        <v>1141.47</v>
      </c>
      <c r="H689" s="4" t="s">
        <v>25</v>
      </c>
    </row>
    <row r="690" spans="3:8" x14ac:dyDescent="0.3">
      <c r="C690" s="3" t="s">
        <v>411</v>
      </c>
      <c r="D690" s="1">
        <v>64.623999999999995</v>
      </c>
      <c r="H690" s="5" t="s">
        <v>2642</v>
      </c>
    </row>
    <row r="691" spans="3:8" x14ac:dyDescent="0.3">
      <c r="C691" s="4" t="s">
        <v>412</v>
      </c>
      <c r="D691" s="1">
        <v>64.623999999999995</v>
      </c>
      <c r="H691" s="3" t="s">
        <v>2427</v>
      </c>
    </row>
    <row r="692" spans="3:8" x14ac:dyDescent="0.3">
      <c r="C692" s="3" t="s">
        <v>567</v>
      </c>
      <c r="D692" s="1">
        <v>157.91999999999999</v>
      </c>
      <c r="H692" s="4" t="s">
        <v>25</v>
      </c>
    </row>
    <row r="693" spans="3:8" x14ac:dyDescent="0.3">
      <c r="C693" s="4" t="s">
        <v>211</v>
      </c>
      <c r="D693" s="1">
        <v>157.91999999999999</v>
      </c>
      <c r="H693" s="5" t="s">
        <v>2428</v>
      </c>
    </row>
    <row r="694" spans="3:8" x14ac:dyDescent="0.3">
      <c r="C694" s="3" t="s">
        <v>358</v>
      </c>
      <c r="D694" s="1">
        <v>158.36799999999999</v>
      </c>
      <c r="H694" s="3" t="s">
        <v>3424</v>
      </c>
    </row>
    <row r="695" spans="3:8" x14ac:dyDescent="0.3">
      <c r="C695" s="4" t="s">
        <v>359</v>
      </c>
      <c r="D695" s="1">
        <v>158.36799999999999</v>
      </c>
      <c r="H695" s="4" t="s">
        <v>25</v>
      </c>
    </row>
    <row r="696" spans="3:8" x14ac:dyDescent="0.3">
      <c r="C696" s="3" t="s">
        <v>3453</v>
      </c>
      <c r="D696" s="1">
        <v>2.6320000000000001</v>
      </c>
      <c r="H696" s="5" t="s">
        <v>3425</v>
      </c>
    </row>
    <row r="697" spans="3:8" x14ac:dyDescent="0.3">
      <c r="C697" s="4" t="s">
        <v>1951</v>
      </c>
      <c r="D697" s="1">
        <v>2.6320000000000001</v>
      </c>
      <c r="H697" s="3" t="s">
        <v>607</v>
      </c>
    </row>
    <row r="698" spans="3:8" x14ac:dyDescent="0.3">
      <c r="C698" s="3" t="s">
        <v>4233</v>
      </c>
      <c r="D698" s="1">
        <v>319.92</v>
      </c>
      <c r="H698" s="4" t="s">
        <v>25</v>
      </c>
    </row>
    <row r="699" spans="3:8" x14ac:dyDescent="0.3">
      <c r="C699" s="4" t="s">
        <v>2870</v>
      </c>
      <c r="D699" s="1">
        <v>319.92</v>
      </c>
      <c r="H699" s="5" t="s">
        <v>608</v>
      </c>
    </row>
    <row r="700" spans="3:8" x14ac:dyDescent="0.3">
      <c r="C700" s="3" t="s">
        <v>1817</v>
      </c>
      <c r="D700" s="1">
        <v>316</v>
      </c>
      <c r="H700" s="3" t="s">
        <v>1411</v>
      </c>
    </row>
    <row r="701" spans="3:8" x14ac:dyDescent="0.3">
      <c r="C701" s="4" t="s">
        <v>247</v>
      </c>
      <c r="D701" s="1">
        <v>316</v>
      </c>
      <c r="H701" s="4" t="s">
        <v>25</v>
      </c>
    </row>
    <row r="702" spans="3:8" x14ac:dyDescent="0.3">
      <c r="C702" s="3" t="s">
        <v>75</v>
      </c>
      <c r="D702" s="1">
        <v>407.976</v>
      </c>
      <c r="H702" s="5" t="s">
        <v>1412</v>
      </c>
    </row>
    <row r="703" spans="3:8" x14ac:dyDescent="0.3">
      <c r="C703" s="4" t="s">
        <v>76</v>
      </c>
      <c r="D703" s="1">
        <v>407.976</v>
      </c>
      <c r="H703" s="3" t="s">
        <v>2129</v>
      </c>
    </row>
    <row r="704" spans="3:8" x14ac:dyDescent="0.3">
      <c r="C704" s="3" t="s">
        <v>2127</v>
      </c>
      <c r="D704" s="1">
        <v>37.44</v>
      </c>
      <c r="H704" s="4" t="s">
        <v>25</v>
      </c>
    </row>
    <row r="705" spans="3:8" x14ac:dyDescent="0.3">
      <c r="C705" s="4" t="s">
        <v>620</v>
      </c>
      <c r="D705" s="1">
        <v>37.44</v>
      </c>
      <c r="H705" s="5" t="s">
        <v>2130</v>
      </c>
    </row>
    <row r="706" spans="3:8" x14ac:dyDescent="0.3">
      <c r="C706" s="3" t="s">
        <v>2493</v>
      </c>
      <c r="D706" s="1">
        <v>40.880000000000003</v>
      </c>
      <c r="H706" s="3" t="s">
        <v>3655</v>
      </c>
    </row>
    <row r="707" spans="3:8" x14ac:dyDescent="0.3">
      <c r="C707" s="4" t="s">
        <v>2172</v>
      </c>
      <c r="D707" s="1">
        <v>40.880000000000003</v>
      </c>
      <c r="H707" s="4" t="s">
        <v>25</v>
      </c>
    </row>
    <row r="708" spans="3:8" x14ac:dyDescent="0.3">
      <c r="C708" s="3" t="s">
        <v>1725</v>
      </c>
      <c r="D708" s="1">
        <v>15.712</v>
      </c>
      <c r="H708" s="5" t="s">
        <v>3656</v>
      </c>
    </row>
    <row r="709" spans="3:8" x14ac:dyDescent="0.3">
      <c r="C709" s="4" t="s">
        <v>1726</v>
      </c>
      <c r="D709" s="1">
        <v>15.712</v>
      </c>
      <c r="H709" s="3" t="s">
        <v>3576</v>
      </c>
    </row>
    <row r="710" spans="3:8" x14ac:dyDescent="0.3">
      <c r="C710" s="3" t="s">
        <v>1042</v>
      </c>
      <c r="D710" s="1">
        <v>99.99</v>
      </c>
      <c r="H710" s="4" t="s">
        <v>25</v>
      </c>
    </row>
    <row r="711" spans="3:8" x14ac:dyDescent="0.3">
      <c r="C711" s="4" t="s">
        <v>1043</v>
      </c>
      <c r="D711" s="1">
        <v>99.99</v>
      </c>
      <c r="H711" s="5" t="s">
        <v>3577</v>
      </c>
    </row>
    <row r="712" spans="3:8" x14ac:dyDescent="0.3">
      <c r="C712" s="3" t="s">
        <v>598</v>
      </c>
      <c r="D712" s="1">
        <v>5.98</v>
      </c>
      <c r="H712" s="3" t="s">
        <v>1548</v>
      </c>
    </row>
    <row r="713" spans="3:8" x14ac:dyDescent="0.3">
      <c r="C713" s="4" t="s">
        <v>599</v>
      </c>
      <c r="D713" s="1">
        <v>5.98</v>
      </c>
      <c r="H713" s="4" t="s">
        <v>25</v>
      </c>
    </row>
    <row r="714" spans="3:8" x14ac:dyDescent="0.3">
      <c r="C714" s="3" t="s">
        <v>4041</v>
      </c>
      <c r="D714" s="1">
        <v>27.384</v>
      </c>
      <c r="H714" s="5" t="s">
        <v>1549</v>
      </c>
    </row>
    <row r="715" spans="3:8" x14ac:dyDescent="0.3">
      <c r="C715" s="4" t="s">
        <v>4042</v>
      </c>
      <c r="D715" s="1">
        <v>27.384</v>
      </c>
      <c r="H715" s="3" t="s">
        <v>406</v>
      </c>
    </row>
    <row r="716" spans="3:8" x14ac:dyDescent="0.3">
      <c r="C716" s="3" t="s">
        <v>1855</v>
      </c>
      <c r="D716" s="1">
        <v>14.352</v>
      </c>
      <c r="H716" s="4" t="s">
        <v>25</v>
      </c>
    </row>
    <row r="717" spans="3:8" x14ac:dyDescent="0.3">
      <c r="C717" s="4" t="s">
        <v>1856</v>
      </c>
      <c r="D717" s="1">
        <v>14.352</v>
      </c>
      <c r="H717" s="5" t="s">
        <v>407</v>
      </c>
    </row>
    <row r="718" spans="3:8" x14ac:dyDescent="0.3">
      <c r="C718" s="3" t="s">
        <v>3127</v>
      </c>
      <c r="D718" s="1">
        <v>69.930000000000007</v>
      </c>
      <c r="H718" s="3" t="s">
        <v>2066</v>
      </c>
    </row>
    <row r="719" spans="3:8" x14ac:dyDescent="0.3">
      <c r="C719" s="4" t="s">
        <v>3128</v>
      </c>
      <c r="D719" s="1">
        <v>69.930000000000007</v>
      </c>
      <c r="H719" s="4" t="s">
        <v>25</v>
      </c>
    </row>
    <row r="720" spans="3:8" x14ac:dyDescent="0.3">
      <c r="C720" s="3" t="s">
        <v>2251</v>
      </c>
      <c r="D720" s="1">
        <v>12.992000000000001</v>
      </c>
      <c r="H720" s="5" t="s">
        <v>2067</v>
      </c>
    </row>
    <row r="721" spans="3:8" x14ac:dyDescent="0.3">
      <c r="C721" s="4" t="s">
        <v>2252</v>
      </c>
      <c r="D721" s="1">
        <v>12.992000000000001</v>
      </c>
      <c r="H721" s="3" t="s">
        <v>204</v>
      </c>
    </row>
    <row r="722" spans="3:8" x14ac:dyDescent="0.3">
      <c r="C722" s="3" t="s">
        <v>3575</v>
      </c>
      <c r="D722" s="1">
        <v>1349.85</v>
      </c>
      <c r="H722" s="4" t="s">
        <v>25</v>
      </c>
    </row>
    <row r="723" spans="3:8" x14ac:dyDescent="0.3">
      <c r="C723" s="4" t="s">
        <v>289</v>
      </c>
      <c r="D723" s="1">
        <v>1349.85</v>
      </c>
      <c r="H723" s="5" t="s">
        <v>205</v>
      </c>
    </row>
    <row r="724" spans="3:8" x14ac:dyDescent="0.3">
      <c r="C724" s="3" t="s">
        <v>2508</v>
      </c>
      <c r="D724" s="1">
        <v>3.15</v>
      </c>
      <c r="H724" s="3" t="s">
        <v>1037</v>
      </c>
    </row>
    <row r="725" spans="3:8" x14ac:dyDescent="0.3">
      <c r="C725" s="4" t="s">
        <v>1791</v>
      </c>
      <c r="D725" s="1">
        <v>3.15</v>
      </c>
      <c r="H725" s="4" t="s">
        <v>25</v>
      </c>
    </row>
    <row r="726" spans="3:8" x14ac:dyDescent="0.3">
      <c r="C726" s="3" t="s">
        <v>1355</v>
      </c>
      <c r="D726" s="1">
        <v>59.52</v>
      </c>
      <c r="H726" s="5" t="s">
        <v>1038</v>
      </c>
    </row>
    <row r="727" spans="3:8" x14ac:dyDescent="0.3">
      <c r="C727" s="4" t="s">
        <v>1356</v>
      </c>
      <c r="D727" s="1">
        <v>59.52</v>
      </c>
      <c r="H727" s="3" t="s">
        <v>2740</v>
      </c>
    </row>
    <row r="728" spans="3:8" x14ac:dyDescent="0.3">
      <c r="C728" s="3" t="s">
        <v>4286</v>
      </c>
      <c r="D728" s="1">
        <v>1439.9680000000001</v>
      </c>
      <c r="H728" s="4" t="s">
        <v>25</v>
      </c>
    </row>
    <row r="729" spans="3:8" x14ac:dyDescent="0.3">
      <c r="C729" s="4" t="s">
        <v>4287</v>
      </c>
      <c r="D729" s="1">
        <v>1439.9680000000001</v>
      </c>
      <c r="H729" s="5" t="s">
        <v>2741</v>
      </c>
    </row>
    <row r="730" spans="3:8" x14ac:dyDescent="0.3">
      <c r="C730" s="3" t="s">
        <v>1530</v>
      </c>
      <c r="D730" s="1">
        <v>979.95</v>
      </c>
      <c r="H730" s="3" t="s">
        <v>2558</v>
      </c>
    </row>
    <row r="731" spans="3:8" x14ac:dyDescent="0.3">
      <c r="C731" s="4" t="s">
        <v>1531</v>
      </c>
      <c r="D731" s="1">
        <v>979.95</v>
      </c>
      <c r="H731" s="4" t="s">
        <v>25</v>
      </c>
    </row>
    <row r="732" spans="3:8" x14ac:dyDescent="0.3">
      <c r="C732" s="3" t="s">
        <v>1441</v>
      </c>
      <c r="D732" s="1">
        <v>93.98</v>
      </c>
      <c r="H732" s="5" t="s">
        <v>2559</v>
      </c>
    </row>
    <row r="733" spans="3:8" x14ac:dyDescent="0.3">
      <c r="C733" s="4" t="s">
        <v>1442</v>
      </c>
      <c r="D733" s="1">
        <v>93.98</v>
      </c>
      <c r="H733" s="3" t="s">
        <v>3960</v>
      </c>
    </row>
    <row r="734" spans="3:8" x14ac:dyDescent="0.3">
      <c r="C734" s="3" t="s">
        <v>228</v>
      </c>
      <c r="D734" s="1">
        <v>45</v>
      </c>
      <c r="H734" s="4" t="s">
        <v>25</v>
      </c>
    </row>
    <row r="735" spans="3:8" x14ac:dyDescent="0.3">
      <c r="C735" s="4" t="s">
        <v>229</v>
      </c>
      <c r="D735" s="1">
        <v>45</v>
      </c>
      <c r="H735" s="5" t="s">
        <v>3961</v>
      </c>
    </row>
    <row r="736" spans="3:8" x14ac:dyDescent="0.3">
      <c r="C736" s="3" t="s">
        <v>2342</v>
      </c>
      <c r="D736" s="1">
        <v>27.968</v>
      </c>
      <c r="H736" s="3" t="s">
        <v>724</v>
      </c>
    </row>
    <row r="737" spans="3:8" x14ac:dyDescent="0.3">
      <c r="C737" s="4" t="s">
        <v>2343</v>
      </c>
      <c r="D737" s="1">
        <v>27.968</v>
      </c>
      <c r="H737" s="4" t="s">
        <v>25</v>
      </c>
    </row>
    <row r="738" spans="3:8" x14ac:dyDescent="0.3">
      <c r="C738" s="3" t="s">
        <v>2679</v>
      </c>
      <c r="D738" s="1">
        <v>12.48</v>
      </c>
      <c r="H738" s="5" t="s">
        <v>725</v>
      </c>
    </row>
    <row r="739" spans="3:8" x14ac:dyDescent="0.3">
      <c r="C739" s="4" t="s">
        <v>1132</v>
      </c>
      <c r="D739" s="1">
        <v>12.48</v>
      </c>
      <c r="H739" s="3" t="s">
        <v>3081</v>
      </c>
    </row>
    <row r="740" spans="3:8" x14ac:dyDescent="0.3">
      <c r="C740" s="3" t="s">
        <v>2759</v>
      </c>
      <c r="D740" s="1">
        <v>29.78</v>
      </c>
      <c r="H740" s="4" t="s">
        <v>25</v>
      </c>
    </row>
    <row r="741" spans="3:8" x14ac:dyDescent="0.3">
      <c r="C741" s="4" t="s">
        <v>2760</v>
      </c>
      <c r="D741" s="1">
        <v>29.78</v>
      </c>
      <c r="H741" s="5" t="s">
        <v>3082</v>
      </c>
    </row>
    <row r="742" spans="3:8" x14ac:dyDescent="0.3">
      <c r="C742" s="3" t="s">
        <v>3558</v>
      </c>
      <c r="D742" s="1">
        <v>821.88</v>
      </c>
      <c r="H742" s="3" t="s">
        <v>688</v>
      </c>
    </row>
    <row r="743" spans="3:8" x14ac:dyDescent="0.3">
      <c r="C743" s="4" t="s">
        <v>1567</v>
      </c>
      <c r="D743" s="1">
        <v>821.88</v>
      </c>
      <c r="H743" s="4" t="s">
        <v>25</v>
      </c>
    </row>
    <row r="744" spans="3:8" x14ac:dyDescent="0.3">
      <c r="C744" s="3" t="s">
        <v>2098</v>
      </c>
      <c r="D744" s="1">
        <v>239.97</v>
      </c>
      <c r="H744" s="5" t="s">
        <v>689</v>
      </c>
    </row>
    <row r="745" spans="3:8" x14ac:dyDescent="0.3">
      <c r="C745" s="4" t="s">
        <v>398</v>
      </c>
      <c r="D745" s="1">
        <v>239.97</v>
      </c>
      <c r="H745" s="3" t="s">
        <v>1778</v>
      </c>
    </row>
    <row r="746" spans="3:8" x14ac:dyDescent="0.3">
      <c r="C746" s="3" t="s">
        <v>1202</v>
      </c>
      <c r="D746" s="1">
        <v>23.36</v>
      </c>
      <c r="H746" s="4" t="s">
        <v>25</v>
      </c>
    </row>
    <row r="747" spans="3:8" x14ac:dyDescent="0.3">
      <c r="C747" s="4" t="s">
        <v>315</v>
      </c>
      <c r="D747" s="1">
        <v>23.36</v>
      </c>
      <c r="H747" s="5" t="s">
        <v>1779</v>
      </c>
    </row>
    <row r="748" spans="3:8" x14ac:dyDescent="0.3">
      <c r="C748" s="3" t="s">
        <v>1579</v>
      </c>
      <c r="D748" s="1">
        <v>10.824</v>
      </c>
      <c r="H748" s="3" t="s">
        <v>2484</v>
      </c>
    </row>
    <row r="749" spans="3:8" x14ac:dyDescent="0.3">
      <c r="C749" s="4" t="s">
        <v>1580</v>
      </c>
      <c r="D749" s="1">
        <v>10.824</v>
      </c>
      <c r="H749" s="4" t="s">
        <v>25</v>
      </c>
    </row>
    <row r="750" spans="3:8" x14ac:dyDescent="0.3">
      <c r="C750" s="3" t="s">
        <v>2303</v>
      </c>
      <c r="D750" s="1">
        <v>4.7519999999999998</v>
      </c>
      <c r="H750" s="5" t="s">
        <v>2485</v>
      </c>
    </row>
    <row r="751" spans="3:8" x14ac:dyDescent="0.3">
      <c r="C751" s="4" t="s">
        <v>2304</v>
      </c>
      <c r="D751" s="1">
        <v>4.7519999999999998</v>
      </c>
      <c r="H751" s="3" t="s">
        <v>1619</v>
      </c>
    </row>
    <row r="752" spans="3:8" x14ac:dyDescent="0.3">
      <c r="C752" s="3" t="s">
        <v>1223</v>
      </c>
      <c r="D752" s="1">
        <v>75.792000000000002</v>
      </c>
      <c r="H752" s="4" t="s">
        <v>25</v>
      </c>
    </row>
    <row r="753" spans="3:8" x14ac:dyDescent="0.3">
      <c r="C753" s="4" t="s">
        <v>1224</v>
      </c>
      <c r="D753" s="1">
        <v>75.792000000000002</v>
      </c>
      <c r="H753" s="5" t="s">
        <v>1620</v>
      </c>
    </row>
    <row r="754" spans="3:8" x14ac:dyDescent="0.3">
      <c r="C754" s="3" t="s">
        <v>3072</v>
      </c>
      <c r="D754" s="1">
        <v>307.666</v>
      </c>
      <c r="H754" s="3" t="s">
        <v>3820</v>
      </c>
    </row>
    <row r="755" spans="3:8" x14ac:dyDescent="0.3">
      <c r="C755" s="4" t="s">
        <v>3073</v>
      </c>
      <c r="D755" s="1">
        <v>307.666</v>
      </c>
      <c r="H755" s="4" t="s">
        <v>25</v>
      </c>
    </row>
    <row r="756" spans="3:8" x14ac:dyDescent="0.3">
      <c r="C756" s="3" t="s">
        <v>4006</v>
      </c>
      <c r="D756" s="1">
        <v>9.4079999999999995</v>
      </c>
      <c r="H756" s="5" t="s">
        <v>3821</v>
      </c>
    </row>
    <row r="757" spans="3:8" x14ac:dyDescent="0.3">
      <c r="C757" s="4" t="s">
        <v>4007</v>
      </c>
      <c r="D757" s="1">
        <v>9.4079999999999995</v>
      </c>
      <c r="H757" s="3" t="s">
        <v>2136</v>
      </c>
    </row>
    <row r="758" spans="3:8" x14ac:dyDescent="0.3">
      <c r="C758" s="3" t="s">
        <v>2029</v>
      </c>
      <c r="D758" s="1">
        <v>18.28</v>
      </c>
      <c r="H758" s="4" t="s">
        <v>25</v>
      </c>
    </row>
    <row r="759" spans="3:8" x14ac:dyDescent="0.3">
      <c r="C759" s="4" t="s">
        <v>2030</v>
      </c>
      <c r="D759" s="1">
        <v>18.28</v>
      </c>
      <c r="H759" s="5" t="s">
        <v>2137</v>
      </c>
    </row>
    <row r="760" spans="3:8" x14ac:dyDescent="0.3">
      <c r="C760" s="3" t="s">
        <v>1130</v>
      </c>
      <c r="D760" s="1">
        <v>25.92</v>
      </c>
      <c r="H760" s="3" t="s">
        <v>2235</v>
      </c>
    </row>
    <row r="761" spans="3:8" x14ac:dyDescent="0.3">
      <c r="C761" s="4" t="s">
        <v>1131</v>
      </c>
      <c r="D761" s="1">
        <v>25.92</v>
      </c>
      <c r="H761" s="4" t="s">
        <v>25</v>
      </c>
    </row>
    <row r="762" spans="3:8" x14ac:dyDescent="0.3">
      <c r="C762" s="3" t="s">
        <v>728</v>
      </c>
      <c r="D762" s="1">
        <v>21.744</v>
      </c>
      <c r="H762" s="5" t="s">
        <v>2236</v>
      </c>
    </row>
    <row r="763" spans="3:8" x14ac:dyDescent="0.3">
      <c r="C763" s="4" t="s">
        <v>729</v>
      </c>
      <c r="D763" s="1">
        <v>21.744</v>
      </c>
      <c r="H763" s="3" t="s">
        <v>3669</v>
      </c>
    </row>
    <row r="764" spans="3:8" x14ac:dyDescent="0.3">
      <c r="C764" s="3" t="s">
        <v>2070</v>
      </c>
      <c r="D764" s="1">
        <v>22.23</v>
      </c>
      <c r="H764" s="4" t="s">
        <v>25</v>
      </c>
    </row>
    <row r="765" spans="3:8" x14ac:dyDescent="0.3">
      <c r="C765" s="4" t="s">
        <v>2071</v>
      </c>
      <c r="D765" s="1">
        <v>22.23</v>
      </c>
      <c r="H765" s="5" t="s">
        <v>3670</v>
      </c>
    </row>
    <row r="766" spans="3:8" x14ac:dyDescent="0.3">
      <c r="C766" s="3" t="s">
        <v>3211</v>
      </c>
      <c r="D766" s="1">
        <v>18.96</v>
      </c>
      <c r="H766" s="3" t="s">
        <v>1734</v>
      </c>
    </row>
    <row r="767" spans="3:8" x14ac:dyDescent="0.3">
      <c r="C767" s="4" t="s">
        <v>3212</v>
      </c>
      <c r="D767" s="1">
        <v>18.96</v>
      </c>
      <c r="H767" s="4" t="s">
        <v>25</v>
      </c>
    </row>
    <row r="768" spans="3:8" x14ac:dyDescent="0.3">
      <c r="C768" s="3" t="s">
        <v>2737</v>
      </c>
      <c r="D768" s="1">
        <v>87.92</v>
      </c>
      <c r="H768" s="5" t="s">
        <v>1735</v>
      </c>
    </row>
    <row r="769" spans="3:8" x14ac:dyDescent="0.3">
      <c r="C769" s="4" t="s">
        <v>2738</v>
      </c>
      <c r="D769" s="1">
        <v>87.92</v>
      </c>
      <c r="H769" s="3" t="s">
        <v>484</v>
      </c>
    </row>
    <row r="770" spans="3:8" x14ac:dyDescent="0.3">
      <c r="C770" s="3" t="s">
        <v>538</v>
      </c>
      <c r="D770" s="1">
        <v>8.82</v>
      </c>
      <c r="H770" s="4" t="s">
        <v>25</v>
      </c>
    </row>
    <row r="771" spans="3:8" x14ac:dyDescent="0.3">
      <c r="C771" s="4" t="s">
        <v>539</v>
      </c>
      <c r="D771" s="1">
        <v>8.82</v>
      </c>
      <c r="H771" s="5" t="s">
        <v>485</v>
      </c>
    </row>
    <row r="772" spans="3:8" x14ac:dyDescent="0.3">
      <c r="C772" s="3" t="s">
        <v>2843</v>
      </c>
      <c r="D772" s="1">
        <v>31.103999999999999</v>
      </c>
      <c r="H772" s="3" t="s">
        <v>3880</v>
      </c>
    </row>
    <row r="773" spans="3:8" x14ac:dyDescent="0.3">
      <c r="C773" s="4" t="s">
        <v>398</v>
      </c>
      <c r="D773" s="1">
        <v>31.103999999999999</v>
      </c>
      <c r="H773" s="4" t="s">
        <v>25</v>
      </c>
    </row>
    <row r="774" spans="3:8" x14ac:dyDescent="0.3">
      <c r="C774" s="3" t="s">
        <v>3698</v>
      </c>
      <c r="D774" s="1">
        <v>214.95</v>
      </c>
      <c r="H774" s="5" t="s">
        <v>3881</v>
      </c>
    </row>
    <row r="775" spans="3:8" x14ac:dyDescent="0.3">
      <c r="C775" s="4" t="s">
        <v>3699</v>
      </c>
      <c r="D775" s="1">
        <v>214.95</v>
      </c>
      <c r="H775" s="3" t="s">
        <v>2926</v>
      </c>
    </row>
    <row r="776" spans="3:8" x14ac:dyDescent="0.3">
      <c r="C776" s="3" t="s">
        <v>2483</v>
      </c>
      <c r="D776" s="1">
        <v>8.64</v>
      </c>
      <c r="H776" s="4" t="s">
        <v>25</v>
      </c>
    </row>
    <row r="777" spans="3:8" x14ac:dyDescent="0.3">
      <c r="C777" s="4" t="s">
        <v>1739</v>
      </c>
      <c r="D777" s="1">
        <v>8.64</v>
      </c>
      <c r="H777" s="5" t="s">
        <v>2927</v>
      </c>
    </row>
    <row r="778" spans="3:8" x14ac:dyDescent="0.3">
      <c r="C778" s="3" t="s">
        <v>2406</v>
      </c>
      <c r="D778" s="1">
        <v>11.808</v>
      </c>
      <c r="H778" s="3" t="s">
        <v>170</v>
      </c>
    </row>
    <row r="779" spans="3:8" x14ac:dyDescent="0.3">
      <c r="C779" s="4" t="s">
        <v>744</v>
      </c>
      <c r="D779" s="1">
        <v>11.808</v>
      </c>
      <c r="H779" s="4" t="s">
        <v>25</v>
      </c>
    </row>
    <row r="780" spans="3:8" x14ac:dyDescent="0.3">
      <c r="C780" s="3" t="s">
        <v>4067</v>
      </c>
      <c r="D780" s="1">
        <v>1347.52</v>
      </c>
      <c r="H780" s="5" t="s">
        <v>171</v>
      </c>
    </row>
    <row r="781" spans="3:8" x14ac:dyDescent="0.3">
      <c r="C781" s="4" t="s">
        <v>1416</v>
      </c>
      <c r="D781" s="1">
        <v>1347.52</v>
      </c>
      <c r="H781" s="3" t="s">
        <v>1045</v>
      </c>
    </row>
    <row r="782" spans="3:8" x14ac:dyDescent="0.3">
      <c r="C782" s="3" t="s">
        <v>2133</v>
      </c>
      <c r="D782" s="1">
        <v>48.896000000000001</v>
      </c>
      <c r="H782" s="4" t="s">
        <v>25</v>
      </c>
    </row>
    <row r="783" spans="3:8" x14ac:dyDescent="0.3">
      <c r="C783" s="4" t="s">
        <v>2134</v>
      </c>
      <c r="D783" s="1">
        <v>48.896000000000001</v>
      </c>
      <c r="H783" s="5" t="s">
        <v>1046</v>
      </c>
    </row>
    <row r="784" spans="3:8" x14ac:dyDescent="0.3">
      <c r="C784" s="3" t="s">
        <v>714</v>
      </c>
      <c r="D784" s="1">
        <v>46.26</v>
      </c>
      <c r="H784" s="3" t="s">
        <v>2087</v>
      </c>
    </row>
    <row r="785" spans="3:8" x14ac:dyDescent="0.3">
      <c r="C785" s="4" t="s">
        <v>381</v>
      </c>
      <c r="D785" s="1">
        <v>46.26</v>
      </c>
      <c r="H785" s="4" t="s">
        <v>25</v>
      </c>
    </row>
    <row r="786" spans="3:8" x14ac:dyDescent="0.3">
      <c r="C786" s="3" t="s">
        <v>159</v>
      </c>
      <c r="D786" s="1">
        <v>29.472000000000001</v>
      </c>
      <c r="H786" s="5" t="s">
        <v>2088</v>
      </c>
    </row>
    <row r="787" spans="3:8" x14ac:dyDescent="0.3">
      <c r="C787" s="4" t="s">
        <v>160</v>
      </c>
      <c r="D787" s="1">
        <v>29.472000000000001</v>
      </c>
      <c r="H787" s="3" t="s">
        <v>361</v>
      </c>
    </row>
    <row r="788" spans="3:8" x14ac:dyDescent="0.3">
      <c r="C788" s="3" t="s">
        <v>758</v>
      </c>
      <c r="D788" s="1">
        <v>444.76799999999997</v>
      </c>
      <c r="H788" s="4" t="s">
        <v>25</v>
      </c>
    </row>
    <row r="789" spans="3:8" x14ac:dyDescent="0.3">
      <c r="C789" s="4" t="s">
        <v>314</v>
      </c>
      <c r="D789" s="1">
        <v>444.76799999999997</v>
      </c>
      <c r="H789" s="5" t="s">
        <v>362</v>
      </c>
    </row>
    <row r="790" spans="3:8" x14ac:dyDescent="0.3">
      <c r="C790" s="3" t="s">
        <v>3592</v>
      </c>
      <c r="D790" s="1">
        <v>19.04</v>
      </c>
      <c r="H790" s="3" t="s">
        <v>4295</v>
      </c>
    </row>
    <row r="791" spans="3:8" x14ac:dyDescent="0.3">
      <c r="C791" s="4" t="s">
        <v>877</v>
      </c>
      <c r="D791" s="1">
        <v>19.04</v>
      </c>
      <c r="H791" s="4" t="s">
        <v>25</v>
      </c>
    </row>
    <row r="792" spans="3:8" x14ac:dyDescent="0.3">
      <c r="C792" s="3" t="s">
        <v>3003</v>
      </c>
      <c r="D792" s="1">
        <v>198.46</v>
      </c>
      <c r="H792" s="5" t="s">
        <v>4296</v>
      </c>
    </row>
    <row r="793" spans="3:8" x14ac:dyDescent="0.3">
      <c r="C793" s="4" t="s">
        <v>1086</v>
      </c>
      <c r="D793" s="1">
        <v>198.46</v>
      </c>
      <c r="H793" s="3" t="s">
        <v>2635</v>
      </c>
    </row>
    <row r="794" spans="3:8" x14ac:dyDescent="0.3">
      <c r="C794" s="3" t="s">
        <v>2918</v>
      </c>
      <c r="D794" s="1">
        <v>16.52</v>
      </c>
      <c r="H794" s="4" t="s">
        <v>25</v>
      </c>
    </row>
    <row r="795" spans="3:8" x14ac:dyDescent="0.3">
      <c r="C795" s="4" t="s">
        <v>2919</v>
      </c>
      <c r="D795" s="1">
        <v>16.52</v>
      </c>
      <c r="H795" s="5" t="s">
        <v>2636</v>
      </c>
    </row>
    <row r="796" spans="3:8" x14ac:dyDescent="0.3">
      <c r="C796" s="3" t="s">
        <v>2674</v>
      </c>
      <c r="D796" s="1">
        <v>6.57</v>
      </c>
      <c r="H796" s="3" t="s">
        <v>2181</v>
      </c>
    </row>
    <row r="797" spans="3:8" x14ac:dyDescent="0.3">
      <c r="C797" s="4" t="s">
        <v>2246</v>
      </c>
      <c r="D797" s="1">
        <v>6.57</v>
      </c>
      <c r="H797" s="4" t="s">
        <v>25</v>
      </c>
    </row>
    <row r="798" spans="3:8" x14ac:dyDescent="0.3">
      <c r="C798" s="3" t="s">
        <v>3257</v>
      </c>
      <c r="D798" s="1">
        <v>33.99</v>
      </c>
      <c r="H798" s="5" t="s">
        <v>2182</v>
      </c>
    </row>
    <row r="799" spans="3:8" x14ac:dyDescent="0.3">
      <c r="C799" s="4" t="s">
        <v>186</v>
      </c>
      <c r="D799" s="1">
        <v>33.99</v>
      </c>
      <c r="H799" s="3" t="s">
        <v>1863</v>
      </c>
    </row>
    <row r="800" spans="3:8" x14ac:dyDescent="0.3">
      <c r="C800" s="3" t="s">
        <v>3982</v>
      </c>
      <c r="D800" s="1">
        <v>8.82</v>
      </c>
      <c r="H800" s="4" t="s">
        <v>25</v>
      </c>
    </row>
    <row r="801" spans="3:8" x14ac:dyDescent="0.3">
      <c r="C801" s="4" t="s">
        <v>2030</v>
      </c>
      <c r="D801" s="1">
        <v>8.82</v>
      </c>
      <c r="H801" s="5" t="s">
        <v>1864</v>
      </c>
    </row>
    <row r="802" spans="3:8" x14ac:dyDescent="0.3">
      <c r="C802" s="3" t="s">
        <v>4185</v>
      </c>
      <c r="D802" s="1">
        <v>60.84</v>
      </c>
      <c r="H802" s="3" t="s">
        <v>1581</v>
      </c>
    </row>
    <row r="803" spans="3:8" x14ac:dyDescent="0.3">
      <c r="C803" s="4" t="s">
        <v>3467</v>
      </c>
      <c r="D803" s="1">
        <v>60.84</v>
      </c>
      <c r="H803" s="4" t="s">
        <v>25</v>
      </c>
    </row>
    <row r="804" spans="3:8" x14ac:dyDescent="0.3">
      <c r="C804" s="3" t="s">
        <v>3772</v>
      </c>
      <c r="D804" s="1">
        <v>219.8</v>
      </c>
      <c r="H804" s="5" t="s">
        <v>1582</v>
      </c>
    </row>
    <row r="805" spans="3:8" x14ac:dyDescent="0.3">
      <c r="C805" s="4" t="s">
        <v>766</v>
      </c>
      <c r="D805" s="1">
        <v>219.8</v>
      </c>
      <c r="H805" s="3" t="s">
        <v>1133</v>
      </c>
    </row>
    <row r="806" spans="3:8" x14ac:dyDescent="0.3">
      <c r="C806" s="3" t="s">
        <v>4073</v>
      </c>
      <c r="D806" s="1">
        <v>325.86</v>
      </c>
      <c r="H806" s="4" t="s">
        <v>25</v>
      </c>
    </row>
    <row r="807" spans="3:8" x14ac:dyDescent="0.3">
      <c r="C807" s="4" t="s">
        <v>4074</v>
      </c>
      <c r="D807" s="1">
        <v>325.86</v>
      </c>
      <c r="H807" s="5" t="s">
        <v>1134</v>
      </c>
    </row>
    <row r="808" spans="3:8" x14ac:dyDescent="0.3">
      <c r="C808" s="3" t="s">
        <v>2766</v>
      </c>
      <c r="D808" s="1">
        <v>695.7</v>
      </c>
      <c r="H808" s="3" t="s">
        <v>421</v>
      </c>
    </row>
    <row r="809" spans="3:8" x14ac:dyDescent="0.3">
      <c r="C809" s="4" t="s">
        <v>2767</v>
      </c>
      <c r="D809" s="1">
        <v>695.7</v>
      </c>
      <c r="H809" s="4" t="s">
        <v>25</v>
      </c>
    </row>
    <row r="810" spans="3:8" x14ac:dyDescent="0.3">
      <c r="C810" s="3" t="s">
        <v>1503</v>
      </c>
      <c r="D810" s="1">
        <v>683.952</v>
      </c>
      <c r="H810" s="5" t="s">
        <v>422</v>
      </c>
    </row>
    <row r="811" spans="3:8" x14ac:dyDescent="0.3">
      <c r="C811" s="4" t="s">
        <v>1504</v>
      </c>
      <c r="D811" s="1">
        <v>683.952</v>
      </c>
      <c r="H811" s="3" t="s">
        <v>2813</v>
      </c>
    </row>
    <row r="812" spans="3:8" x14ac:dyDescent="0.3">
      <c r="C812" s="3" t="s">
        <v>2270</v>
      </c>
      <c r="D812" s="1">
        <v>12.192</v>
      </c>
      <c r="H812" s="4" t="s">
        <v>25</v>
      </c>
    </row>
    <row r="813" spans="3:8" x14ac:dyDescent="0.3">
      <c r="C813" s="4" t="s">
        <v>2246</v>
      </c>
      <c r="D813" s="1">
        <v>12.192</v>
      </c>
      <c r="H813" s="5" t="s">
        <v>2814</v>
      </c>
    </row>
    <row r="814" spans="3:8" x14ac:dyDescent="0.3">
      <c r="C814" s="3" t="s">
        <v>65</v>
      </c>
      <c r="D814" s="1">
        <v>15.552</v>
      </c>
      <c r="H814" s="3" t="s">
        <v>928</v>
      </c>
    </row>
    <row r="815" spans="3:8" x14ac:dyDescent="0.3">
      <c r="C815" s="4" t="s">
        <v>66</v>
      </c>
      <c r="D815" s="1">
        <v>15.552</v>
      </c>
      <c r="H815" s="4" t="s">
        <v>25</v>
      </c>
    </row>
    <row r="816" spans="3:8" x14ac:dyDescent="0.3">
      <c r="C816" s="3" t="s">
        <v>3415</v>
      </c>
      <c r="D816" s="1">
        <v>892.98</v>
      </c>
      <c r="H816" s="5" t="s">
        <v>929</v>
      </c>
    </row>
    <row r="817" spans="3:8" x14ac:dyDescent="0.3">
      <c r="C817" s="4" t="s">
        <v>3416</v>
      </c>
      <c r="D817" s="1">
        <v>892.98</v>
      </c>
      <c r="H817" s="3" t="s">
        <v>3751</v>
      </c>
    </row>
    <row r="818" spans="3:8" x14ac:dyDescent="0.3">
      <c r="C818" s="3" t="s">
        <v>2451</v>
      </c>
      <c r="D818" s="1">
        <v>8.84</v>
      </c>
      <c r="H818" s="4" t="s">
        <v>25</v>
      </c>
    </row>
    <row r="819" spans="3:8" x14ac:dyDescent="0.3">
      <c r="C819" s="4" t="s">
        <v>2452</v>
      </c>
      <c r="D819" s="1">
        <v>8.84</v>
      </c>
      <c r="H819" s="5" t="s">
        <v>3752</v>
      </c>
    </row>
    <row r="820" spans="3:8" x14ac:dyDescent="0.3">
      <c r="C820" s="3" t="s">
        <v>2817</v>
      </c>
      <c r="D820" s="1">
        <v>37.74</v>
      </c>
      <c r="H820" s="3" t="s">
        <v>3874</v>
      </c>
    </row>
    <row r="821" spans="3:8" x14ac:dyDescent="0.3">
      <c r="C821" s="4" t="s">
        <v>2818</v>
      </c>
      <c r="D821" s="1">
        <v>37.74</v>
      </c>
      <c r="H821" s="4" t="s">
        <v>25</v>
      </c>
    </row>
    <row r="822" spans="3:8" x14ac:dyDescent="0.3">
      <c r="C822" s="3" t="s">
        <v>3835</v>
      </c>
      <c r="D822" s="1">
        <v>104.8</v>
      </c>
      <c r="H822" s="5" t="s">
        <v>3875</v>
      </c>
    </row>
    <row r="823" spans="3:8" x14ac:dyDescent="0.3">
      <c r="C823" s="4" t="s">
        <v>3836</v>
      </c>
      <c r="D823" s="1">
        <v>104.8</v>
      </c>
      <c r="H823" s="3" t="s">
        <v>2719</v>
      </c>
    </row>
    <row r="824" spans="3:8" x14ac:dyDescent="0.3">
      <c r="C824" s="3" t="s">
        <v>2661</v>
      </c>
      <c r="D824" s="1">
        <v>863.88</v>
      </c>
      <c r="H824" s="4" t="s">
        <v>25</v>
      </c>
    </row>
    <row r="825" spans="3:8" x14ac:dyDescent="0.3">
      <c r="C825" s="4" t="s">
        <v>161</v>
      </c>
      <c r="D825" s="1">
        <v>863.88</v>
      </c>
      <c r="H825" s="5" t="s">
        <v>2720</v>
      </c>
    </row>
    <row r="826" spans="3:8" x14ac:dyDescent="0.3">
      <c r="C826" s="3" t="s">
        <v>2595</v>
      </c>
      <c r="D826" s="1">
        <v>889.53599999999994</v>
      </c>
      <c r="H826" s="3" t="s">
        <v>3025</v>
      </c>
    </row>
    <row r="827" spans="3:8" x14ac:dyDescent="0.3">
      <c r="C827" s="4" t="s">
        <v>2596</v>
      </c>
      <c r="D827" s="1">
        <v>889.53599999999994</v>
      </c>
      <c r="H827" s="4" t="s">
        <v>25</v>
      </c>
    </row>
    <row r="828" spans="3:8" x14ac:dyDescent="0.3">
      <c r="C828" s="3" t="s">
        <v>1260</v>
      </c>
      <c r="D828" s="1">
        <v>1199.9760000000001</v>
      </c>
      <c r="H828" s="5" t="s">
        <v>3026</v>
      </c>
    </row>
    <row r="829" spans="3:8" x14ac:dyDescent="0.3">
      <c r="C829" s="4" t="s">
        <v>1261</v>
      </c>
      <c r="D829" s="1">
        <v>1199.9760000000001</v>
      </c>
      <c r="H829" s="3" t="s">
        <v>754</v>
      </c>
    </row>
    <row r="830" spans="3:8" x14ac:dyDescent="0.3">
      <c r="C830" s="3" t="s">
        <v>1253</v>
      </c>
      <c r="D830" s="1">
        <v>35.909999999999997</v>
      </c>
      <c r="H830" s="4" t="s">
        <v>25</v>
      </c>
    </row>
    <row r="831" spans="3:8" x14ac:dyDescent="0.3">
      <c r="C831" s="4" t="s">
        <v>1254</v>
      </c>
      <c r="D831" s="1">
        <v>35.909999999999997</v>
      </c>
      <c r="H831" s="5" t="s">
        <v>755</v>
      </c>
    </row>
    <row r="832" spans="3:8" x14ac:dyDescent="0.3">
      <c r="C832" s="3" t="s">
        <v>1746</v>
      </c>
      <c r="D832" s="1">
        <v>40.479999999999997</v>
      </c>
      <c r="H832" s="3" t="s">
        <v>2229</v>
      </c>
    </row>
    <row r="833" spans="3:8" x14ac:dyDescent="0.3">
      <c r="C833" s="4" t="s">
        <v>1747</v>
      </c>
      <c r="D833" s="1">
        <v>40.479999999999997</v>
      </c>
      <c r="H833" s="4" t="s">
        <v>25</v>
      </c>
    </row>
    <row r="834" spans="3:8" x14ac:dyDescent="0.3">
      <c r="C834" s="3" t="s">
        <v>932</v>
      </c>
      <c r="D834" s="1">
        <v>8.82</v>
      </c>
      <c r="H834" s="5" t="s">
        <v>2230</v>
      </c>
    </row>
    <row r="835" spans="3:8" x14ac:dyDescent="0.3">
      <c r="C835" s="4" t="s">
        <v>933</v>
      </c>
      <c r="D835" s="1">
        <v>8.82</v>
      </c>
      <c r="H835" s="3" t="s">
        <v>2787</v>
      </c>
    </row>
    <row r="836" spans="3:8" x14ac:dyDescent="0.3">
      <c r="C836" s="3" t="s">
        <v>1647</v>
      </c>
      <c r="D836" s="1">
        <v>8.7919999999999998</v>
      </c>
      <c r="H836" s="4" t="s">
        <v>25</v>
      </c>
    </row>
    <row r="837" spans="3:8" x14ac:dyDescent="0.3">
      <c r="C837" s="4" t="s">
        <v>1648</v>
      </c>
      <c r="D837" s="1">
        <v>8.7919999999999998</v>
      </c>
      <c r="H837" s="5" t="s">
        <v>2788</v>
      </c>
    </row>
    <row r="838" spans="3:8" x14ac:dyDescent="0.3">
      <c r="C838" s="3" t="s">
        <v>1598</v>
      </c>
      <c r="D838" s="1">
        <v>84.055999999999997</v>
      </c>
      <c r="H838" s="3" t="s">
        <v>300</v>
      </c>
    </row>
    <row r="839" spans="3:8" x14ac:dyDescent="0.3">
      <c r="C839" s="4" t="s">
        <v>1599</v>
      </c>
      <c r="D839" s="1">
        <v>84.055999999999997</v>
      </c>
      <c r="H839" s="4" t="s">
        <v>25</v>
      </c>
    </row>
    <row r="840" spans="3:8" x14ac:dyDescent="0.3">
      <c r="C840" s="3" t="s">
        <v>434</v>
      </c>
      <c r="D840" s="1">
        <v>74.111999999999995</v>
      </c>
      <c r="H840" s="5" t="s">
        <v>301</v>
      </c>
    </row>
    <row r="841" spans="3:8" x14ac:dyDescent="0.3">
      <c r="C841" s="4" t="s">
        <v>435</v>
      </c>
      <c r="D841" s="1">
        <v>74.111999999999995</v>
      </c>
      <c r="H841" s="3" t="s">
        <v>88</v>
      </c>
    </row>
    <row r="842" spans="3:8" x14ac:dyDescent="0.3">
      <c r="C842" s="3" t="s">
        <v>3710</v>
      </c>
      <c r="D842" s="1">
        <v>220.98</v>
      </c>
      <c r="H842" s="4" t="s">
        <v>25</v>
      </c>
    </row>
    <row r="843" spans="3:8" x14ac:dyDescent="0.3">
      <c r="C843" s="4" t="s">
        <v>545</v>
      </c>
      <c r="D843" s="1">
        <v>220.98</v>
      </c>
      <c r="H843" s="5" t="s">
        <v>89</v>
      </c>
    </row>
    <row r="844" spans="3:8" x14ac:dyDescent="0.3">
      <c r="C844" s="3" t="s">
        <v>185</v>
      </c>
      <c r="D844" s="1">
        <v>147.16800000000001</v>
      </c>
      <c r="H844" s="3" t="s">
        <v>2408</v>
      </c>
    </row>
    <row r="845" spans="3:8" x14ac:dyDescent="0.3">
      <c r="C845" s="4" t="s">
        <v>186</v>
      </c>
      <c r="D845" s="1">
        <v>147.16800000000001</v>
      </c>
      <c r="H845" s="4" t="s">
        <v>25</v>
      </c>
    </row>
    <row r="846" spans="3:8" x14ac:dyDescent="0.3">
      <c r="C846" s="3" t="s">
        <v>3829</v>
      </c>
      <c r="D846" s="1">
        <v>29.312000000000001</v>
      </c>
      <c r="H846" s="5" t="s">
        <v>2409</v>
      </c>
    </row>
    <row r="847" spans="3:8" x14ac:dyDescent="0.3">
      <c r="C847" s="4" t="s">
        <v>3213</v>
      </c>
      <c r="D847" s="1">
        <v>29.312000000000001</v>
      </c>
      <c r="H847" s="3" t="s">
        <v>2591</v>
      </c>
    </row>
    <row r="848" spans="3:8" x14ac:dyDescent="0.3">
      <c r="C848" s="3" t="s">
        <v>2723</v>
      </c>
      <c r="D848" s="1">
        <v>72.8</v>
      </c>
      <c r="H848" s="4" t="s">
        <v>25</v>
      </c>
    </row>
    <row r="849" spans="3:8" x14ac:dyDescent="0.3">
      <c r="C849" s="4" t="s">
        <v>2724</v>
      </c>
      <c r="D849" s="1">
        <v>72.8</v>
      </c>
      <c r="H849" s="5" t="s">
        <v>2592</v>
      </c>
    </row>
    <row r="850" spans="3:8" x14ac:dyDescent="0.3">
      <c r="C850" s="3" t="s">
        <v>2439</v>
      </c>
      <c r="D850" s="1">
        <v>23.968</v>
      </c>
      <c r="H850" s="3" t="s">
        <v>2073</v>
      </c>
    </row>
    <row r="851" spans="3:8" x14ac:dyDescent="0.3">
      <c r="C851" s="4" t="s">
        <v>1599</v>
      </c>
      <c r="D851" s="1">
        <v>23.968</v>
      </c>
      <c r="H851" s="4" t="s">
        <v>25</v>
      </c>
    </row>
    <row r="852" spans="3:8" x14ac:dyDescent="0.3">
      <c r="C852" s="3" t="s">
        <v>3422</v>
      </c>
      <c r="D852" s="1">
        <v>389.97</v>
      </c>
      <c r="H852" s="5" t="s">
        <v>2074</v>
      </c>
    </row>
    <row r="853" spans="3:8" x14ac:dyDescent="0.3">
      <c r="C853" s="4" t="s">
        <v>1648</v>
      </c>
      <c r="D853" s="1">
        <v>389.97</v>
      </c>
      <c r="H853" s="3" t="s">
        <v>3796</v>
      </c>
    </row>
    <row r="854" spans="3:8" x14ac:dyDescent="0.3">
      <c r="C854" s="3" t="s">
        <v>1274</v>
      </c>
      <c r="D854" s="1">
        <v>95.92</v>
      </c>
      <c r="H854" s="4" t="s">
        <v>25</v>
      </c>
    </row>
    <row r="855" spans="3:8" x14ac:dyDescent="0.3">
      <c r="C855" s="4" t="s">
        <v>729</v>
      </c>
      <c r="D855" s="1">
        <v>95.92</v>
      </c>
      <c r="H855" s="5" t="s">
        <v>3797</v>
      </c>
    </row>
    <row r="856" spans="3:8" x14ac:dyDescent="0.3">
      <c r="C856" s="3" t="s">
        <v>3295</v>
      </c>
      <c r="D856" s="1">
        <v>59.97</v>
      </c>
      <c r="H856" s="3" t="s">
        <v>3324</v>
      </c>
    </row>
    <row r="857" spans="3:8" x14ac:dyDescent="0.3">
      <c r="C857" s="4" t="s">
        <v>1269</v>
      </c>
      <c r="D857" s="1">
        <v>59.97</v>
      </c>
      <c r="H857" s="4" t="s">
        <v>25</v>
      </c>
    </row>
    <row r="858" spans="3:8" x14ac:dyDescent="0.3">
      <c r="C858" s="3" t="s">
        <v>3616</v>
      </c>
      <c r="D858" s="1">
        <v>477.24</v>
      </c>
      <c r="H858" s="5" t="s">
        <v>3325</v>
      </c>
    </row>
    <row r="859" spans="3:8" x14ac:dyDescent="0.3">
      <c r="C859" s="4" t="s">
        <v>2919</v>
      </c>
      <c r="D859" s="1">
        <v>477.24</v>
      </c>
      <c r="H859" s="3" t="s">
        <v>78</v>
      </c>
    </row>
    <row r="860" spans="3:8" x14ac:dyDescent="0.3">
      <c r="C860" s="3" t="s">
        <v>3066</v>
      </c>
      <c r="D860" s="1">
        <v>43.86</v>
      </c>
      <c r="H860" s="4" t="s">
        <v>25</v>
      </c>
    </row>
    <row r="861" spans="3:8" x14ac:dyDescent="0.3">
      <c r="C861" s="4" t="s">
        <v>3067</v>
      </c>
      <c r="D861" s="1">
        <v>43.86</v>
      </c>
      <c r="H861" s="5" t="s">
        <v>79</v>
      </c>
    </row>
    <row r="862" spans="3:8" x14ac:dyDescent="0.3">
      <c r="C862" s="3" t="s">
        <v>2785</v>
      </c>
      <c r="D862" s="1">
        <v>23.68</v>
      </c>
      <c r="H862" s="3" t="s">
        <v>2306</v>
      </c>
    </row>
    <row r="863" spans="3:8" x14ac:dyDescent="0.3">
      <c r="C863" s="4" t="s">
        <v>160</v>
      </c>
      <c r="D863" s="1">
        <v>23.68</v>
      </c>
      <c r="H863" s="4" t="s">
        <v>25</v>
      </c>
    </row>
    <row r="864" spans="3:8" x14ac:dyDescent="0.3">
      <c r="C864" s="3" t="s">
        <v>1288</v>
      </c>
      <c r="D864" s="1">
        <v>56.56</v>
      </c>
      <c r="H864" s="5" t="s">
        <v>2307</v>
      </c>
    </row>
    <row r="865" spans="3:8" x14ac:dyDescent="0.3">
      <c r="C865" s="4" t="s">
        <v>160</v>
      </c>
      <c r="D865" s="1">
        <v>56.56</v>
      </c>
      <c r="H865" s="3" t="s">
        <v>643</v>
      </c>
    </row>
    <row r="866" spans="3:8" x14ac:dyDescent="0.3">
      <c r="C866" s="3" t="s">
        <v>4144</v>
      </c>
      <c r="D866" s="1">
        <v>3.3039999999999998</v>
      </c>
      <c r="H866" s="4" t="s">
        <v>25</v>
      </c>
    </row>
    <row r="867" spans="3:8" x14ac:dyDescent="0.3">
      <c r="C867" s="4" t="s">
        <v>3423</v>
      </c>
      <c r="D867" s="1">
        <v>3.3039999999999998</v>
      </c>
      <c r="H867" s="5" t="s">
        <v>644</v>
      </c>
    </row>
    <row r="868" spans="3:8" x14ac:dyDescent="0.3">
      <c r="C868" s="3" t="s">
        <v>2000</v>
      </c>
      <c r="D868" s="1">
        <v>58.05</v>
      </c>
      <c r="H868" s="3" t="s">
        <v>797</v>
      </c>
    </row>
    <row r="869" spans="3:8" x14ac:dyDescent="0.3">
      <c r="C869" s="4" t="s">
        <v>2001</v>
      </c>
      <c r="D869" s="1">
        <v>58.05</v>
      </c>
      <c r="H869" s="4" t="s">
        <v>25</v>
      </c>
    </row>
    <row r="870" spans="3:8" x14ac:dyDescent="0.3">
      <c r="C870" s="3" t="s">
        <v>1811</v>
      </c>
      <c r="D870" s="1">
        <v>209.3</v>
      </c>
      <c r="H870" s="5" t="s">
        <v>798</v>
      </c>
    </row>
    <row r="871" spans="3:8" x14ac:dyDescent="0.3">
      <c r="C871" s="4" t="s">
        <v>452</v>
      </c>
      <c r="D871" s="1">
        <v>209.3</v>
      </c>
      <c r="H871" s="3" t="s">
        <v>3675</v>
      </c>
    </row>
    <row r="872" spans="3:8" x14ac:dyDescent="0.3">
      <c r="C872" s="3" t="s">
        <v>751</v>
      </c>
      <c r="D872" s="1">
        <v>35.167999999999999</v>
      </c>
      <c r="H872" s="4" t="s">
        <v>25</v>
      </c>
    </row>
    <row r="873" spans="3:8" x14ac:dyDescent="0.3">
      <c r="C873" s="4" t="s">
        <v>752</v>
      </c>
      <c r="D873" s="1">
        <v>35.167999999999999</v>
      </c>
      <c r="H873" s="5" t="s">
        <v>3676</v>
      </c>
    </row>
    <row r="874" spans="3:8" x14ac:dyDescent="0.3">
      <c r="C874" s="3" t="s">
        <v>992</v>
      </c>
      <c r="D874" s="1">
        <v>4.8899999999999997</v>
      </c>
      <c r="H874" s="3" t="s">
        <v>1526</v>
      </c>
    </row>
    <row r="875" spans="3:8" x14ac:dyDescent="0.3">
      <c r="C875" s="4" t="s">
        <v>66</v>
      </c>
      <c r="D875" s="1">
        <v>4.8899999999999997</v>
      </c>
      <c r="H875" s="4" t="s">
        <v>25</v>
      </c>
    </row>
    <row r="876" spans="3:8" x14ac:dyDescent="0.3">
      <c r="C876" s="3" t="s">
        <v>3580</v>
      </c>
      <c r="D876" s="1">
        <v>11199.968000000001</v>
      </c>
      <c r="H876" s="5" t="s">
        <v>1527</v>
      </c>
    </row>
    <row r="877" spans="3:8" x14ac:dyDescent="0.3">
      <c r="C877" s="4" t="s">
        <v>3581</v>
      </c>
      <c r="D877" s="1">
        <v>11199.968000000001</v>
      </c>
      <c r="H877" s="3" t="s">
        <v>3005</v>
      </c>
    </row>
    <row r="878" spans="3:8" x14ac:dyDescent="0.3">
      <c r="C878" s="3" t="s">
        <v>1343</v>
      </c>
      <c r="D878" s="1">
        <v>31.872</v>
      </c>
      <c r="H878" s="4" t="s">
        <v>25</v>
      </c>
    </row>
    <row r="879" spans="3:8" x14ac:dyDescent="0.3">
      <c r="C879" s="4" t="s">
        <v>187</v>
      </c>
      <c r="D879" s="1">
        <v>31.872</v>
      </c>
      <c r="H879" s="5" t="s">
        <v>3006</v>
      </c>
    </row>
    <row r="880" spans="3:8" x14ac:dyDescent="0.3">
      <c r="C880" s="3" t="s">
        <v>4054</v>
      </c>
      <c r="D880" s="1">
        <v>333.09</v>
      </c>
      <c r="H880" s="3" t="s">
        <v>3564</v>
      </c>
    </row>
    <row r="881" spans="3:8" x14ac:dyDescent="0.3">
      <c r="C881" s="4" t="s">
        <v>3581</v>
      </c>
      <c r="D881" s="1">
        <v>333.09</v>
      </c>
      <c r="H881" s="4" t="s">
        <v>25</v>
      </c>
    </row>
    <row r="882" spans="3:8" x14ac:dyDescent="0.3">
      <c r="C882" s="3" t="s">
        <v>1842</v>
      </c>
      <c r="D882" s="1">
        <v>61.44</v>
      </c>
      <c r="H882" s="5" t="s">
        <v>3565</v>
      </c>
    </row>
    <row r="883" spans="3:8" x14ac:dyDescent="0.3">
      <c r="C883" s="4" t="s">
        <v>1663</v>
      </c>
      <c r="D883" s="1">
        <v>61.44</v>
      </c>
      <c r="H883" s="3" t="s">
        <v>338</v>
      </c>
    </row>
    <row r="884" spans="3:8" x14ac:dyDescent="0.3">
      <c r="C884" s="3" t="s">
        <v>3964</v>
      </c>
      <c r="D884" s="1">
        <v>95.84</v>
      </c>
      <c r="H884" s="4" t="s">
        <v>25</v>
      </c>
    </row>
    <row r="885" spans="3:8" x14ac:dyDescent="0.3">
      <c r="C885" s="4" t="s">
        <v>2662</v>
      </c>
      <c r="D885" s="1">
        <v>95.84</v>
      </c>
      <c r="H885" s="5" t="s">
        <v>339</v>
      </c>
    </row>
    <row r="886" spans="3:8" x14ac:dyDescent="0.3">
      <c r="C886" s="3" t="s">
        <v>2296</v>
      </c>
      <c r="D886" s="1">
        <v>25.472000000000001</v>
      </c>
      <c r="H886" s="3" t="s">
        <v>2901</v>
      </c>
    </row>
    <row r="887" spans="3:8" x14ac:dyDescent="0.3">
      <c r="C887" s="4" t="s">
        <v>2297</v>
      </c>
      <c r="D887" s="1">
        <v>25.472000000000001</v>
      </c>
      <c r="H887" s="4" t="s">
        <v>25</v>
      </c>
    </row>
    <row r="888" spans="3:8" x14ac:dyDescent="0.3">
      <c r="C888" s="3" t="s">
        <v>3738</v>
      </c>
      <c r="D888" s="1">
        <v>963.13599999999997</v>
      </c>
      <c r="H888" s="5" t="s">
        <v>2902</v>
      </c>
    </row>
    <row r="889" spans="3:8" x14ac:dyDescent="0.3">
      <c r="C889" s="4" t="s">
        <v>3739</v>
      </c>
      <c r="D889" s="1">
        <v>963.13599999999997</v>
      </c>
      <c r="H889" s="3" t="s">
        <v>974</v>
      </c>
    </row>
    <row r="890" spans="3:8" x14ac:dyDescent="0.3">
      <c r="C890" s="3" t="s">
        <v>1973</v>
      </c>
      <c r="D890" s="1">
        <v>179.97</v>
      </c>
      <c r="H890" s="4" t="s">
        <v>25</v>
      </c>
    </row>
    <row r="891" spans="3:8" x14ac:dyDescent="0.3">
      <c r="C891" s="4" t="s">
        <v>1974</v>
      </c>
      <c r="D891" s="1">
        <v>179.97</v>
      </c>
      <c r="H891" s="5" t="s">
        <v>975</v>
      </c>
    </row>
    <row r="892" spans="3:8" x14ac:dyDescent="0.3">
      <c r="C892" s="3" t="s">
        <v>3360</v>
      </c>
      <c r="D892" s="1">
        <v>228.92</v>
      </c>
      <c r="H892" s="3" t="s">
        <v>3263</v>
      </c>
    </row>
    <row r="893" spans="3:8" x14ac:dyDescent="0.3">
      <c r="C893" s="4" t="s">
        <v>2452</v>
      </c>
      <c r="D893" s="1">
        <v>228.92</v>
      </c>
      <c r="H893" s="4" t="s">
        <v>25</v>
      </c>
    </row>
    <row r="894" spans="3:8" x14ac:dyDescent="0.3">
      <c r="C894" s="3" t="s">
        <v>2499</v>
      </c>
      <c r="D894" s="1">
        <v>119.96</v>
      </c>
      <c r="H894" s="5" t="s">
        <v>3264</v>
      </c>
    </row>
    <row r="895" spans="3:8" x14ac:dyDescent="0.3">
      <c r="C895" s="4" t="s">
        <v>203</v>
      </c>
      <c r="D895" s="1">
        <v>119.96</v>
      </c>
      <c r="H895" s="3" t="s">
        <v>1799</v>
      </c>
    </row>
    <row r="896" spans="3:8" x14ac:dyDescent="0.3">
      <c r="C896" s="3" t="s">
        <v>1831</v>
      </c>
      <c r="D896" s="1">
        <v>23.76</v>
      </c>
      <c r="H896" s="4" t="s">
        <v>25</v>
      </c>
    </row>
    <row r="897" spans="3:8" x14ac:dyDescent="0.3">
      <c r="C897" s="4" t="s">
        <v>876</v>
      </c>
      <c r="D897" s="1">
        <v>23.76</v>
      </c>
      <c r="H897" s="5" t="s">
        <v>1800</v>
      </c>
    </row>
    <row r="898" spans="3:8" x14ac:dyDescent="0.3">
      <c r="C898" s="3" t="s">
        <v>2209</v>
      </c>
      <c r="D898" s="1">
        <v>149.94999999999999</v>
      </c>
      <c r="H898" s="3" t="s">
        <v>2211</v>
      </c>
    </row>
    <row r="899" spans="3:8" x14ac:dyDescent="0.3">
      <c r="C899" s="4" t="s">
        <v>398</v>
      </c>
      <c r="D899" s="1">
        <v>149.94999999999999</v>
      </c>
      <c r="H899" s="4" t="s">
        <v>25</v>
      </c>
    </row>
    <row r="900" spans="3:8" x14ac:dyDescent="0.3">
      <c r="C900" s="3" t="s">
        <v>940</v>
      </c>
      <c r="D900" s="1">
        <v>11.648</v>
      </c>
      <c r="H900" s="5" t="s">
        <v>2212</v>
      </c>
    </row>
    <row r="901" spans="3:8" x14ac:dyDescent="0.3">
      <c r="C901" s="4" t="s">
        <v>941</v>
      </c>
      <c r="D901" s="1">
        <v>11.648</v>
      </c>
      <c r="H901" s="3" t="s">
        <v>3108</v>
      </c>
    </row>
    <row r="902" spans="3:8" x14ac:dyDescent="0.3">
      <c r="C902" s="3" t="s">
        <v>4190</v>
      </c>
      <c r="D902" s="1">
        <v>57.567999999999998</v>
      </c>
      <c r="H902" s="4" t="s">
        <v>25</v>
      </c>
    </row>
    <row r="903" spans="3:8" x14ac:dyDescent="0.3">
      <c r="C903" s="4" t="s">
        <v>1479</v>
      </c>
      <c r="D903" s="1">
        <v>57.567999999999998</v>
      </c>
      <c r="H903" s="5" t="s">
        <v>3109</v>
      </c>
    </row>
    <row r="904" spans="3:8" x14ac:dyDescent="0.3">
      <c r="C904" s="3" t="s">
        <v>2215</v>
      </c>
      <c r="D904" s="1">
        <v>4.54</v>
      </c>
      <c r="H904" s="3" t="s">
        <v>3247</v>
      </c>
    </row>
    <row r="905" spans="3:8" x14ac:dyDescent="0.3">
      <c r="C905" s="4" t="s">
        <v>2210</v>
      </c>
      <c r="D905" s="1">
        <v>4.54</v>
      </c>
      <c r="H905" s="4" t="s">
        <v>25</v>
      </c>
    </row>
    <row r="906" spans="3:8" x14ac:dyDescent="0.3">
      <c r="C906" s="3" t="s">
        <v>2639</v>
      </c>
      <c r="D906" s="1">
        <v>48.69</v>
      </c>
      <c r="H906" s="5" t="s">
        <v>3248</v>
      </c>
    </row>
    <row r="907" spans="3:8" x14ac:dyDescent="0.3">
      <c r="C907" s="4" t="s">
        <v>2092</v>
      </c>
      <c r="D907" s="1">
        <v>48.69</v>
      </c>
      <c r="H907" s="3" t="s">
        <v>307</v>
      </c>
    </row>
    <row r="908" spans="3:8" x14ac:dyDescent="0.3">
      <c r="C908" s="3" t="s">
        <v>1085</v>
      </c>
      <c r="D908" s="1">
        <v>12.96</v>
      </c>
      <c r="H908" s="4" t="s">
        <v>25</v>
      </c>
    </row>
    <row r="909" spans="3:8" x14ac:dyDescent="0.3">
      <c r="C909" s="4" t="s">
        <v>1086</v>
      </c>
      <c r="D909" s="1">
        <v>12.96</v>
      </c>
      <c r="H909" s="5" t="s">
        <v>308</v>
      </c>
    </row>
    <row r="910" spans="3:8" x14ac:dyDescent="0.3">
      <c r="C910" s="3" t="s">
        <v>3654</v>
      </c>
      <c r="D910" s="1">
        <v>113.88800000000001</v>
      </c>
      <c r="H910" s="3" t="s">
        <v>562</v>
      </c>
    </row>
    <row r="911" spans="3:8" x14ac:dyDescent="0.3">
      <c r="C911" s="4" t="s">
        <v>382</v>
      </c>
      <c r="D911" s="1">
        <v>113.88800000000001</v>
      </c>
      <c r="H911" s="4" t="s">
        <v>25</v>
      </c>
    </row>
    <row r="912" spans="3:8" x14ac:dyDescent="0.3">
      <c r="C912" s="3" t="s">
        <v>2328</v>
      </c>
      <c r="D912" s="1">
        <v>9.82</v>
      </c>
      <c r="H912" s="5" t="s">
        <v>563</v>
      </c>
    </row>
    <row r="913" spans="3:8" x14ac:dyDescent="0.3">
      <c r="C913" s="4" t="s">
        <v>2329</v>
      </c>
      <c r="D913" s="1">
        <v>9.82</v>
      </c>
      <c r="H913" s="3" t="s">
        <v>3588</v>
      </c>
    </row>
    <row r="914" spans="3:8" x14ac:dyDescent="0.3">
      <c r="C914" s="3" t="s">
        <v>1477</v>
      </c>
      <c r="D914" s="1">
        <v>126.3</v>
      </c>
      <c r="H914" s="4" t="s">
        <v>25</v>
      </c>
    </row>
    <row r="915" spans="3:8" x14ac:dyDescent="0.3">
      <c r="C915" s="4" t="s">
        <v>1478</v>
      </c>
      <c r="D915" s="1">
        <v>126.3</v>
      </c>
      <c r="H915" s="5" t="s">
        <v>3589</v>
      </c>
    </row>
    <row r="916" spans="3:8" x14ac:dyDescent="0.3">
      <c r="C916" s="3" t="s">
        <v>2084</v>
      </c>
      <c r="D916" s="1">
        <v>18.28</v>
      </c>
      <c r="H916" s="3" t="s">
        <v>1960</v>
      </c>
    </row>
    <row r="917" spans="3:8" x14ac:dyDescent="0.3">
      <c r="C917" s="4" t="s">
        <v>2085</v>
      </c>
      <c r="D917" s="1">
        <v>18.28</v>
      </c>
      <c r="H917" s="4" t="s">
        <v>25</v>
      </c>
    </row>
    <row r="918" spans="3:8" x14ac:dyDescent="0.3">
      <c r="C918" s="3" t="s">
        <v>765</v>
      </c>
      <c r="D918" s="1">
        <v>83.92</v>
      </c>
      <c r="H918" s="5" t="s">
        <v>1961</v>
      </c>
    </row>
    <row r="919" spans="3:8" x14ac:dyDescent="0.3">
      <c r="C919" s="4" t="s">
        <v>766</v>
      </c>
      <c r="D919" s="1">
        <v>83.92</v>
      </c>
      <c r="H919" s="3" t="s">
        <v>1630</v>
      </c>
    </row>
    <row r="920" spans="3:8" x14ac:dyDescent="0.3">
      <c r="C920" s="3" t="s">
        <v>2797</v>
      </c>
      <c r="D920" s="1">
        <v>49.08</v>
      </c>
      <c r="H920" s="4" t="s">
        <v>25</v>
      </c>
    </row>
    <row r="921" spans="3:8" x14ac:dyDescent="0.3">
      <c r="C921" s="4" t="s">
        <v>2798</v>
      </c>
      <c r="D921" s="1">
        <v>49.08</v>
      </c>
      <c r="H921" s="5" t="s">
        <v>1631</v>
      </c>
    </row>
    <row r="922" spans="3:8" x14ac:dyDescent="0.3">
      <c r="C922" s="3" t="s">
        <v>904</v>
      </c>
      <c r="D922" s="1">
        <v>14.016</v>
      </c>
      <c r="H922" s="3" t="s">
        <v>1613</v>
      </c>
    </row>
    <row r="923" spans="3:8" x14ac:dyDescent="0.3">
      <c r="C923" s="4" t="s">
        <v>905</v>
      </c>
      <c r="D923" s="1">
        <v>14.016</v>
      </c>
      <c r="H923" s="4" t="s">
        <v>25</v>
      </c>
    </row>
    <row r="924" spans="3:8" x14ac:dyDescent="0.3">
      <c r="C924" s="3" t="s">
        <v>1617</v>
      </c>
      <c r="D924" s="1">
        <v>374.37599999999998</v>
      </c>
      <c r="H924" s="5" t="s">
        <v>1614</v>
      </c>
    </row>
    <row r="925" spans="3:8" x14ac:dyDescent="0.3">
      <c r="C925" s="4" t="s">
        <v>767</v>
      </c>
      <c r="D925" s="1">
        <v>374.37599999999998</v>
      </c>
      <c r="H925" s="3" t="s">
        <v>3123</v>
      </c>
    </row>
    <row r="926" spans="3:8" x14ac:dyDescent="0.3">
      <c r="C926" s="3" t="s">
        <v>3660</v>
      </c>
      <c r="D926" s="1">
        <v>18.96</v>
      </c>
      <c r="H926" s="4" t="s">
        <v>25</v>
      </c>
    </row>
    <row r="927" spans="3:8" x14ac:dyDescent="0.3">
      <c r="C927" s="4" t="s">
        <v>3661</v>
      </c>
      <c r="D927" s="1">
        <v>18.96</v>
      </c>
      <c r="H927" s="5" t="s">
        <v>3124</v>
      </c>
    </row>
    <row r="928" spans="3:8" x14ac:dyDescent="0.3">
      <c r="C928" s="3" t="s">
        <v>3404</v>
      </c>
      <c r="D928" s="1">
        <v>12.96</v>
      </c>
      <c r="H928" s="3" t="s">
        <v>1210</v>
      </c>
    </row>
    <row r="929" spans="3:8" x14ac:dyDescent="0.3">
      <c r="C929" s="4" t="s">
        <v>934</v>
      </c>
      <c r="D929" s="1">
        <v>12.96</v>
      </c>
      <c r="H929" s="4" t="s">
        <v>25</v>
      </c>
    </row>
    <row r="930" spans="3:8" x14ac:dyDescent="0.3">
      <c r="C930" s="3" t="s">
        <v>2245</v>
      </c>
      <c r="D930" s="1">
        <v>1199.8</v>
      </c>
      <c r="H930" s="5" t="s">
        <v>1211</v>
      </c>
    </row>
    <row r="931" spans="3:8" x14ac:dyDescent="0.3">
      <c r="C931" s="4" t="s">
        <v>2246</v>
      </c>
      <c r="D931" s="1">
        <v>1199.8</v>
      </c>
      <c r="H931" s="3" t="s">
        <v>3711</v>
      </c>
    </row>
    <row r="932" spans="3:8" x14ac:dyDescent="0.3">
      <c r="C932" s="3" t="s">
        <v>4226</v>
      </c>
      <c r="D932" s="1">
        <v>56.07</v>
      </c>
      <c r="H932" s="4" t="s">
        <v>25</v>
      </c>
    </row>
    <row r="933" spans="3:8" x14ac:dyDescent="0.3">
      <c r="C933" s="4" t="s">
        <v>4227</v>
      </c>
      <c r="D933" s="1">
        <v>56.07</v>
      </c>
      <c r="H933" s="5" t="s">
        <v>3712</v>
      </c>
    </row>
    <row r="934" spans="3:8" x14ac:dyDescent="0.3">
      <c r="C934" s="3" t="s">
        <v>3430</v>
      </c>
      <c r="D934" s="1">
        <v>14.352</v>
      </c>
      <c r="H934" s="3" t="s">
        <v>1398</v>
      </c>
    </row>
    <row r="935" spans="3:8" x14ac:dyDescent="0.3">
      <c r="C935" s="4" t="s">
        <v>203</v>
      </c>
      <c r="D935" s="1">
        <v>14.352</v>
      </c>
      <c r="H935" s="4" t="s">
        <v>25</v>
      </c>
    </row>
    <row r="936" spans="3:8" x14ac:dyDescent="0.3">
      <c r="C936" s="3" t="s">
        <v>1738</v>
      </c>
      <c r="D936" s="1">
        <v>3.6480000000000001</v>
      </c>
      <c r="H936" s="5" t="s">
        <v>1399</v>
      </c>
    </row>
    <row r="937" spans="3:8" x14ac:dyDescent="0.3">
      <c r="C937" s="4" t="s">
        <v>1739</v>
      </c>
      <c r="D937" s="1">
        <v>3.6480000000000001</v>
      </c>
      <c r="H937" s="3" t="s">
        <v>2441</v>
      </c>
    </row>
    <row r="938" spans="3:8" x14ac:dyDescent="0.3">
      <c r="C938" s="3" t="s">
        <v>3649</v>
      </c>
      <c r="D938" s="1">
        <v>377.97</v>
      </c>
      <c r="H938" s="4" t="s">
        <v>25</v>
      </c>
    </row>
    <row r="939" spans="3:8" x14ac:dyDescent="0.3">
      <c r="C939" s="4" t="s">
        <v>1771</v>
      </c>
      <c r="D939" s="1">
        <v>377.97</v>
      </c>
      <c r="H939" s="5" t="s">
        <v>2442</v>
      </c>
    </row>
    <row r="940" spans="3:8" x14ac:dyDescent="0.3">
      <c r="C940" s="3" t="s">
        <v>201</v>
      </c>
      <c r="D940" s="1">
        <v>95.616</v>
      </c>
      <c r="H940" s="3" t="s">
        <v>3362</v>
      </c>
    </row>
    <row r="941" spans="3:8" x14ac:dyDescent="0.3">
      <c r="C941" s="4" t="s">
        <v>202</v>
      </c>
      <c r="D941" s="1">
        <v>95.616</v>
      </c>
      <c r="H941" s="4" t="s">
        <v>25</v>
      </c>
    </row>
    <row r="942" spans="3:8" x14ac:dyDescent="0.3">
      <c r="C942" s="3" t="s">
        <v>3518</v>
      </c>
      <c r="D942" s="1">
        <v>18.75</v>
      </c>
      <c r="H942" s="5" t="s">
        <v>3363</v>
      </c>
    </row>
    <row r="943" spans="3:8" x14ac:dyDescent="0.3">
      <c r="C943" s="4" t="s">
        <v>3519</v>
      </c>
      <c r="D943" s="1">
        <v>18.75</v>
      </c>
      <c r="H943" s="3" t="s">
        <v>791</v>
      </c>
    </row>
    <row r="944" spans="3:8" x14ac:dyDescent="0.3">
      <c r="C944" s="3" t="s">
        <v>1415</v>
      </c>
      <c r="D944" s="1">
        <v>29.6</v>
      </c>
      <c r="H944" s="4" t="s">
        <v>25</v>
      </c>
    </row>
    <row r="945" spans="3:8" x14ac:dyDescent="0.3">
      <c r="C945" s="4" t="s">
        <v>1416</v>
      </c>
      <c r="D945" s="1">
        <v>29.6</v>
      </c>
      <c r="H945" s="5" t="s">
        <v>792</v>
      </c>
    </row>
    <row r="946" spans="3:8" x14ac:dyDescent="0.3">
      <c r="C946" s="3" t="s">
        <v>3205</v>
      </c>
      <c r="D946" s="1">
        <v>1793.98</v>
      </c>
      <c r="H946" s="3" t="s">
        <v>768</v>
      </c>
    </row>
    <row r="947" spans="3:8" x14ac:dyDescent="0.3">
      <c r="C947" s="4" t="s">
        <v>3206</v>
      </c>
      <c r="D947" s="1">
        <v>1793.98</v>
      </c>
      <c r="H947" s="4" t="s">
        <v>25</v>
      </c>
    </row>
    <row r="948" spans="3:8" x14ac:dyDescent="0.3">
      <c r="C948" s="3" t="s">
        <v>3872</v>
      </c>
      <c r="D948" s="1">
        <v>18.98</v>
      </c>
      <c r="H948" s="5" t="s">
        <v>769</v>
      </c>
    </row>
    <row r="949" spans="3:8" x14ac:dyDescent="0.3">
      <c r="C949" s="4" t="s">
        <v>2731</v>
      </c>
      <c r="D949" s="1">
        <v>18.98</v>
      </c>
      <c r="H949" s="3" t="s">
        <v>2435</v>
      </c>
    </row>
    <row r="950" spans="3:8" x14ac:dyDescent="0.3">
      <c r="C950" s="3" t="s">
        <v>1268</v>
      </c>
      <c r="D950" s="1">
        <v>139.86000000000001</v>
      </c>
      <c r="H950" s="4" t="s">
        <v>25</v>
      </c>
    </row>
    <row r="951" spans="3:8" x14ac:dyDescent="0.3">
      <c r="C951" s="4" t="s">
        <v>1051</v>
      </c>
      <c r="D951" s="1">
        <v>139.86000000000001</v>
      </c>
      <c r="H951" s="5" t="s">
        <v>2436</v>
      </c>
    </row>
    <row r="952" spans="3:8" x14ac:dyDescent="0.3">
      <c r="C952" s="3" t="s">
        <v>3191</v>
      </c>
      <c r="D952" s="1">
        <v>70.98</v>
      </c>
      <c r="H952" s="3" t="s">
        <v>3068</v>
      </c>
    </row>
    <row r="953" spans="3:8" x14ac:dyDescent="0.3">
      <c r="C953" s="4" t="s">
        <v>2440</v>
      </c>
      <c r="D953" s="1">
        <v>70.98</v>
      </c>
      <c r="H953" s="4" t="s">
        <v>25</v>
      </c>
    </row>
    <row r="954" spans="3:8" x14ac:dyDescent="0.3">
      <c r="C954" s="3" t="s">
        <v>2091</v>
      </c>
      <c r="D954" s="1">
        <v>1399.93</v>
      </c>
      <c r="H954" s="5" t="s">
        <v>3069</v>
      </c>
    </row>
    <row r="955" spans="3:8" x14ac:dyDescent="0.3">
      <c r="C955" s="4" t="s">
        <v>2092</v>
      </c>
      <c r="D955" s="1">
        <v>1399.93</v>
      </c>
      <c r="H955" s="3" t="s">
        <v>1906</v>
      </c>
    </row>
    <row r="956" spans="3:8" x14ac:dyDescent="0.3">
      <c r="C956" s="3" t="s">
        <v>1958</v>
      </c>
      <c r="D956" s="1">
        <v>17.568000000000001</v>
      </c>
      <c r="H956" s="4" t="s">
        <v>25</v>
      </c>
    </row>
    <row r="957" spans="3:8" x14ac:dyDescent="0.3">
      <c r="C957" s="4" t="s">
        <v>933</v>
      </c>
      <c r="D957" s="1">
        <v>17.568000000000001</v>
      </c>
      <c r="H957" s="5" t="s">
        <v>1907</v>
      </c>
    </row>
    <row r="958" spans="3:8" x14ac:dyDescent="0.3">
      <c r="C958" s="3" t="s">
        <v>3041</v>
      </c>
      <c r="D958" s="1">
        <v>13.896000000000001</v>
      </c>
      <c r="H958" s="3" t="s">
        <v>657</v>
      </c>
    </row>
    <row r="959" spans="3:8" x14ac:dyDescent="0.3">
      <c r="C959" s="4" t="s">
        <v>3042</v>
      </c>
      <c r="D959" s="1">
        <v>13.896000000000001</v>
      </c>
      <c r="H959" s="4" t="s">
        <v>25</v>
      </c>
    </row>
    <row r="960" spans="3:8" x14ac:dyDescent="0.3">
      <c r="C960" s="3" t="s">
        <v>3482</v>
      </c>
      <c r="D960" s="1">
        <v>359.976</v>
      </c>
      <c r="H960" s="5" t="s">
        <v>658</v>
      </c>
    </row>
    <row r="961" spans="3:8" x14ac:dyDescent="0.3">
      <c r="C961" s="4" t="s">
        <v>3036</v>
      </c>
      <c r="D961" s="1">
        <v>359.976</v>
      </c>
      <c r="H961" s="3" t="s">
        <v>2059</v>
      </c>
    </row>
    <row r="962" spans="3:8" x14ac:dyDescent="0.3">
      <c r="C962" s="3" t="s">
        <v>2654</v>
      </c>
      <c r="D962" s="1">
        <v>6.6959999999999997</v>
      </c>
      <c r="H962" s="4" t="s">
        <v>25</v>
      </c>
    </row>
    <row r="963" spans="3:8" x14ac:dyDescent="0.3">
      <c r="C963" s="4" t="s">
        <v>2655</v>
      </c>
      <c r="D963" s="1">
        <v>6.6959999999999997</v>
      </c>
      <c r="H963" s="5" t="s">
        <v>2060</v>
      </c>
    </row>
    <row r="964" spans="3:8" x14ac:dyDescent="0.3">
      <c r="C964" s="3" t="s">
        <v>3300</v>
      </c>
      <c r="D964" s="1">
        <v>104.68</v>
      </c>
      <c r="H964" s="3" t="s">
        <v>2999</v>
      </c>
    </row>
    <row r="965" spans="3:8" x14ac:dyDescent="0.3">
      <c r="C965" s="4" t="s">
        <v>766</v>
      </c>
      <c r="D965" s="1">
        <v>104.68</v>
      </c>
      <c r="H965" s="4" t="s">
        <v>25</v>
      </c>
    </row>
    <row r="966" spans="3:8" x14ac:dyDescent="0.3">
      <c r="C966" s="3" t="s">
        <v>4150</v>
      </c>
      <c r="D966" s="1">
        <v>50.4</v>
      </c>
      <c r="H966" s="5" t="s">
        <v>3000</v>
      </c>
    </row>
    <row r="967" spans="3:8" x14ac:dyDescent="0.3">
      <c r="C967" s="4" t="s">
        <v>4151</v>
      </c>
      <c r="D967" s="1">
        <v>50.4</v>
      </c>
      <c r="H967" s="3" t="s">
        <v>2116</v>
      </c>
    </row>
    <row r="968" spans="3:8" x14ac:dyDescent="0.3">
      <c r="C968" s="3" t="s">
        <v>1115</v>
      </c>
      <c r="D968" s="1">
        <v>488.64600000000002</v>
      </c>
      <c r="H968" s="4" t="s">
        <v>25</v>
      </c>
    </row>
    <row r="969" spans="3:8" x14ac:dyDescent="0.3">
      <c r="C969" s="4" t="s">
        <v>1116</v>
      </c>
      <c r="D969" s="1">
        <v>488.64600000000002</v>
      </c>
      <c r="H969" s="5" t="s">
        <v>2117</v>
      </c>
    </row>
    <row r="970" spans="3:8" x14ac:dyDescent="0.3">
      <c r="C970" s="3" t="s">
        <v>1662</v>
      </c>
      <c r="D970" s="1">
        <v>105.584</v>
      </c>
      <c r="H970" s="3" t="s">
        <v>3141</v>
      </c>
    </row>
    <row r="971" spans="3:8" x14ac:dyDescent="0.3">
      <c r="C971" s="4" t="s">
        <v>766</v>
      </c>
      <c r="D971" s="1">
        <v>105.584</v>
      </c>
      <c r="H971" s="4" t="s">
        <v>25</v>
      </c>
    </row>
    <row r="972" spans="3:8" x14ac:dyDescent="0.3">
      <c r="C972" s="3" t="s">
        <v>4240</v>
      </c>
      <c r="D972" s="1">
        <v>16.34</v>
      </c>
      <c r="H972" s="5" t="s">
        <v>3142</v>
      </c>
    </row>
    <row r="973" spans="3:8" x14ac:dyDescent="0.3">
      <c r="C973" s="4" t="s">
        <v>4132</v>
      </c>
      <c r="D973" s="1">
        <v>16.34</v>
      </c>
      <c r="H973" s="3" t="s">
        <v>1103</v>
      </c>
    </row>
    <row r="974" spans="3:8" x14ac:dyDescent="0.3">
      <c r="C974" s="3" t="s">
        <v>3152</v>
      </c>
      <c r="D974" s="1">
        <v>1439.92</v>
      </c>
      <c r="H974" s="4" t="s">
        <v>25</v>
      </c>
    </row>
    <row r="975" spans="3:8" x14ac:dyDescent="0.3">
      <c r="C975" s="4" t="s">
        <v>1504</v>
      </c>
      <c r="D975" s="1">
        <v>1439.92</v>
      </c>
      <c r="H975" s="5" t="s">
        <v>1104</v>
      </c>
    </row>
    <row r="976" spans="3:8" x14ac:dyDescent="0.3">
      <c r="C976" s="3" t="s">
        <v>1923</v>
      </c>
      <c r="D976" s="1">
        <v>24.448</v>
      </c>
      <c r="H976" s="3" t="s">
        <v>1806</v>
      </c>
    </row>
    <row r="977" spans="3:8" x14ac:dyDescent="0.3">
      <c r="C977" s="4" t="s">
        <v>1546</v>
      </c>
      <c r="D977" s="1">
        <v>24.448</v>
      </c>
      <c r="H977" s="4" t="s">
        <v>25</v>
      </c>
    </row>
    <row r="978" spans="3:8" x14ac:dyDescent="0.3">
      <c r="C978" s="3" t="s">
        <v>450</v>
      </c>
      <c r="D978" s="1">
        <v>41.96</v>
      </c>
      <c r="H978" s="5" t="s">
        <v>1807</v>
      </c>
    </row>
    <row r="979" spans="3:8" x14ac:dyDescent="0.3">
      <c r="C979" s="4" t="s">
        <v>451</v>
      </c>
      <c r="D979" s="1">
        <v>41.96</v>
      </c>
      <c r="H979" s="3" t="s">
        <v>1067</v>
      </c>
    </row>
    <row r="980" spans="3:8" x14ac:dyDescent="0.3">
      <c r="C980" s="3" t="s">
        <v>3903</v>
      </c>
      <c r="D980" s="1">
        <v>26.72</v>
      </c>
      <c r="H980" s="4" t="s">
        <v>25</v>
      </c>
    </row>
    <row r="981" spans="3:8" x14ac:dyDescent="0.3">
      <c r="C981" s="4" t="s">
        <v>3904</v>
      </c>
      <c r="D981" s="1">
        <v>26.72</v>
      </c>
      <c r="H981" s="5" t="s">
        <v>1068</v>
      </c>
    </row>
    <row r="982" spans="3:8" x14ac:dyDescent="0.3">
      <c r="C982" s="3" t="s">
        <v>4012</v>
      </c>
      <c r="D982" s="1">
        <v>19.829999999999998</v>
      </c>
      <c r="H982" s="3" t="s">
        <v>437</v>
      </c>
    </row>
    <row r="983" spans="3:8" x14ac:dyDescent="0.3">
      <c r="C983" s="4" t="s">
        <v>3467</v>
      </c>
      <c r="D983" s="1">
        <v>19.829999999999998</v>
      </c>
      <c r="H983" s="4" t="s">
        <v>25</v>
      </c>
    </row>
    <row r="984" spans="3:8" x14ac:dyDescent="0.3">
      <c r="C984" s="3" t="s">
        <v>1363</v>
      </c>
      <c r="D984" s="1">
        <v>665.40800000000002</v>
      </c>
      <c r="H984" s="5" t="s">
        <v>438</v>
      </c>
    </row>
    <row r="985" spans="3:8" x14ac:dyDescent="0.3">
      <c r="C985" s="4" t="s">
        <v>1364</v>
      </c>
      <c r="D985" s="1">
        <v>665.40800000000002</v>
      </c>
      <c r="H985" s="3" t="s">
        <v>249</v>
      </c>
    </row>
    <row r="986" spans="3:8" x14ac:dyDescent="0.3">
      <c r="C986" s="3" t="s">
        <v>3728</v>
      </c>
      <c r="D986" s="1">
        <v>49.12</v>
      </c>
      <c r="H986" s="4" t="s">
        <v>25</v>
      </c>
    </row>
    <row r="987" spans="3:8" x14ac:dyDescent="0.3">
      <c r="C987" s="4" t="s">
        <v>2001</v>
      </c>
      <c r="D987" s="1">
        <v>49.12</v>
      </c>
      <c r="H987" s="5" t="s">
        <v>250</v>
      </c>
    </row>
    <row r="988" spans="3:8" x14ac:dyDescent="0.3">
      <c r="C988" s="3" t="s">
        <v>2863</v>
      </c>
      <c r="D988" s="1">
        <v>91.2</v>
      </c>
      <c r="H988" s="3" t="s">
        <v>2266</v>
      </c>
    </row>
    <row r="989" spans="3:8" x14ac:dyDescent="0.3">
      <c r="C989" s="4" t="s">
        <v>877</v>
      </c>
      <c r="D989" s="1">
        <v>91.2</v>
      </c>
      <c r="H989" s="4" t="s">
        <v>25</v>
      </c>
    </row>
    <row r="990" spans="3:8" x14ac:dyDescent="0.3">
      <c r="C990" s="3" t="s">
        <v>3824</v>
      </c>
      <c r="D990" s="1">
        <v>45.84</v>
      </c>
      <c r="H990" s="5" t="s">
        <v>2267</v>
      </c>
    </row>
    <row r="991" spans="3:8" x14ac:dyDescent="0.3">
      <c r="C991" s="4" t="s">
        <v>1618</v>
      </c>
      <c r="D991" s="1">
        <v>45.84</v>
      </c>
      <c r="H991" s="3" t="s">
        <v>4165</v>
      </c>
    </row>
    <row r="992" spans="3:8" x14ac:dyDescent="0.3">
      <c r="C992" s="3" t="s">
        <v>3398</v>
      </c>
      <c r="D992" s="1">
        <v>7.968</v>
      </c>
      <c r="H992" s="4" t="s">
        <v>25</v>
      </c>
    </row>
    <row r="993" spans="3:8" x14ac:dyDescent="0.3">
      <c r="C993" s="4" t="s">
        <v>3399</v>
      </c>
      <c r="D993" s="1">
        <v>7.968</v>
      </c>
      <c r="H993" s="5" t="s">
        <v>4166</v>
      </c>
    </row>
    <row r="994" spans="3:8" x14ac:dyDescent="0.3">
      <c r="C994" s="3" t="s">
        <v>3692</v>
      </c>
      <c r="D994" s="1">
        <v>22.18</v>
      </c>
      <c r="H994" s="3" t="s">
        <v>2932</v>
      </c>
    </row>
    <row r="995" spans="3:8" x14ac:dyDescent="0.3">
      <c r="C995" s="4" t="s">
        <v>1525</v>
      </c>
      <c r="D995" s="1">
        <v>22.18</v>
      </c>
      <c r="H995" s="4" t="s">
        <v>25</v>
      </c>
    </row>
    <row r="996" spans="3:8" x14ac:dyDescent="0.3">
      <c r="C996" s="3" t="s">
        <v>4000</v>
      </c>
      <c r="D996" s="1">
        <v>482.66399999999999</v>
      </c>
      <c r="H996" s="5" t="s">
        <v>2933</v>
      </c>
    </row>
    <row r="997" spans="3:8" x14ac:dyDescent="0.3">
      <c r="C997" s="4" t="s">
        <v>4001</v>
      </c>
      <c r="D997" s="1">
        <v>482.66399999999999</v>
      </c>
      <c r="H997" s="3" t="s">
        <v>3394</v>
      </c>
    </row>
    <row r="998" spans="3:8" x14ac:dyDescent="0.3">
      <c r="C998" s="3" t="s">
        <v>1309</v>
      </c>
      <c r="D998" s="1">
        <v>6.6719999999999997</v>
      </c>
      <c r="H998" s="4" t="s">
        <v>25</v>
      </c>
    </row>
    <row r="999" spans="3:8" x14ac:dyDescent="0.3">
      <c r="C999" s="4" t="s">
        <v>1117</v>
      </c>
      <c r="D999" s="1">
        <v>6.6719999999999997</v>
      </c>
      <c r="H999" s="5" t="s">
        <v>3395</v>
      </c>
    </row>
    <row r="1000" spans="3:8" x14ac:dyDescent="0.3">
      <c r="C1000" s="3" t="s">
        <v>2899</v>
      </c>
      <c r="D1000" s="1">
        <v>16.783999999999999</v>
      </c>
      <c r="H1000" s="3" t="s">
        <v>3966</v>
      </c>
    </row>
    <row r="1001" spans="3:8" x14ac:dyDescent="0.3">
      <c r="C1001" s="4" t="s">
        <v>2900</v>
      </c>
      <c r="D1001" s="1">
        <v>16.783999999999999</v>
      </c>
      <c r="H1001" s="4" t="s">
        <v>25</v>
      </c>
    </row>
    <row r="1002" spans="3:8" x14ac:dyDescent="0.3">
      <c r="C1002" s="3" t="s">
        <v>3436</v>
      </c>
      <c r="D1002" s="1">
        <v>426.79</v>
      </c>
      <c r="H1002" s="5" t="s">
        <v>3967</v>
      </c>
    </row>
    <row r="1003" spans="3:8" x14ac:dyDescent="0.3">
      <c r="C1003" s="4" t="s">
        <v>1618</v>
      </c>
      <c r="D1003" s="1">
        <v>426.79</v>
      </c>
      <c r="H1003" s="3" t="s">
        <v>950</v>
      </c>
    </row>
    <row r="1004" spans="3:8" x14ac:dyDescent="0.3">
      <c r="C1004" s="3" t="s">
        <v>1050</v>
      </c>
      <c r="D1004" s="1">
        <v>15.992000000000001</v>
      </c>
      <c r="H1004" s="4" t="s">
        <v>25</v>
      </c>
    </row>
    <row r="1005" spans="3:8" x14ac:dyDescent="0.3">
      <c r="C1005" s="4" t="s">
        <v>1051</v>
      </c>
      <c r="D1005" s="1">
        <v>15.992000000000001</v>
      </c>
      <c r="H1005" s="5" t="s">
        <v>951</v>
      </c>
    </row>
    <row r="1006" spans="3:8" x14ac:dyDescent="0.3">
      <c r="C1006" s="3" t="s">
        <v>1770</v>
      </c>
      <c r="D1006" s="1">
        <v>97.16</v>
      </c>
      <c r="H1006" s="3" t="s">
        <v>1898</v>
      </c>
    </row>
    <row r="1007" spans="3:8" x14ac:dyDescent="0.3">
      <c r="C1007" s="4" t="s">
        <v>1771</v>
      </c>
      <c r="D1007" s="1">
        <v>97.16</v>
      </c>
      <c r="H1007" s="4" t="s">
        <v>25</v>
      </c>
    </row>
    <row r="1008" spans="3:8" x14ac:dyDescent="0.3">
      <c r="C1008" s="3" t="s">
        <v>1348</v>
      </c>
      <c r="D1008" s="1">
        <v>2.91</v>
      </c>
      <c r="H1008" s="5" t="s">
        <v>1899</v>
      </c>
    </row>
    <row r="1009" spans="3:8" x14ac:dyDescent="0.3">
      <c r="C1009" s="4" t="s">
        <v>1349</v>
      </c>
      <c r="D1009" s="1">
        <v>2.91</v>
      </c>
      <c r="H1009" s="3" t="s">
        <v>3734</v>
      </c>
    </row>
    <row r="1010" spans="3:8" x14ac:dyDescent="0.3">
      <c r="C1010" s="3" t="s">
        <v>544</v>
      </c>
      <c r="D1010" s="1">
        <v>839.43</v>
      </c>
      <c r="H1010" s="4" t="s">
        <v>25</v>
      </c>
    </row>
    <row r="1011" spans="3:8" x14ac:dyDescent="0.3">
      <c r="C1011" s="4" t="s">
        <v>545</v>
      </c>
      <c r="D1011" s="1">
        <v>839.43</v>
      </c>
      <c r="H1011" s="5" t="s">
        <v>3735</v>
      </c>
    </row>
    <row r="1012" spans="3:8" x14ac:dyDescent="0.3">
      <c r="C1012" s="3" t="s">
        <v>350</v>
      </c>
      <c r="D1012" s="1">
        <v>19.989999999999998</v>
      </c>
      <c r="H1012" s="3" t="s">
        <v>1391</v>
      </c>
    </row>
    <row r="1013" spans="3:8" x14ac:dyDescent="0.3">
      <c r="C1013" s="4" t="s">
        <v>351</v>
      </c>
      <c r="D1013" s="1">
        <v>19.989999999999998</v>
      </c>
      <c r="H1013" s="4" t="s">
        <v>25</v>
      </c>
    </row>
    <row r="1014" spans="3:8" x14ac:dyDescent="0.3">
      <c r="C1014" s="3" t="s">
        <v>1107</v>
      </c>
      <c r="D1014" s="1">
        <v>647.84</v>
      </c>
      <c r="H1014" s="5" t="s">
        <v>1392</v>
      </c>
    </row>
    <row r="1015" spans="3:8" x14ac:dyDescent="0.3">
      <c r="C1015" s="4" t="s">
        <v>1108</v>
      </c>
      <c r="D1015" s="1">
        <v>647.84</v>
      </c>
      <c r="H1015" s="3" t="s">
        <v>3718</v>
      </c>
    </row>
    <row r="1016" spans="3:8" x14ac:dyDescent="0.3">
      <c r="C1016" s="3" t="s">
        <v>1294</v>
      </c>
      <c r="D1016" s="1">
        <v>866.4</v>
      </c>
      <c r="H1016" s="4" t="s">
        <v>25</v>
      </c>
    </row>
    <row r="1017" spans="3:8" x14ac:dyDescent="0.3">
      <c r="C1017" s="4" t="s">
        <v>1295</v>
      </c>
      <c r="D1017" s="1">
        <v>866.4</v>
      </c>
      <c r="H1017" s="5" t="s">
        <v>3719</v>
      </c>
    </row>
    <row r="1018" spans="3:8" x14ac:dyDescent="0.3">
      <c r="C1018" s="3" t="s">
        <v>4180</v>
      </c>
      <c r="D1018" s="1">
        <v>6.3680000000000003</v>
      </c>
      <c r="H1018" s="3" t="s">
        <v>2754</v>
      </c>
    </row>
    <row r="1019" spans="3:8" x14ac:dyDescent="0.3">
      <c r="C1019" s="4" t="s">
        <v>2609</v>
      </c>
      <c r="D1019" s="1">
        <v>6.3680000000000003</v>
      </c>
      <c r="H1019" s="4" t="s">
        <v>25</v>
      </c>
    </row>
    <row r="1020" spans="3:8" x14ac:dyDescent="0.3">
      <c r="C1020" s="3" t="s">
        <v>4245</v>
      </c>
      <c r="D1020" s="1">
        <v>127.93600000000001</v>
      </c>
      <c r="H1020" s="5" t="s">
        <v>2755</v>
      </c>
    </row>
    <row r="1021" spans="3:8" x14ac:dyDescent="0.3">
      <c r="C1021" s="4" t="s">
        <v>4246</v>
      </c>
      <c r="D1021" s="1">
        <v>127.93600000000001</v>
      </c>
      <c r="H1021" s="3" t="s">
        <v>2663</v>
      </c>
    </row>
    <row r="1022" spans="3:8" x14ac:dyDescent="0.3">
      <c r="C1022" s="3" t="s">
        <v>1623</v>
      </c>
      <c r="D1022" s="1">
        <v>91.84</v>
      </c>
      <c r="H1022" s="4" t="s">
        <v>25</v>
      </c>
    </row>
    <row r="1023" spans="3:8" x14ac:dyDescent="0.3">
      <c r="C1023" s="4" t="s">
        <v>1117</v>
      </c>
      <c r="D1023" s="1">
        <v>91.84</v>
      </c>
      <c r="H1023" s="5" t="s">
        <v>2664</v>
      </c>
    </row>
    <row r="1024" spans="3:8" x14ac:dyDescent="0.3">
      <c r="C1024" s="3" t="s">
        <v>396</v>
      </c>
      <c r="D1024" s="1">
        <v>51.311999999999998</v>
      </c>
      <c r="H1024" s="3" t="s">
        <v>2241</v>
      </c>
    </row>
    <row r="1025" spans="3:8" x14ac:dyDescent="0.3">
      <c r="C1025" s="4" t="s">
        <v>397</v>
      </c>
      <c r="D1025" s="1">
        <v>51.311999999999998</v>
      </c>
      <c r="H1025" s="4" t="s">
        <v>25</v>
      </c>
    </row>
    <row r="1026" spans="3:8" x14ac:dyDescent="0.3">
      <c r="C1026" s="3" t="s">
        <v>3643</v>
      </c>
      <c r="D1026" s="1">
        <v>56.28</v>
      </c>
      <c r="H1026" s="5" t="s">
        <v>2242</v>
      </c>
    </row>
    <row r="1027" spans="3:8" x14ac:dyDescent="0.3">
      <c r="C1027" s="4" t="s">
        <v>3644</v>
      </c>
      <c r="D1027" s="1">
        <v>56.28</v>
      </c>
      <c r="H1027" s="3" t="s">
        <v>2205</v>
      </c>
    </row>
    <row r="1028" spans="3:8" x14ac:dyDescent="0.3">
      <c r="C1028" s="3" t="s">
        <v>3252</v>
      </c>
      <c r="D1028" s="1">
        <v>4.92</v>
      </c>
      <c r="H1028" s="4" t="s">
        <v>25</v>
      </c>
    </row>
    <row r="1029" spans="3:8" x14ac:dyDescent="0.3">
      <c r="C1029" s="4" t="s">
        <v>2246</v>
      </c>
      <c r="D1029" s="1">
        <v>4.92</v>
      </c>
      <c r="H1029" s="5" t="s">
        <v>2206</v>
      </c>
    </row>
    <row r="1030" spans="3:8" x14ac:dyDescent="0.3">
      <c r="C1030" s="3" t="s">
        <v>2515</v>
      </c>
      <c r="D1030" s="1">
        <v>71.983999999999995</v>
      </c>
      <c r="H1030" s="3" t="s">
        <v>368</v>
      </c>
    </row>
    <row r="1031" spans="3:8" x14ac:dyDescent="0.3">
      <c r="C1031" s="4" t="s">
        <v>1132</v>
      </c>
      <c r="D1031" s="1">
        <v>71.983999999999995</v>
      </c>
      <c r="H1031" s="4" t="s">
        <v>25</v>
      </c>
    </row>
    <row r="1032" spans="3:8" x14ac:dyDescent="0.3">
      <c r="C1032" s="3" t="s">
        <v>2984</v>
      </c>
      <c r="D1032" s="1">
        <v>16.896000000000001</v>
      </c>
      <c r="H1032" s="5" t="s">
        <v>369</v>
      </c>
    </row>
    <row r="1033" spans="3:8" x14ac:dyDescent="0.3">
      <c r="C1033" s="4" t="s">
        <v>1567</v>
      </c>
      <c r="D1033" s="1">
        <v>16.896000000000001</v>
      </c>
      <c r="H1033" s="3" t="s">
        <v>2395</v>
      </c>
    </row>
    <row r="1034" spans="3:8" x14ac:dyDescent="0.3">
      <c r="C1034" s="3" t="s">
        <v>4274</v>
      </c>
      <c r="D1034" s="1">
        <v>175.44</v>
      </c>
      <c r="H1034" s="4" t="s">
        <v>25</v>
      </c>
    </row>
    <row r="1035" spans="3:8" x14ac:dyDescent="0.3">
      <c r="C1035" s="4" t="s">
        <v>4275</v>
      </c>
      <c r="D1035" s="1">
        <v>175.44</v>
      </c>
      <c r="H1035" s="5" t="s">
        <v>2396</v>
      </c>
    </row>
    <row r="1036" spans="3:8" x14ac:dyDescent="0.3">
      <c r="C1036" s="3" t="s">
        <v>3487</v>
      </c>
      <c r="D1036" s="1">
        <v>99.99</v>
      </c>
      <c r="H1036" s="3" t="s">
        <v>2552</v>
      </c>
    </row>
    <row r="1037" spans="3:8" x14ac:dyDescent="0.3">
      <c r="C1037" s="4" t="s">
        <v>390</v>
      </c>
      <c r="D1037" s="1">
        <v>99.99</v>
      </c>
      <c r="H1037" s="4" t="s">
        <v>25</v>
      </c>
    </row>
    <row r="1038" spans="3:8" x14ac:dyDescent="0.3">
      <c r="C1038" s="3" t="s">
        <v>2527</v>
      </c>
      <c r="D1038" s="1">
        <v>348.20800000000003</v>
      </c>
      <c r="H1038" s="5" t="s">
        <v>2553</v>
      </c>
    </row>
    <row r="1039" spans="3:8" x14ac:dyDescent="0.3">
      <c r="C1039" s="4" t="s">
        <v>1974</v>
      </c>
      <c r="D1039" s="1">
        <v>348.20800000000003</v>
      </c>
      <c r="H1039" s="3" t="s">
        <v>3269</v>
      </c>
    </row>
    <row r="1040" spans="3:8" x14ac:dyDescent="0.3">
      <c r="C1040" s="3" t="s">
        <v>825</v>
      </c>
      <c r="D1040" s="1">
        <v>10.56</v>
      </c>
      <c r="H1040" s="4" t="s">
        <v>25</v>
      </c>
    </row>
    <row r="1041" spans="3:8" x14ac:dyDescent="0.3">
      <c r="C1041" s="4" t="s">
        <v>382</v>
      </c>
      <c r="D1041" s="1">
        <v>10.56</v>
      </c>
      <c r="H1041" s="5" t="s">
        <v>3270</v>
      </c>
    </row>
    <row r="1042" spans="3:8" x14ac:dyDescent="0.3">
      <c r="C1042" s="3" t="s">
        <v>2232</v>
      </c>
      <c r="D1042" s="1">
        <v>46.96</v>
      </c>
      <c r="H1042" s="3" t="s">
        <v>3838</v>
      </c>
    </row>
    <row r="1043" spans="3:8" x14ac:dyDescent="0.3">
      <c r="C1043" s="4" t="s">
        <v>2233</v>
      </c>
      <c r="D1043" s="1">
        <v>46.96</v>
      </c>
      <c r="H1043" s="4" t="s">
        <v>25</v>
      </c>
    </row>
    <row r="1044" spans="3:8" x14ac:dyDescent="0.3">
      <c r="C1044" s="3" t="s">
        <v>389</v>
      </c>
      <c r="D1044" s="1">
        <v>96.53</v>
      </c>
      <c r="H1044" s="5" t="s">
        <v>3839</v>
      </c>
    </row>
    <row r="1045" spans="3:8" x14ac:dyDescent="0.3">
      <c r="C1045" s="4" t="s">
        <v>390</v>
      </c>
      <c r="D1045" s="1">
        <v>96.53</v>
      </c>
      <c r="H1045" s="3" t="s">
        <v>2939</v>
      </c>
    </row>
    <row r="1046" spans="3:8" x14ac:dyDescent="0.3">
      <c r="C1046" s="3" t="s">
        <v>3238</v>
      </c>
      <c r="D1046" s="1">
        <v>145.74</v>
      </c>
      <c r="H1046" s="4" t="s">
        <v>25</v>
      </c>
    </row>
    <row r="1047" spans="3:8" x14ac:dyDescent="0.3">
      <c r="C1047" s="4" t="s">
        <v>3239</v>
      </c>
      <c r="D1047" s="1">
        <v>145.74</v>
      </c>
      <c r="H1047" s="5" t="s">
        <v>2940</v>
      </c>
    </row>
    <row r="1048" spans="3:8" x14ac:dyDescent="0.3">
      <c r="C1048" s="3" t="s">
        <v>1875</v>
      </c>
      <c r="D1048" s="1">
        <v>191.98400000000001</v>
      </c>
      <c r="H1048" s="3" t="s">
        <v>1519</v>
      </c>
    </row>
    <row r="1049" spans="3:8" x14ac:dyDescent="0.3">
      <c r="C1049" s="4" t="s">
        <v>451</v>
      </c>
      <c r="D1049" s="1">
        <v>191.98400000000001</v>
      </c>
      <c r="H1049" s="4" t="s">
        <v>25</v>
      </c>
    </row>
    <row r="1050" spans="3:8" x14ac:dyDescent="0.3">
      <c r="C1050" s="3" t="s">
        <v>3035</v>
      </c>
      <c r="D1050" s="1">
        <v>160.77600000000001</v>
      </c>
      <c r="H1050" s="5" t="s">
        <v>1520</v>
      </c>
    </row>
    <row r="1051" spans="3:8" x14ac:dyDescent="0.3">
      <c r="C1051" s="4" t="s">
        <v>3036</v>
      </c>
      <c r="D1051" s="1">
        <v>160.77600000000001</v>
      </c>
      <c r="H1051" s="3" t="s">
        <v>375</v>
      </c>
    </row>
    <row r="1052" spans="3:8" x14ac:dyDescent="0.3">
      <c r="C1052" s="3" t="s">
        <v>2730</v>
      </c>
      <c r="D1052" s="1">
        <v>10.816000000000001</v>
      </c>
      <c r="H1052" s="4" t="s">
        <v>25</v>
      </c>
    </row>
    <row r="1053" spans="3:8" x14ac:dyDescent="0.3">
      <c r="C1053" s="4" t="s">
        <v>2731</v>
      </c>
      <c r="D1053" s="1">
        <v>10.816000000000001</v>
      </c>
      <c r="H1053" s="5" t="s">
        <v>376</v>
      </c>
    </row>
    <row r="1054" spans="3:8" x14ac:dyDescent="0.3">
      <c r="C1054" s="3" t="s">
        <v>1566</v>
      </c>
      <c r="D1054" s="1">
        <v>41.28</v>
      </c>
      <c r="H1054" s="3" t="s">
        <v>128</v>
      </c>
    </row>
    <row r="1055" spans="3:8" x14ac:dyDescent="0.3">
      <c r="C1055" s="4" t="s">
        <v>1567</v>
      </c>
      <c r="D1055" s="1">
        <v>41.28</v>
      </c>
      <c r="H1055" s="4" t="s">
        <v>25</v>
      </c>
    </row>
    <row r="1056" spans="3:8" x14ac:dyDescent="0.3">
      <c r="C1056" s="3" t="s">
        <v>1765</v>
      </c>
      <c r="D1056" s="1">
        <v>35.56</v>
      </c>
      <c r="H1056" s="5" t="s">
        <v>129</v>
      </c>
    </row>
    <row r="1057" spans="3:8" x14ac:dyDescent="0.3">
      <c r="C1057" s="4" t="s">
        <v>187</v>
      </c>
      <c r="D1057" s="1">
        <v>35.56</v>
      </c>
      <c r="H1057" s="3" t="s">
        <v>316</v>
      </c>
    </row>
    <row r="1058" spans="3:8" x14ac:dyDescent="0.3">
      <c r="C1058" s="3" t="s">
        <v>869</v>
      </c>
      <c r="D1058" s="1">
        <v>20.37</v>
      </c>
      <c r="H1058" s="4" t="s">
        <v>25</v>
      </c>
    </row>
    <row r="1059" spans="3:8" x14ac:dyDescent="0.3">
      <c r="C1059" s="4" t="s">
        <v>766</v>
      </c>
      <c r="D1059" s="1">
        <v>20.37</v>
      </c>
      <c r="H1059" s="5" t="s">
        <v>317</v>
      </c>
    </row>
    <row r="1060" spans="3:8" x14ac:dyDescent="0.3">
      <c r="C1060" s="3" t="s">
        <v>1485</v>
      </c>
      <c r="D1060" s="1">
        <v>6.63</v>
      </c>
      <c r="H1060" s="3" t="s">
        <v>2292</v>
      </c>
    </row>
    <row r="1061" spans="3:8" x14ac:dyDescent="0.3">
      <c r="C1061" s="4" t="s">
        <v>745</v>
      </c>
      <c r="D1061" s="1">
        <v>6.63</v>
      </c>
      <c r="H1061" s="4" t="s">
        <v>25</v>
      </c>
    </row>
    <row r="1062" spans="3:8" x14ac:dyDescent="0.3">
      <c r="C1062" s="3" t="s">
        <v>918</v>
      </c>
      <c r="D1062" s="1">
        <v>725.84</v>
      </c>
      <c r="H1062" s="5" t="s">
        <v>2293</v>
      </c>
    </row>
    <row r="1063" spans="3:8" x14ac:dyDescent="0.3">
      <c r="C1063" s="4" t="s">
        <v>919</v>
      </c>
      <c r="D1063" s="1">
        <v>725.84</v>
      </c>
      <c r="H1063" s="3" t="s">
        <v>852</v>
      </c>
    </row>
    <row r="1064" spans="3:8" x14ac:dyDescent="0.3">
      <c r="C1064" s="3" t="s">
        <v>1628</v>
      </c>
      <c r="D1064" s="1">
        <v>14.85</v>
      </c>
      <c r="H1064" s="4" t="s">
        <v>25</v>
      </c>
    </row>
    <row r="1065" spans="3:8" x14ac:dyDescent="0.3">
      <c r="C1065" s="4" t="s">
        <v>919</v>
      </c>
      <c r="D1065" s="1">
        <v>14.85</v>
      </c>
      <c r="H1065" s="5" t="s">
        <v>853</v>
      </c>
    </row>
    <row r="1066" spans="3:8" x14ac:dyDescent="0.3">
      <c r="C1066" s="3" t="s">
        <v>2948</v>
      </c>
      <c r="D1066" s="1">
        <v>12.84</v>
      </c>
      <c r="H1066" s="3" t="s">
        <v>1270</v>
      </c>
    </row>
    <row r="1067" spans="3:8" x14ac:dyDescent="0.3">
      <c r="C1067" s="4" t="s">
        <v>1478</v>
      </c>
      <c r="D1067" s="1">
        <v>12.84</v>
      </c>
      <c r="H1067" s="4" t="s">
        <v>25</v>
      </c>
    </row>
    <row r="1068" spans="3:8" x14ac:dyDescent="0.3">
      <c r="C1068" s="3" t="s">
        <v>4262</v>
      </c>
      <c r="D1068" s="1">
        <v>3404.5</v>
      </c>
      <c r="H1068" s="5" t="s">
        <v>1271</v>
      </c>
    </row>
    <row r="1069" spans="3:8" x14ac:dyDescent="0.3">
      <c r="C1069" s="4" t="s">
        <v>397</v>
      </c>
      <c r="D1069" s="1">
        <v>3404.5</v>
      </c>
      <c r="H1069" s="3" t="s">
        <v>291</v>
      </c>
    </row>
    <row r="1070" spans="3:8" x14ac:dyDescent="0.3">
      <c r="C1070" s="3" t="s">
        <v>3273</v>
      </c>
      <c r="D1070" s="1">
        <v>183.37200000000001</v>
      </c>
      <c r="H1070" s="4" t="s">
        <v>25</v>
      </c>
    </row>
    <row r="1071" spans="3:8" x14ac:dyDescent="0.3">
      <c r="C1071" s="4" t="s">
        <v>1805</v>
      </c>
      <c r="D1071" s="1">
        <v>183.37200000000001</v>
      </c>
      <c r="H1071" s="5" t="s">
        <v>292</v>
      </c>
    </row>
    <row r="1072" spans="3:8" x14ac:dyDescent="0.3">
      <c r="C1072" s="3" t="s">
        <v>1232</v>
      </c>
      <c r="D1072" s="1">
        <v>49.96</v>
      </c>
      <c r="H1072" s="3" t="s">
        <v>399</v>
      </c>
    </row>
    <row r="1073" spans="3:8" x14ac:dyDescent="0.3">
      <c r="C1073" s="4" t="s">
        <v>942</v>
      </c>
      <c r="D1073" s="1">
        <v>49.96</v>
      </c>
      <c r="H1073" s="4" t="s">
        <v>25</v>
      </c>
    </row>
    <row r="1074" spans="3:8" x14ac:dyDescent="0.3">
      <c r="C1074" s="3" t="s">
        <v>3105</v>
      </c>
      <c r="D1074" s="1">
        <v>86.97</v>
      </c>
      <c r="H1074" s="5" t="s">
        <v>400</v>
      </c>
    </row>
    <row r="1075" spans="3:8" x14ac:dyDescent="0.3">
      <c r="C1075" s="4" t="s">
        <v>3106</v>
      </c>
      <c r="D1075" s="1">
        <v>86.97</v>
      </c>
      <c r="H1075" s="3" t="s">
        <v>3087</v>
      </c>
    </row>
    <row r="1076" spans="3:8" x14ac:dyDescent="0.3">
      <c r="C1076" s="3" t="s">
        <v>2894</v>
      </c>
      <c r="D1076" s="1">
        <v>5.88</v>
      </c>
      <c r="H1076" s="4" t="s">
        <v>25</v>
      </c>
    </row>
    <row r="1077" spans="3:8" x14ac:dyDescent="0.3">
      <c r="C1077" s="4" t="s">
        <v>1580</v>
      </c>
      <c r="D1077" s="1">
        <v>5.88</v>
      </c>
      <c r="H1077" s="5" t="s">
        <v>3088</v>
      </c>
    </row>
    <row r="1078" spans="3:8" x14ac:dyDescent="0.3">
      <c r="C1078" s="3" t="s">
        <v>3380</v>
      </c>
      <c r="D1078" s="1">
        <v>44.4</v>
      </c>
      <c r="H1078" s="3" t="s">
        <v>3923</v>
      </c>
    </row>
    <row r="1079" spans="3:8" x14ac:dyDescent="0.3">
      <c r="C1079" s="4" t="s">
        <v>67</v>
      </c>
      <c r="D1079" s="1">
        <v>44.4</v>
      </c>
      <c r="H1079" s="4" t="s">
        <v>25</v>
      </c>
    </row>
    <row r="1080" spans="3:8" x14ac:dyDescent="0.3">
      <c r="C1080" s="3" t="s">
        <v>4169</v>
      </c>
      <c r="D1080" s="1">
        <v>101.34</v>
      </c>
      <c r="H1080" s="5" t="s">
        <v>3924</v>
      </c>
    </row>
    <row r="1081" spans="3:8" x14ac:dyDescent="0.3">
      <c r="C1081" s="4" t="s">
        <v>539</v>
      </c>
      <c r="D1081" s="1">
        <v>101.34</v>
      </c>
      <c r="H1081" s="3" t="s">
        <v>3694</v>
      </c>
    </row>
    <row r="1082" spans="3:8" x14ac:dyDescent="0.3">
      <c r="C1082" s="3" t="s">
        <v>1803</v>
      </c>
      <c r="D1082" s="1">
        <v>330.4</v>
      </c>
      <c r="H1082" s="4" t="s">
        <v>25</v>
      </c>
    </row>
    <row r="1083" spans="3:8" x14ac:dyDescent="0.3">
      <c r="C1083" s="4" t="s">
        <v>1804</v>
      </c>
      <c r="D1083" s="1">
        <v>330.4</v>
      </c>
      <c r="H1083" s="5" t="s">
        <v>3695</v>
      </c>
    </row>
    <row r="1084" spans="3:8" x14ac:dyDescent="0.3">
      <c r="C1084" s="3" t="s">
        <v>3794</v>
      </c>
      <c r="D1084" s="1">
        <v>65.424000000000007</v>
      </c>
      <c r="H1084" s="3" t="s">
        <v>3166</v>
      </c>
    </row>
    <row r="1085" spans="3:8" x14ac:dyDescent="0.3">
      <c r="C1085" s="4" t="s">
        <v>1131</v>
      </c>
      <c r="D1085" s="1">
        <v>65.424000000000007</v>
      </c>
      <c r="H1085" s="4" t="s">
        <v>25</v>
      </c>
    </row>
    <row r="1086" spans="3:8" x14ac:dyDescent="0.3">
      <c r="C1086" s="3" t="s">
        <v>2575</v>
      </c>
      <c r="D1086" s="1">
        <v>22.38</v>
      </c>
      <c r="H1086" s="5" t="s">
        <v>3167</v>
      </c>
    </row>
    <row r="1087" spans="3:8" x14ac:dyDescent="0.3">
      <c r="C1087" s="4" t="s">
        <v>2576</v>
      </c>
      <c r="D1087" s="1">
        <v>22.38</v>
      </c>
      <c r="H1087" s="3" t="s">
        <v>2299</v>
      </c>
    </row>
    <row r="1088" spans="3:8" x14ac:dyDescent="0.3">
      <c r="C1088" s="3" t="s">
        <v>640</v>
      </c>
      <c r="D1088" s="1">
        <v>52.448</v>
      </c>
      <c r="H1088" s="4" t="s">
        <v>25</v>
      </c>
    </row>
    <row r="1089" spans="3:8" x14ac:dyDescent="0.3">
      <c r="C1089" s="4" t="s">
        <v>641</v>
      </c>
      <c r="D1089" s="1">
        <v>52.448</v>
      </c>
      <c r="H1089" s="5" t="s">
        <v>2300</v>
      </c>
    </row>
    <row r="1090" spans="3:8" x14ac:dyDescent="0.3">
      <c r="C1090" s="3" t="s">
        <v>2104</v>
      </c>
      <c r="D1090" s="1">
        <v>67.8</v>
      </c>
      <c r="H1090" s="3" t="s">
        <v>1263</v>
      </c>
    </row>
    <row r="1091" spans="3:8" x14ac:dyDescent="0.3">
      <c r="C1091" s="4" t="s">
        <v>2105</v>
      </c>
      <c r="D1091" s="1">
        <v>67.8</v>
      </c>
      <c r="H1091" s="4" t="s">
        <v>25</v>
      </c>
    </row>
    <row r="1092" spans="3:8" x14ac:dyDescent="0.3">
      <c r="C1092" s="3" t="s">
        <v>1718</v>
      </c>
      <c r="D1092" s="1">
        <v>3.282</v>
      </c>
      <c r="H1092" s="5" t="s">
        <v>1264</v>
      </c>
    </row>
    <row r="1093" spans="3:8" x14ac:dyDescent="0.3">
      <c r="C1093" s="4" t="s">
        <v>1719</v>
      </c>
      <c r="D1093" s="1">
        <v>3.282</v>
      </c>
      <c r="H1093" s="3" t="s">
        <v>1311</v>
      </c>
    </row>
    <row r="1094" spans="3:8" x14ac:dyDescent="0.3">
      <c r="C1094" s="3" t="s">
        <v>883</v>
      </c>
      <c r="D1094" s="1">
        <v>2519.9580000000001</v>
      </c>
      <c r="H1094" s="4" t="s">
        <v>25</v>
      </c>
    </row>
    <row r="1095" spans="3:8" x14ac:dyDescent="0.3">
      <c r="C1095" s="4" t="s">
        <v>642</v>
      </c>
      <c r="D1095" s="1">
        <v>2519.9580000000001</v>
      </c>
      <c r="H1095" s="5" t="s">
        <v>1312</v>
      </c>
    </row>
    <row r="1096" spans="3:8" x14ac:dyDescent="0.3">
      <c r="C1096" s="3" t="s">
        <v>1370</v>
      </c>
      <c r="D1096" s="1">
        <v>129.56800000000001</v>
      </c>
      <c r="H1096" s="3" t="s">
        <v>921</v>
      </c>
    </row>
    <row r="1097" spans="3:8" x14ac:dyDescent="0.3">
      <c r="C1097" s="4" t="s">
        <v>1371</v>
      </c>
      <c r="D1097" s="1">
        <v>129.56800000000001</v>
      </c>
      <c r="H1097" s="4" t="s">
        <v>25</v>
      </c>
    </row>
    <row r="1098" spans="3:8" x14ac:dyDescent="0.3">
      <c r="C1098" s="3" t="s">
        <v>1752</v>
      </c>
      <c r="D1098" s="1">
        <v>8.69</v>
      </c>
      <c r="H1098" s="5" t="s">
        <v>922</v>
      </c>
    </row>
    <row r="1099" spans="3:8" x14ac:dyDescent="0.3">
      <c r="C1099" s="4" t="s">
        <v>496</v>
      </c>
      <c r="D1099" s="1">
        <v>8.69</v>
      </c>
      <c r="H1099" s="3" t="s">
        <v>968</v>
      </c>
    </row>
    <row r="1100" spans="3:8" x14ac:dyDescent="0.3">
      <c r="C1100" s="3" t="s">
        <v>3305</v>
      </c>
      <c r="D1100" s="1">
        <v>33.28</v>
      </c>
      <c r="H1100" s="4" t="s">
        <v>25</v>
      </c>
    </row>
    <row r="1101" spans="3:8" x14ac:dyDescent="0.3">
      <c r="C1101" s="4" t="s">
        <v>2024</v>
      </c>
      <c r="D1101" s="1">
        <v>33.28</v>
      </c>
      <c r="H1101" s="5" t="s">
        <v>969</v>
      </c>
    </row>
    <row r="1102" spans="3:8" x14ac:dyDescent="0.3">
      <c r="C1102" s="3" t="s">
        <v>2110</v>
      </c>
      <c r="D1102" s="1">
        <v>51.183999999999997</v>
      </c>
      <c r="H1102" s="3" t="s">
        <v>833</v>
      </c>
    </row>
    <row r="1103" spans="3:8" x14ac:dyDescent="0.3">
      <c r="C1103" s="4" t="s">
        <v>626</v>
      </c>
      <c r="D1103" s="1">
        <v>51.183999999999997</v>
      </c>
      <c r="H1103" s="4" t="s">
        <v>25</v>
      </c>
    </row>
    <row r="1104" spans="3:8" x14ac:dyDescent="0.3">
      <c r="C1104" s="3" t="s">
        <v>1880</v>
      </c>
      <c r="D1104" s="1">
        <v>104.01</v>
      </c>
      <c r="H1104" s="5" t="s">
        <v>834</v>
      </c>
    </row>
    <row r="1105" spans="3:8" x14ac:dyDescent="0.3">
      <c r="C1105" s="4" t="s">
        <v>1881</v>
      </c>
      <c r="D1105" s="1">
        <v>104.01</v>
      </c>
      <c r="H1105" s="3" t="s">
        <v>2402</v>
      </c>
    </row>
    <row r="1106" spans="3:8" x14ac:dyDescent="0.3">
      <c r="C1106" s="3" t="s">
        <v>3852</v>
      </c>
      <c r="D1106" s="1">
        <v>333</v>
      </c>
      <c r="H1106" s="4" t="s">
        <v>25</v>
      </c>
    </row>
    <row r="1107" spans="3:8" x14ac:dyDescent="0.3">
      <c r="C1107" s="4" t="s">
        <v>3853</v>
      </c>
      <c r="D1107" s="1">
        <v>333</v>
      </c>
      <c r="H1107" s="5" t="s">
        <v>2403</v>
      </c>
    </row>
    <row r="1108" spans="3:8" x14ac:dyDescent="0.3">
      <c r="C1108" s="3" t="s">
        <v>1138</v>
      </c>
      <c r="D1108" s="1">
        <v>1023.936</v>
      </c>
      <c r="H1108" s="3" t="s">
        <v>3953</v>
      </c>
    </row>
    <row r="1109" spans="3:8" x14ac:dyDescent="0.3">
      <c r="C1109" s="4" t="s">
        <v>1139</v>
      </c>
      <c r="D1109" s="1">
        <v>1023.936</v>
      </c>
      <c r="H1109" s="4" t="s">
        <v>25</v>
      </c>
    </row>
    <row r="1110" spans="3:8" x14ac:dyDescent="0.3">
      <c r="C1110" s="3" t="s">
        <v>3970</v>
      </c>
      <c r="D1110" s="1">
        <v>20.015999999999998</v>
      </c>
      <c r="H1110" s="5" t="s">
        <v>3954</v>
      </c>
    </row>
    <row r="1111" spans="3:8" x14ac:dyDescent="0.3">
      <c r="C1111" s="4" t="s">
        <v>1882</v>
      </c>
      <c r="D1111" s="1">
        <v>20.015999999999998</v>
      </c>
      <c r="H1111" s="3" t="s">
        <v>267</v>
      </c>
    </row>
    <row r="1112" spans="3:8" x14ac:dyDescent="0.3">
      <c r="C1112" s="3" t="s">
        <v>3139</v>
      </c>
      <c r="D1112" s="1">
        <v>75.599999999999994</v>
      </c>
      <c r="H1112" s="4" t="s">
        <v>25</v>
      </c>
    </row>
    <row r="1113" spans="3:8" x14ac:dyDescent="0.3">
      <c r="C1113" s="4" t="s">
        <v>2357</v>
      </c>
      <c r="D1113" s="1">
        <v>75.599999999999994</v>
      </c>
      <c r="H1113" s="5" t="s">
        <v>268</v>
      </c>
    </row>
    <row r="1114" spans="3:8" x14ac:dyDescent="0.3">
      <c r="C1114" s="3" t="s">
        <v>502</v>
      </c>
      <c r="D1114" s="1">
        <v>617.70000000000005</v>
      </c>
      <c r="H1114" s="3" t="s">
        <v>4140</v>
      </c>
    </row>
    <row r="1115" spans="3:8" x14ac:dyDescent="0.3">
      <c r="C1115" s="4" t="s">
        <v>503</v>
      </c>
      <c r="D1115" s="1">
        <v>617.70000000000005</v>
      </c>
      <c r="H1115" s="4" t="s">
        <v>25</v>
      </c>
    </row>
    <row r="1116" spans="3:8" x14ac:dyDescent="0.3">
      <c r="C1116" s="3" t="s">
        <v>1215</v>
      </c>
      <c r="D1116" s="1">
        <v>12.462</v>
      </c>
      <c r="H1116" s="5" t="s">
        <v>4141</v>
      </c>
    </row>
    <row r="1117" spans="3:8" x14ac:dyDescent="0.3">
      <c r="C1117" s="4" t="s">
        <v>1216</v>
      </c>
      <c r="D1117" s="1">
        <v>12.462</v>
      </c>
      <c r="H1117" s="3" t="s">
        <v>3431</v>
      </c>
    </row>
    <row r="1118" spans="3:8" x14ac:dyDescent="0.3">
      <c r="C1118" s="3" t="s">
        <v>1208</v>
      </c>
      <c r="D1118" s="1">
        <v>246.38399999999999</v>
      </c>
      <c r="H1118" s="4" t="s">
        <v>25</v>
      </c>
    </row>
    <row r="1119" spans="3:8" x14ac:dyDescent="0.3">
      <c r="C1119" s="4" t="s">
        <v>884</v>
      </c>
      <c r="D1119" s="1">
        <v>246.38399999999999</v>
      </c>
      <c r="H1119" s="5" t="s">
        <v>3432</v>
      </c>
    </row>
    <row r="1120" spans="3:8" x14ac:dyDescent="0.3">
      <c r="C1120" s="3" t="s">
        <v>1329</v>
      </c>
      <c r="D1120" s="1">
        <v>4.8120000000000003</v>
      </c>
      <c r="H1120" s="3" t="s">
        <v>4113</v>
      </c>
    </row>
    <row r="1121" spans="3:8" x14ac:dyDescent="0.3">
      <c r="C1121" s="4" t="s">
        <v>1330</v>
      </c>
      <c r="D1121" s="1">
        <v>4.8120000000000003</v>
      </c>
      <c r="H1121" s="4" t="s">
        <v>25</v>
      </c>
    </row>
    <row r="1122" spans="3:8" x14ac:dyDescent="0.3">
      <c r="C1122" s="3" t="s">
        <v>3745</v>
      </c>
      <c r="D1122" s="1">
        <v>5.18</v>
      </c>
      <c r="H1122" s="5" t="s">
        <v>4114</v>
      </c>
    </row>
    <row r="1123" spans="3:8" x14ac:dyDescent="0.3">
      <c r="C1123" s="4" t="s">
        <v>627</v>
      </c>
      <c r="D1123" s="1">
        <v>5.18</v>
      </c>
      <c r="H1123" s="3" t="s">
        <v>2781</v>
      </c>
    </row>
    <row r="1124" spans="3:8" x14ac:dyDescent="0.3">
      <c r="C1124" s="3" t="s">
        <v>2779</v>
      </c>
      <c r="D1124" s="1">
        <v>145.56800000000001</v>
      </c>
      <c r="H1124" s="4" t="s">
        <v>25</v>
      </c>
    </row>
    <row r="1125" spans="3:8" x14ac:dyDescent="0.3">
      <c r="C1125" s="4" t="s">
        <v>2065</v>
      </c>
      <c r="D1125" s="1">
        <v>145.56800000000001</v>
      </c>
      <c r="H1125" s="5" t="s">
        <v>2782</v>
      </c>
    </row>
    <row r="1126" spans="3:8" x14ac:dyDescent="0.3">
      <c r="C1126" s="3" t="s">
        <v>495</v>
      </c>
      <c r="D1126" s="1">
        <v>600.55799999999999</v>
      </c>
      <c r="H1126" s="3" t="s">
        <v>2623</v>
      </c>
    </row>
    <row r="1127" spans="3:8" x14ac:dyDescent="0.3">
      <c r="C1127" s="4" t="s">
        <v>496</v>
      </c>
      <c r="D1127" s="1">
        <v>600.55799999999999</v>
      </c>
      <c r="H1127" s="4" t="s">
        <v>25</v>
      </c>
    </row>
    <row r="1128" spans="3:8" x14ac:dyDescent="0.3">
      <c r="C1128" s="3" t="s">
        <v>818</v>
      </c>
      <c r="D1128" s="1">
        <v>18.648</v>
      </c>
      <c r="H1128" s="5" t="s">
        <v>2624</v>
      </c>
    </row>
    <row r="1129" spans="3:8" x14ac:dyDescent="0.3">
      <c r="C1129" s="4" t="s">
        <v>819</v>
      </c>
      <c r="D1129" s="1">
        <v>18.648</v>
      </c>
      <c r="H1129" s="3" t="s">
        <v>1118</v>
      </c>
    </row>
    <row r="1130" spans="3:8" x14ac:dyDescent="0.3">
      <c r="C1130" s="3" t="s">
        <v>2191</v>
      </c>
      <c r="D1130" s="1">
        <v>5.8920000000000003</v>
      </c>
      <c r="H1130" s="4" t="s">
        <v>25</v>
      </c>
    </row>
    <row r="1131" spans="3:8" x14ac:dyDescent="0.3">
      <c r="C1131" s="4" t="s">
        <v>820</v>
      </c>
      <c r="D1131" s="1">
        <v>5.8920000000000003</v>
      </c>
      <c r="H1131" s="5" t="s">
        <v>1119</v>
      </c>
    </row>
    <row r="1132" spans="3:8" x14ac:dyDescent="0.3">
      <c r="C1132" s="3" t="s">
        <v>46</v>
      </c>
      <c r="D1132" s="1">
        <v>957.57749999999999</v>
      </c>
      <c r="H1132" s="3" t="s">
        <v>1176</v>
      </c>
    </row>
    <row r="1133" spans="3:8" x14ac:dyDescent="0.3">
      <c r="C1133" s="4" t="s">
        <v>47</v>
      </c>
      <c r="D1133" s="1">
        <v>957.57749999999999</v>
      </c>
      <c r="H1133" s="4" t="s">
        <v>25</v>
      </c>
    </row>
    <row r="1134" spans="3:8" x14ac:dyDescent="0.3">
      <c r="C1134" s="3" t="s">
        <v>85</v>
      </c>
      <c r="D1134" s="1">
        <v>68.81</v>
      </c>
      <c r="H1134" s="5" t="s">
        <v>1177</v>
      </c>
    </row>
    <row r="1135" spans="3:8" x14ac:dyDescent="0.3">
      <c r="C1135" s="4" t="s">
        <v>86</v>
      </c>
      <c r="D1135" s="1">
        <v>68.81</v>
      </c>
      <c r="H1135" s="3" t="s">
        <v>4257</v>
      </c>
    </row>
    <row r="1136" spans="3:8" x14ac:dyDescent="0.3">
      <c r="C1136" s="3" t="s">
        <v>3623</v>
      </c>
      <c r="D1136" s="1">
        <v>32.192</v>
      </c>
      <c r="H1136" s="4" t="s">
        <v>25</v>
      </c>
    </row>
    <row r="1137" spans="3:8" x14ac:dyDescent="0.3">
      <c r="C1137" s="4" t="s">
        <v>1890</v>
      </c>
      <c r="D1137" s="1">
        <v>32.192</v>
      </c>
      <c r="H1137" s="5" t="s">
        <v>4258</v>
      </c>
    </row>
    <row r="1138" spans="3:8" x14ac:dyDescent="0.3">
      <c r="C1138" s="3" t="s">
        <v>2393</v>
      </c>
      <c r="D1138" s="1">
        <v>99.6</v>
      </c>
      <c r="H1138" s="3" t="s">
        <v>428</v>
      </c>
    </row>
    <row r="1139" spans="3:8" x14ac:dyDescent="0.3">
      <c r="C1139" s="4" t="s">
        <v>2394</v>
      </c>
      <c r="D1139" s="1">
        <v>99.6</v>
      </c>
      <c r="H1139" s="4" t="s">
        <v>25</v>
      </c>
    </row>
    <row r="1140" spans="3:8" x14ac:dyDescent="0.3">
      <c r="C1140" s="3" t="s">
        <v>3476</v>
      </c>
      <c r="D1140" s="1">
        <v>6.48</v>
      </c>
      <c r="H1140" s="5" t="s">
        <v>429</v>
      </c>
    </row>
    <row r="1141" spans="3:8" x14ac:dyDescent="0.3">
      <c r="C1141" s="4" t="s">
        <v>2925</v>
      </c>
      <c r="D1141" s="1">
        <v>6.48</v>
      </c>
      <c r="H1141" s="3" t="s">
        <v>533</v>
      </c>
    </row>
    <row r="1142" spans="3:8" x14ac:dyDescent="0.3">
      <c r="C1142" s="3" t="s">
        <v>304</v>
      </c>
      <c r="D1142" s="1">
        <v>831.93600000000004</v>
      </c>
      <c r="H1142" s="4" t="s">
        <v>25</v>
      </c>
    </row>
    <row r="1143" spans="3:8" x14ac:dyDescent="0.3">
      <c r="C1143" s="4" t="s">
        <v>305</v>
      </c>
      <c r="D1143" s="1">
        <v>831.93600000000004</v>
      </c>
      <c r="H1143" s="5" t="s">
        <v>534</v>
      </c>
    </row>
    <row r="1144" spans="3:8" x14ac:dyDescent="0.3">
      <c r="C1144" s="3" t="s">
        <v>481</v>
      </c>
      <c r="D1144" s="1">
        <v>157.79400000000001</v>
      </c>
      <c r="H1144" s="3" t="s">
        <v>188</v>
      </c>
    </row>
    <row r="1145" spans="3:8" x14ac:dyDescent="0.3">
      <c r="C1145" s="4" t="s">
        <v>482</v>
      </c>
      <c r="D1145" s="1">
        <v>157.79400000000001</v>
      </c>
      <c r="H1145" s="4" t="s">
        <v>25</v>
      </c>
    </row>
    <row r="1146" spans="3:8" x14ac:dyDescent="0.3">
      <c r="C1146" s="3" t="s">
        <v>1510</v>
      </c>
      <c r="D1146" s="1">
        <v>36.335999999999999</v>
      </c>
      <c r="H1146" s="5" t="s">
        <v>189</v>
      </c>
    </row>
    <row r="1147" spans="3:8" x14ac:dyDescent="0.3">
      <c r="C1147" s="4" t="s">
        <v>336</v>
      </c>
      <c r="D1147" s="1">
        <v>36.335999999999999</v>
      </c>
      <c r="H1147" s="3" t="s">
        <v>746</v>
      </c>
    </row>
    <row r="1148" spans="3:8" x14ac:dyDescent="0.3">
      <c r="C1148" s="3" t="s">
        <v>810</v>
      </c>
      <c r="D1148" s="1">
        <v>161.56800000000001</v>
      </c>
      <c r="H1148" s="4" t="s">
        <v>25</v>
      </c>
    </row>
    <row r="1149" spans="3:8" x14ac:dyDescent="0.3">
      <c r="C1149" s="4" t="s">
        <v>811</v>
      </c>
      <c r="D1149" s="1">
        <v>161.56800000000001</v>
      </c>
      <c r="H1149" s="5" t="s">
        <v>747</v>
      </c>
    </row>
    <row r="1150" spans="3:8" x14ac:dyDescent="0.3">
      <c r="C1150" s="3" t="s">
        <v>152</v>
      </c>
      <c r="D1150" s="1">
        <v>3083.43</v>
      </c>
      <c r="H1150" s="3" t="s">
        <v>760</v>
      </c>
    </row>
    <row r="1151" spans="3:8" x14ac:dyDescent="0.3">
      <c r="C1151" s="4" t="s">
        <v>153</v>
      </c>
      <c r="D1151" s="1">
        <v>3083.43</v>
      </c>
      <c r="H1151" s="4" t="s">
        <v>25</v>
      </c>
    </row>
    <row r="1152" spans="3:8" x14ac:dyDescent="0.3">
      <c r="C1152" s="3" t="s">
        <v>2457</v>
      </c>
      <c r="D1152" s="1">
        <v>168.464</v>
      </c>
      <c r="H1152" s="5" t="s">
        <v>761</v>
      </c>
    </row>
    <row r="1153" spans="3:8" x14ac:dyDescent="0.3">
      <c r="C1153" s="4" t="s">
        <v>1669</v>
      </c>
      <c r="D1153" s="1">
        <v>168.464</v>
      </c>
      <c r="H1153" s="3" t="s">
        <v>1248</v>
      </c>
    </row>
    <row r="1154" spans="3:8" x14ac:dyDescent="0.3">
      <c r="C1154" s="3" t="s">
        <v>425</v>
      </c>
      <c r="D1154" s="1">
        <v>238.89599999999999</v>
      </c>
      <c r="H1154" s="4" t="s">
        <v>25</v>
      </c>
    </row>
    <row r="1155" spans="3:8" x14ac:dyDescent="0.3">
      <c r="C1155" s="4" t="s">
        <v>426</v>
      </c>
      <c r="D1155" s="1">
        <v>238.89599999999999</v>
      </c>
      <c r="H1155" s="5" t="s">
        <v>1249</v>
      </c>
    </row>
    <row r="1156" spans="3:8" x14ac:dyDescent="0.3">
      <c r="C1156" s="3" t="s">
        <v>2042</v>
      </c>
      <c r="D1156" s="1">
        <v>35.49</v>
      </c>
      <c r="H1156" s="3" t="s">
        <v>231</v>
      </c>
    </row>
    <row r="1157" spans="3:8" x14ac:dyDescent="0.3">
      <c r="C1157" s="4" t="s">
        <v>2043</v>
      </c>
      <c r="D1157" s="1">
        <v>35.49</v>
      </c>
      <c r="H1157" s="4" t="s">
        <v>25</v>
      </c>
    </row>
    <row r="1158" spans="3:8" x14ac:dyDescent="0.3">
      <c r="C1158" s="3" t="s">
        <v>862</v>
      </c>
      <c r="D1158" s="1">
        <v>82.367999999999995</v>
      </c>
      <c r="H1158" s="5" t="s">
        <v>232</v>
      </c>
    </row>
    <row r="1159" spans="3:8" x14ac:dyDescent="0.3">
      <c r="C1159" s="4" t="s">
        <v>863</v>
      </c>
      <c r="D1159" s="1">
        <v>82.367999999999995</v>
      </c>
      <c r="H1159" s="3" t="s">
        <v>2111</v>
      </c>
    </row>
    <row r="1160" spans="3:8" x14ac:dyDescent="0.3">
      <c r="C1160" s="3" t="s">
        <v>2849</v>
      </c>
      <c r="D1160" s="1">
        <v>2.0249999999999999</v>
      </c>
      <c r="H1160" s="4" t="s">
        <v>25</v>
      </c>
    </row>
    <row r="1161" spans="3:8" x14ac:dyDescent="0.3">
      <c r="C1161" s="4" t="s">
        <v>2850</v>
      </c>
      <c r="D1161" s="1">
        <v>2.0249999999999999</v>
      </c>
      <c r="H1161" s="5" t="s">
        <v>2112</v>
      </c>
    </row>
    <row r="1162" spans="3:8" x14ac:dyDescent="0.3">
      <c r="C1162" s="3" t="s">
        <v>3920</v>
      </c>
      <c r="D1162" s="1">
        <v>42.24</v>
      </c>
      <c r="H1162" s="3" t="s">
        <v>847</v>
      </c>
    </row>
    <row r="1163" spans="3:8" x14ac:dyDescent="0.3">
      <c r="C1163" s="4" t="s">
        <v>3921</v>
      </c>
      <c r="D1163" s="1">
        <v>42.24</v>
      </c>
      <c r="H1163" s="4" t="s">
        <v>25</v>
      </c>
    </row>
    <row r="1164" spans="3:8" x14ac:dyDescent="0.3">
      <c r="C1164" s="3" t="s">
        <v>3760</v>
      </c>
      <c r="D1164" s="1">
        <v>12.672000000000001</v>
      </c>
      <c r="H1164" s="5" t="s">
        <v>848</v>
      </c>
    </row>
    <row r="1165" spans="3:8" x14ac:dyDescent="0.3">
      <c r="C1165" s="4" t="s">
        <v>178</v>
      </c>
      <c r="D1165" s="1">
        <v>12.672000000000001</v>
      </c>
      <c r="H1165" s="3" t="s">
        <v>2199</v>
      </c>
    </row>
    <row r="1166" spans="3:8" x14ac:dyDescent="0.3">
      <c r="C1166" s="3" t="s">
        <v>271</v>
      </c>
      <c r="D1166" s="1">
        <v>213.11500000000001</v>
      </c>
      <c r="H1166" s="4" t="s">
        <v>25</v>
      </c>
    </row>
    <row r="1167" spans="3:8" x14ac:dyDescent="0.3">
      <c r="C1167" s="4" t="s">
        <v>272</v>
      </c>
      <c r="D1167" s="1">
        <v>213.11500000000001</v>
      </c>
      <c r="H1167" s="5" t="s">
        <v>2200</v>
      </c>
    </row>
    <row r="1168" spans="3:8" x14ac:dyDescent="0.3">
      <c r="C1168" s="3" t="s">
        <v>2837</v>
      </c>
      <c r="D1168" s="1">
        <v>29.8</v>
      </c>
      <c r="H1168" s="3" t="s">
        <v>1600</v>
      </c>
    </row>
    <row r="1169" spans="3:8" x14ac:dyDescent="0.3">
      <c r="C1169" s="4" t="s">
        <v>2622</v>
      </c>
      <c r="D1169" s="1">
        <v>29.8</v>
      </c>
      <c r="H1169" s="4" t="s">
        <v>25</v>
      </c>
    </row>
    <row r="1170" spans="3:8" x14ac:dyDescent="0.3">
      <c r="C1170" s="3" t="s">
        <v>3952</v>
      </c>
      <c r="D1170" s="1">
        <v>101.94</v>
      </c>
      <c r="H1170" s="5" t="s">
        <v>1601</v>
      </c>
    </row>
    <row r="1171" spans="3:8" x14ac:dyDescent="0.3">
      <c r="C1171" s="4" t="s">
        <v>3477</v>
      </c>
      <c r="D1171" s="1">
        <v>101.94</v>
      </c>
      <c r="H1171" s="3" t="s">
        <v>2725</v>
      </c>
    </row>
    <row r="1172" spans="3:8" x14ac:dyDescent="0.3">
      <c r="C1172" s="3" t="s">
        <v>1181</v>
      </c>
      <c r="D1172" s="1">
        <v>375.45749999999998</v>
      </c>
      <c r="H1172" s="4" t="s">
        <v>25</v>
      </c>
    </row>
    <row r="1173" spans="3:8" x14ac:dyDescent="0.3">
      <c r="C1173" s="4" t="s">
        <v>1182</v>
      </c>
      <c r="D1173" s="1">
        <v>375.45749999999998</v>
      </c>
      <c r="H1173" s="5" t="s">
        <v>2726</v>
      </c>
    </row>
    <row r="1174" spans="3:8" x14ac:dyDescent="0.3">
      <c r="C1174" s="3" t="s">
        <v>1705</v>
      </c>
      <c r="D1174" s="1">
        <v>143.982</v>
      </c>
      <c r="H1174" s="3" t="s">
        <v>1695</v>
      </c>
    </row>
    <row r="1175" spans="3:8" x14ac:dyDescent="0.3">
      <c r="C1175" s="4" t="s">
        <v>693</v>
      </c>
      <c r="D1175" s="1">
        <v>143.982</v>
      </c>
      <c r="H1175" s="4" t="s">
        <v>25</v>
      </c>
    </row>
    <row r="1176" spans="3:8" x14ac:dyDescent="0.3">
      <c r="C1176" s="3" t="s">
        <v>3178</v>
      </c>
      <c r="D1176" s="1">
        <v>24.96</v>
      </c>
      <c r="H1176" s="5" t="s">
        <v>1696</v>
      </c>
    </row>
    <row r="1177" spans="3:8" x14ac:dyDescent="0.3">
      <c r="C1177" s="4" t="s">
        <v>531</v>
      </c>
      <c r="D1177" s="1">
        <v>24.96</v>
      </c>
      <c r="H1177" s="3" t="s">
        <v>4282</v>
      </c>
    </row>
    <row r="1178" spans="3:8" x14ac:dyDescent="0.3">
      <c r="C1178" s="3" t="s">
        <v>2685</v>
      </c>
      <c r="D1178" s="1">
        <v>102.336</v>
      </c>
      <c r="H1178" s="4" t="s">
        <v>25</v>
      </c>
    </row>
    <row r="1179" spans="3:8" x14ac:dyDescent="0.3">
      <c r="C1179" s="4" t="s">
        <v>1317</v>
      </c>
      <c r="D1179" s="1">
        <v>102.336</v>
      </c>
      <c r="H1179" s="5" t="s">
        <v>4283</v>
      </c>
    </row>
    <row r="1180" spans="3:8" x14ac:dyDescent="0.3">
      <c r="C1180" s="3" t="s">
        <v>1462</v>
      </c>
      <c r="D1180" s="1">
        <v>22.62</v>
      </c>
      <c r="H1180" s="3" t="s">
        <v>2174</v>
      </c>
    </row>
    <row r="1181" spans="3:8" x14ac:dyDescent="0.3">
      <c r="C1181" s="4" t="s">
        <v>1463</v>
      </c>
      <c r="D1181" s="1">
        <v>22.62</v>
      </c>
      <c r="H1181" s="4" t="s">
        <v>25</v>
      </c>
    </row>
    <row r="1182" spans="3:8" x14ac:dyDescent="0.3">
      <c r="C1182" s="3" t="s">
        <v>4022</v>
      </c>
      <c r="D1182" s="1">
        <v>9099.93</v>
      </c>
      <c r="H1182" s="5" t="s">
        <v>2175</v>
      </c>
    </row>
    <row r="1183" spans="3:8" x14ac:dyDescent="0.3">
      <c r="C1183" s="4" t="s">
        <v>4023</v>
      </c>
      <c r="D1183" s="1">
        <v>9099.93</v>
      </c>
      <c r="H1183" s="3" t="s">
        <v>519</v>
      </c>
    </row>
    <row r="1184" spans="3:8" x14ac:dyDescent="0.3">
      <c r="C1184" s="3" t="s">
        <v>2876</v>
      </c>
      <c r="D1184" s="1">
        <v>177</v>
      </c>
      <c r="H1184" s="4" t="s">
        <v>25</v>
      </c>
    </row>
    <row r="1185" spans="3:8" x14ac:dyDescent="0.3">
      <c r="C1185" s="4" t="s">
        <v>2877</v>
      </c>
      <c r="D1185" s="1">
        <v>177</v>
      </c>
      <c r="H1185" s="5" t="s">
        <v>520</v>
      </c>
    </row>
    <row r="1186" spans="3:8" x14ac:dyDescent="0.3">
      <c r="C1186" s="3" t="s">
        <v>2804</v>
      </c>
      <c r="D1186" s="1">
        <v>348.84</v>
      </c>
      <c r="H1186" s="3" t="s">
        <v>3917</v>
      </c>
    </row>
    <row r="1187" spans="3:8" x14ac:dyDescent="0.3">
      <c r="C1187" s="4" t="s">
        <v>2805</v>
      </c>
      <c r="D1187" s="1">
        <v>348.84</v>
      </c>
      <c r="H1187" s="4" t="s">
        <v>25</v>
      </c>
    </row>
    <row r="1188" spans="3:8" x14ac:dyDescent="0.3">
      <c r="C1188" s="3" t="s">
        <v>2239</v>
      </c>
      <c r="D1188" s="1">
        <v>8.9039999999999999</v>
      </c>
      <c r="H1188" s="5" t="s">
        <v>3918</v>
      </c>
    </row>
    <row r="1189" spans="3:8" x14ac:dyDescent="0.3">
      <c r="C1189" s="4" t="s">
        <v>360</v>
      </c>
      <c r="D1189" s="1">
        <v>8.9039999999999999</v>
      </c>
      <c r="H1189" s="3" t="s">
        <v>1480</v>
      </c>
    </row>
    <row r="1190" spans="3:8" x14ac:dyDescent="0.3">
      <c r="C1190" s="3" t="s">
        <v>3927</v>
      </c>
      <c r="D1190" s="1">
        <v>39.92</v>
      </c>
      <c r="H1190" s="4" t="s">
        <v>25</v>
      </c>
    </row>
    <row r="1191" spans="3:8" x14ac:dyDescent="0.3">
      <c r="C1191" s="4" t="s">
        <v>3928</v>
      </c>
      <c r="D1191" s="1">
        <v>39.92</v>
      </c>
      <c r="H1191" s="5" t="s">
        <v>1481</v>
      </c>
    </row>
    <row r="1192" spans="3:8" x14ac:dyDescent="0.3">
      <c r="C1192" s="3" t="s">
        <v>1448</v>
      </c>
      <c r="D1192" s="1">
        <v>189.88200000000001</v>
      </c>
      <c r="H1192" s="3" t="s">
        <v>2052</v>
      </c>
    </row>
    <row r="1193" spans="3:8" x14ac:dyDescent="0.3">
      <c r="C1193" s="4" t="s">
        <v>1449</v>
      </c>
      <c r="D1193" s="1">
        <v>189.88200000000001</v>
      </c>
      <c r="H1193" s="4" t="s">
        <v>25</v>
      </c>
    </row>
    <row r="1194" spans="3:8" x14ac:dyDescent="0.3">
      <c r="C1194" s="3" t="s">
        <v>1790</v>
      </c>
      <c r="D1194" s="1">
        <v>18.882000000000001</v>
      </c>
      <c r="H1194" s="5" t="s">
        <v>2053</v>
      </c>
    </row>
    <row r="1195" spans="3:8" x14ac:dyDescent="0.3">
      <c r="C1195" s="4" t="s">
        <v>1791</v>
      </c>
      <c r="D1195" s="1">
        <v>18.882000000000001</v>
      </c>
      <c r="H1195" s="3" t="s">
        <v>2516</v>
      </c>
    </row>
    <row r="1196" spans="3:8" x14ac:dyDescent="0.3">
      <c r="C1196" s="3" t="s">
        <v>1315</v>
      </c>
      <c r="D1196" s="1">
        <v>189.58799999999999</v>
      </c>
      <c r="H1196" s="4" t="s">
        <v>25</v>
      </c>
    </row>
    <row r="1197" spans="3:8" x14ac:dyDescent="0.3">
      <c r="C1197" s="4" t="s">
        <v>1316</v>
      </c>
      <c r="D1197" s="1">
        <v>189.58799999999999</v>
      </c>
      <c r="H1197" s="5" t="s">
        <v>2517</v>
      </c>
    </row>
    <row r="1198" spans="3:8" x14ac:dyDescent="0.3">
      <c r="C1198" s="3" t="s">
        <v>517</v>
      </c>
      <c r="D1198" s="1">
        <v>238.56</v>
      </c>
      <c r="H1198" s="3" t="s">
        <v>162</v>
      </c>
    </row>
    <row r="1199" spans="3:8" x14ac:dyDescent="0.3">
      <c r="C1199" s="4" t="s">
        <v>518</v>
      </c>
      <c r="D1199" s="1">
        <v>238.56</v>
      </c>
      <c r="H1199" s="4" t="s">
        <v>25</v>
      </c>
    </row>
    <row r="1200" spans="3:8" x14ac:dyDescent="0.3">
      <c r="C1200" s="3" t="s">
        <v>3569</v>
      </c>
      <c r="D1200" s="1">
        <v>51.712000000000003</v>
      </c>
      <c r="H1200" s="5" t="s">
        <v>163</v>
      </c>
    </row>
    <row r="1201" spans="3:8" x14ac:dyDescent="0.3">
      <c r="C1201" s="4" t="s">
        <v>3570</v>
      </c>
      <c r="D1201" s="1">
        <v>51.712000000000003</v>
      </c>
      <c r="H1201" s="3" t="s">
        <v>4019</v>
      </c>
    </row>
    <row r="1202" spans="3:8" x14ac:dyDescent="0.3">
      <c r="C1202" s="3" t="s">
        <v>3766</v>
      </c>
      <c r="D1202" s="1">
        <v>122.92</v>
      </c>
      <c r="H1202" s="4" t="s">
        <v>25</v>
      </c>
    </row>
    <row r="1203" spans="3:8" x14ac:dyDescent="0.3">
      <c r="C1203" s="4" t="s">
        <v>590</v>
      </c>
      <c r="D1203" s="1">
        <v>122.92</v>
      </c>
      <c r="H1203" s="5" t="s">
        <v>4020</v>
      </c>
    </row>
    <row r="1204" spans="3:8" x14ac:dyDescent="0.3">
      <c r="C1204" s="3" t="s">
        <v>2962</v>
      </c>
      <c r="D1204" s="1">
        <v>33.488</v>
      </c>
      <c r="H1204" s="3" t="s">
        <v>731</v>
      </c>
    </row>
    <row r="1205" spans="3:8" x14ac:dyDescent="0.3">
      <c r="C1205" s="4" t="s">
        <v>1316</v>
      </c>
      <c r="D1205" s="1">
        <v>33.488</v>
      </c>
      <c r="H1205" s="4" t="s">
        <v>25</v>
      </c>
    </row>
    <row r="1206" spans="3:8" x14ac:dyDescent="0.3">
      <c r="C1206" s="3" t="s">
        <v>1146</v>
      </c>
      <c r="D1206" s="1">
        <v>99.135999999999996</v>
      </c>
      <c r="H1206" s="5" t="s">
        <v>732</v>
      </c>
    </row>
    <row r="1207" spans="3:8" x14ac:dyDescent="0.3">
      <c r="C1207" s="4" t="s">
        <v>1147</v>
      </c>
      <c r="D1207" s="1">
        <v>99.135999999999996</v>
      </c>
      <c r="H1207" s="3" t="s">
        <v>2858</v>
      </c>
    </row>
    <row r="1208" spans="3:8" x14ac:dyDescent="0.3">
      <c r="C1208" s="3" t="s">
        <v>2550</v>
      </c>
      <c r="D1208" s="1">
        <v>7.56</v>
      </c>
      <c r="H1208" s="4" t="s">
        <v>25</v>
      </c>
    </row>
    <row r="1209" spans="3:8" x14ac:dyDescent="0.3">
      <c r="C1209" s="4" t="s">
        <v>2551</v>
      </c>
      <c r="D1209" s="1">
        <v>7.56</v>
      </c>
      <c r="H1209" s="5" t="s">
        <v>2859</v>
      </c>
    </row>
    <row r="1210" spans="3:8" x14ac:dyDescent="0.3">
      <c r="C1210" s="3" t="s">
        <v>1777</v>
      </c>
      <c r="D1210" s="1">
        <v>243.38399999999999</v>
      </c>
      <c r="H1210" s="3" t="s">
        <v>3135</v>
      </c>
    </row>
    <row r="1211" spans="3:8" x14ac:dyDescent="0.3">
      <c r="C1211" s="4" t="s">
        <v>247</v>
      </c>
      <c r="D1211" s="1">
        <v>243.38399999999999</v>
      </c>
      <c r="H1211" s="4" t="s">
        <v>25</v>
      </c>
    </row>
    <row r="1212" spans="3:8" x14ac:dyDescent="0.3">
      <c r="C1212" s="3" t="s">
        <v>3525</v>
      </c>
      <c r="D1212" s="1">
        <v>14.272</v>
      </c>
      <c r="H1212" s="5" t="s">
        <v>3136</v>
      </c>
    </row>
    <row r="1213" spans="3:8" x14ac:dyDescent="0.3">
      <c r="C1213" s="4" t="s">
        <v>3526</v>
      </c>
      <c r="D1213" s="1">
        <v>14.272</v>
      </c>
      <c r="H1213" s="3" t="s">
        <v>3488</v>
      </c>
    </row>
    <row r="1214" spans="3:8" x14ac:dyDescent="0.3">
      <c r="C1214" s="3" t="s">
        <v>1057</v>
      </c>
      <c r="D1214" s="1">
        <v>290.89800000000002</v>
      </c>
      <c r="H1214" s="4" t="s">
        <v>25</v>
      </c>
    </row>
    <row r="1215" spans="3:8" x14ac:dyDescent="0.3">
      <c r="C1215" s="4" t="s">
        <v>1058</v>
      </c>
      <c r="D1215" s="1">
        <v>290.89800000000002</v>
      </c>
      <c r="H1215" s="5" t="s">
        <v>3489</v>
      </c>
    </row>
    <row r="1216" spans="3:8" x14ac:dyDescent="0.3">
      <c r="C1216" s="3" t="s">
        <v>2667</v>
      </c>
      <c r="D1216" s="1">
        <v>17.616</v>
      </c>
      <c r="H1216" s="3" t="s">
        <v>1871</v>
      </c>
    </row>
    <row r="1217" spans="3:8" x14ac:dyDescent="0.3">
      <c r="C1217" s="4" t="s">
        <v>789</v>
      </c>
      <c r="D1217" s="1">
        <v>17.616</v>
      </c>
      <c r="H1217" s="4" t="s">
        <v>25</v>
      </c>
    </row>
    <row r="1218" spans="3:8" x14ac:dyDescent="0.3">
      <c r="C1218" s="3" t="s">
        <v>1987</v>
      </c>
      <c r="D1218" s="1">
        <v>4.6239999999999997</v>
      </c>
      <c r="H1218" s="5" t="s">
        <v>1872</v>
      </c>
    </row>
    <row r="1219" spans="3:8" x14ac:dyDescent="0.3">
      <c r="C1219" s="4" t="s">
        <v>1988</v>
      </c>
      <c r="D1219" s="1">
        <v>4.6239999999999997</v>
      </c>
      <c r="H1219" s="3" t="s">
        <v>2957</v>
      </c>
    </row>
    <row r="1220" spans="3:8" x14ac:dyDescent="0.3">
      <c r="C1220" s="3" t="s">
        <v>1064</v>
      </c>
      <c r="D1220" s="1">
        <v>82.8</v>
      </c>
      <c r="H1220" s="4" t="s">
        <v>25</v>
      </c>
    </row>
    <row r="1221" spans="3:8" x14ac:dyDescent="0.3">
      <c r="C1221" s="4" t="s">
        <v>1065</v>
      </c>
      <c r="D1221" s="1">
        <v>82.8</v>
      </c>
      <c r="H1221" s="5" t="s">
        <v>2958</v>
      </c>
    </row>
    <row r="1222" spans="3:8" x14ac:dyDescent="0.3">
      <c r="C1222" s="3" t="s">
        <v>1965</v>
      </c>
      <c r="D1222" s="1">
        <v>182.72</v>
      </c>
      <c r="H1222" s="3" t="s">
        <v>2080</v>
      </c>
    </row>
    <row r="1223" spans="3:8" x14ac:dyDescent="0.3">
      <c r="C1223" s="4" t="s">
        <v>1966</v>
      </c>
      <c r="D1223" s="1">
        <v>182.72</v>
      </c>
      <c r="H1223" s="4" t="s">
        <v>25</v>
      </c>
    </row>
    <row r="1224" spans="3:8" x14ac:dyDescent="0.3">
      <c r="C1224" s="3" t="s">
        <v>1676</v>
      </c>
      <c r="D1224" s="1">
        <v>84.784000000000006</v>
      </c>
      <c r="H1224" s="5" t="s">
        <v>2081</v>
      </c>
    </row>
    <row r="1225" spans="3:8" x14ac:dyDescent="0.3">
      <c r="C1225" s="4" t="s">
        <v>1677</v>
      </c>
      <c r="D1225" s="1">
        <v>84.784000000000006</v>
      </c>
      <c r="H1225" s="3" t="s">
        <v>1456</v>
      </c>
    </row>
    <row r="1226" spans="3:8" x14ac:dyDescent="0.3">
      <c r="C1226" s="3" t="s">
        <v>4256</v>
      </c>
      <c r="D1226" s="1">
        <v>703.71</v>
      </c>
      <c r="H1226" s="4" t="s">
        <v>25</v>
      </c>
    </row>
    <row r="1227" spans="3:8" x14ac:dyDescent="0.3">
      <c r="C1227" s="4" t="s">
        <v>2228</v>
      </c>
      <c r="D1227" s="1">
        <v>703.71</v>
      </c>
      <c r="H1227" s="5" t="s">
        <v>1457</v>
      </c>
    </row>
    <row r="1228" spans="3:8" x14ac:dyDescent="0.3">
      <c r="C1228" s="3" t="s">
        <v>3053</v>
      </c>
      <c r="D1228" s="1">
        <v>13.616</v>
      </c>
      <c r="H1228" s="3" t="s">
        <v>4008</v>
      </c>
    </row>
    <row r="1229" spans="3:8" x14ac:dyDescent="0.3">
      <c r="C1229" s="4" t="s">
        <v>1396</v>
      </c>
      <c r="D1229" s="1">
        <v>13.616</v>
      </c>
      <c r="H1229" s="4" t="s">
        <v>25</v>
      </c>
    </row>
    <row r="1230" spans="3:8" x14ac:dyDescent="0.3">
      <c r="C1230" s="3" t="s">
        <v>3934</v>
      </c>
      <c r="D1230" s="1">
        <v>79.12</v>
      </c>
      <c r="H1230" s="5" t="s">
        <v>4009</v>
      </c>
    </row>
    <row r="1231" spans="3:8" x14ac:dyDescent="0.3">
      <c r="C1231" s="4" t="s">
        <v>1574</v>
      </c>
      <c r="D1231" s="1">
        <v>79.12</v>
      </c>
      <c r="H1231" s="3" t="s">
        <v>2865</v>
      </c>
    </row>
    <row r="1232" spans="3:8" x14ac:dyDescent="0.3">
      <c r="C1232" s="3" t="s">
        <v>1929</v>
      </c>
      <c r="D1232" s="1">
        <v>281.33999999999997</v>
      </c>
      <c r="H1232" s="4" t="s">
        <v>25</v>
      </c>
    </row>
    <row r="1233" spans="3:8" x14ac:dyDescent="0.3">
      <c r="C1233" s="4" t="s">
        <v>1771</v>
      </c>
      <c r="D1233" s="1">
        <v>281.33999999999997</v>
      </c>
      <c r="H1233" s="5" t="s">
        <v>2866</v>
      </c>
    </row>
    <row r="1234" spans="3:8" x14ac:dyDescent="0.3">
      <c r="C1234" s="3" t="s">
        <v>510</v>
      </c>
      <c r="D1234" s="1">
        <v>2.3879999999999999</v>
      </c>
      <c r="H1234" s="3" t="s">
        <v>1793</v>
      </c>
    </row>
    <row r="1235" spans="3:8" x14ac:dyDescent="0.3">
      <c r="C1235" s="4" t="s">
        <v>511</v>
      </c>
      <c r="D1235" s="1">
        <v>2.3879999999999999</v>
      </c>
      <c r="H1235" s="4" t="s">
        <v>25</v>
      </c>
    </row>
    <row r="1236" spans="3:8" x14ac:dyDescent="0.3">
      <c r="C1236" s="3" t="s">
        <v>3198</v>
      </c>
      <c r="D1236" s="1">
        <v>34.65</v>
      </c>
      <c r="H1236" s="5" t="s">
        <v>1794</v>
      </c>
    </row>
    <row r="1237" spans="3:8" x14ac:dyDescent="0.3">
      <c r="C1237" s="4" t="s">
        <v>3199</v>
      </c>
      <c r="D1237" s="1">
        <v>34.65</v>
      </c>
      <c r="H1237" s="3" t="s">
        <v>3187</v>
      </c>
    </row>
    <row r="1238" spans="3:8" x14ac:dyDescent="0.3">
      <c r="C1238" s="3" t="s">
        <v>3788</v>
      </c>
      <c r="D1238" s="1">
        <v>129.91999999999999</v>
      </c>
      <c r="H1238" s="4" t="s">
        <v>25</v>
      </c>
    </row>
    <row r="1239" spans="3:8" x14ac:dyDescent="0.3">
      <c r="C1239" s="4" t="s">
        <v>1295</v>
      </c>
      <c r="D1239" s="1">
        <v>129.91999999999999</v>
      </c>
      <c r="H1239" s="5" t="s">
        <v>3188</v>
      </c>
    </row>
    <row r="1240" spans="3:8" x14ac:dyDescent="0.3">
      <c r="C1240" s="3" t="s">
        <v>380</v>
      </c>
      <c r="D1240" s="1">
        <v>5.6820000000000004</v>
      </c>
      <c r="H1240" s="3" t="s">
        <v>2471</v>
      </c>
    </row>
    <row r="1241" spans="3:8" x14ac:dyDescent="0.3">
      <c r="C1241" s="4" t="s">
        <v>381</v>
      </c>
      <c r="D1241" s="1">
        <v>5.6820000000000004</v>
      </c>
      <c r="H1241" s="4" t="s">
        <v>25</v>
      </c>
    </row>
    <row r="1242" spans="3:8" x14ac:dyDescent="0.3">
      <c r="C1242" s="3" t="s">
        <v>3586</v>
      </c>
      <c r="D1242" s="1">
        <v>42.624000000000002</v>
      </c>
      <c r="H1242" s="5" t="s">
        <v>2472</v>
      </c>
    </row>
    <row r="1243" spans="3:8" x14ac:dyDescent="0.3">
      <c r="C1243" s="4" t="s">
        <v>2304</v>
      </c>
      <c r="D1243" s="1">
        <v>42.624000000000002</v>
      </c>
      <c r="H1243" s="3" t="s">
        <v>556</v>
      </c>
    </row>
    <row r="1244" spans="3:8" x14ac:dyDescent="0.3">
      <c r="C1244" s="3" t="s">
        <v>3800</v>
      </c>
      <c r="D1244" s="1">
        <v>32.896000000000001</v>
      </c>
      <c r="H1244" s="4" t="s">
        <v>25</v>
      </c>
    </row>
    <row r="1245" spans="3:8" x14ac:dyDescent="0.3">
      <c r="C1245" s="4" t="s">
        <v>2711</v>
      </c>
      <c r="D1245" s="1">
        <v>32.896000000000001</v>
      </c>
      <c r="H1245" s="5" t="s">
        <v>557</v>
      </c>
    </row>
    <row r="1246" spans="3:8" x14ac:dyDescent="0.3">
      <c r="C1246" s="3" t="s">
        <v>3218</v>
      </c>
      <c r="D1246" s="1">
        <v>895.92</v>
      </c>
      <c r="H1246" s="3" t="s">
        <v>3680</v>
      </c>
    </row>
    <row r="1247" spans="3:8" x14ac:dyDescent="0.3">
      <c r="C1247" s="4" t="s">
        <v>3219</v>
      </c>
      <c r="D1247" s="1">
        <v>895.92</v>
      </c>
      <c r="H1247" s="4" t="s">
        <v>25</v>
      </c>
    </row>
    <row r="1248" spans="3:8" x14ac:dyDescent="0.3">
      <c r="C1248" s="3" t="s">
        <v>743</v>
      </c>
      <c r="D1248" s="1">
        <v>66.284000000000006</v>
      </c>
      <c r="H1248" s="5" t="s">
        <v>3681</v>
      </c>
    </row>
    <row r="1249" spans="3:8" x14ac:dyDescent="0.3">
      <c r="C1249" s="4" t="s">
        <v>744</v>
      </c>
      <c r="D1249" s="1">
        <v>66.284000000000006</v>
      </c>
      <c r="H1249" s="3" t="s">
        <v>2800</v>
      </c>
    </row>
    <row r="1250" spans="3:8" x14ac:dyDescent="0.3">
      <c r="C1250" s="3" t="s">
        <v>3466</v>
      </c>
      <c r="D1250" s="1">
        <v>176.04</v>
      </c>
      <c r="H1250" s="4" t="s">
        <v>25</v>
      </c>
    </row>
    <row r="1251" spans="3:8" x14ac:dyDescent="0.3">
      <c r="C1251" s="4" t="s">
        <v>1350</v>
      </c>
      <c r="D1251" s="1">
        <v>176.04</v>
      </c>
      <c r="H1251" s="5" t="s">
        <v>2801</v>
      </c>
    </row>
    <row r="1252" spans="3:8" x14ac:dyDescent="0.3">
      <c r="C1252" s="3" t="s">
        <v>313</v>
      </c>
      <c r="D1252" s="1">
        <v>1.248</v>
      </c>
      <c r="H1252" s="3" t="s">
        <v>1512</v>
      </c>
    </row>
    <row r="1253" spans="3:8" x14ac:dyDescent="0.3">
      <c r="C1253" s="4" t="s">
        <v>314</v>
      </c>
      <c r="D1253" s="1">
        <v>1.248</v>
      </c>
      <c r="H1253" s="4" t="s">
        <v>25</v>
      </c>
    </row>
    <row r="1254" spans="3:8" x14ac:dyDescent="0.3">
      <c r="C1254" s="3" t="s">
        <v>2608</v>
      </c>
      <c r="D1254" s="1">
        <v>3.036</v>
      </c>
      <c r="H1254" s="5" t="s">
        <v>1513</v>
      </c>
    </row>
    <row r="1255" spans="3:8" x14ac:dyDescent="0.3">
      <c r="C1255" s="4" t="s">
        <v>2609</v>
      </c>
      <c r="D1255" s="1">
        <v>3.036</v>
      </c>
      <c r="H1255" s="3" t="s">
        <v>1385</v>
      </c>
    </row>
    <row r="1256" spans="3:8" x14ac:dyDescent="0.3">
      <c r="C1256" s="3" t="s">
        <v>1847</v>
      </c>
      <c r="D1256" s="1">
        <v>2.6880000000000002</v>
      </c>
      <c r="H1256" s="4" t="s">
        <v>25</v>
      </c>
    </row>
    <row r="1257" spans="3:8" x14ac:dyDescent="0.3">
      <c r="C1257" s="4" t="s">
        <v>1848</v>
      </c>
      <c r="D1257" s="1">
        <v>2.6880000000000002</v>
      </c>
      <c r="H1257" s="5" t="s">
        <v>1386</v>
      </c>
    </row>
    <row r="1258" spans="3:8" x14ac:dyDescent="0.3">
      <c r="C1258" s="3" t="s">
        <v>343</v>
      </c>
      <c r="D1258" s="1">
        <v>230.376</v>
      </c>
      <c r="H1258" s="3" t="s">
        <v>3632</v>
      </c>
    </row>
    <row r="1259" spans="3:8" x14ac:dyDescent="0.3">
      <c r="C1259" s="4" t="s">
        <v>344</v>
      </c>
      <c r="D1259" s="1">
        <v>230.376</v>
      </c>
      <c r="H1259" s="4" t="s">
        <v>25</v>
      </c>
    </row>
    <row r="1260" spans="3:8" x14ac:dyDescent="0.3">
      <c r="C1260" s="3" t="s">
        <v>1545</v>
      </c>
      <c r="D1260" s="1">
        <v>42.616</v>
      </c>
      <c r="H1260" s="5" t="s">
        <v>3633</v>
      </c>
    </row>
    <row r="1261" spans="3:8" x14ac:dyDescent="0.3">
      <c r="C1261" s="4" t="s">
        <v>1546</v>
      </c>
      <c r="D1261" s="1">
        <v>42.616</v>
      </c>
      <c r="H1261" s="3" t="s">
        <v>2657</v>
      </c>
    </row>
    <row r="1262" spans="3:8" x14ac:dyDescent="0.3">
      <c r="C1262" s="3" t="s">
        <v>721</v>
      </c>
      <c r="D1262" s="1">
        <v>2.9460000000000002</v>
      </c>
      <c r="H1262" s="4" t="s">
        <v>25</v>
      </c>
    </row>
    <row r="1263" spans="3:8" x14ac:dyDescent="0.3">
      <c r="C1263" s="4" t="s">
        <v>722</v>
      </c>
      <c r="D1263" s="1">
        <v>2.9460000000000002</v>
      </c>
      <c r="H1263" s="5" t="s">
        <v>2658</v>
      </c>
    </row>
    <row r="1264" spans="3:8" x14ac:dyDescent="0.3">
      <c r="C1264" s="3" t="s">
        <v>2710</v>
      </c>
      <c r="D1264" s="1">
        <v>23.99</v>
      </c>
      <c r="H1264" s="3" t="s">
        <v>621</v>
      </c>
    </row>
    <row r="1265" spans="3:8" x14ac:dyDescent="0.3">
      <c r="C1265" s="4" t="s">
        <v>2711</v>
      </c>
      <c r="D1265" s="1">
        <v>23.99</v>
      </c>
      <c r="H1265" s="4" t="s">
        <v>25</v>
      </c>
    </row>
    <row r="1266" spans="3:8" x14ac:dyDescent="0.3">
      <c r="C1266" s="3" t="s">
        <v>1523</v>
      </c>
      <c r="D1266" s="1">
        <v>47.94</v>
      </c>
      <c r="H1266" s="5" t="s">
        <v>622</v>
      </c>
    </row>
    <row r="1267" spans="3:8" x14ac:dyDescent="0.3">
      <c r="C1267" s="4" t="s">
        <v>1524</v>
      </c>
      <c r="D1267" s="1">
        <v>47.94</v>
      </c>
      <c r="H1267" s="3" t="s">
        <v>1125</v>
      </c>
    </row>
    <row r="1268" spans="3:8" x14ac:dyDescent="0.3">
      <c r="C1268" s="3" t="s">
        <v>3878</v>
      </c>
      <c r="D1268" s="1">
        <v>4.95</v>
      </c>
      <c r="H1268" s="4" t="s">
        <v>25</v>
      </c>
    </row>
    <row r="1269" spans="3:8" x14ac:dyDescent="0.3">
      <c r="C1269" s="4" t="s">
        <v>3879</v>
      </c>
      <c r="D1269" s="1">
        <v>4.95</v>
      </c>
      <c r="H1269" s="5" t="s">
        <v>1126</v>
      </c>
    </row>
    <row r="1270" spans="3:8" x14ac:dyDescent="0.3">
      <c r="C1270" s="3" t="s">
        <v>3029</v>
      </c>
      <c r="D1270" s="1">
        <v>2.96</v>
      </c>
      <c r="H1270" s="3" t="s">
        <v>1332</v>
      </c>
    </row>
    <row r="1271" spans="3:8" x14ac:dyDescent="0.3">
      <c r="C1271" s="4" t="s">
        <v>3030</v>
      </c>
      <c r="D1271" s="1">
        <v>2.96</v>
      </c>
      <c r="H1271" s="4" t="s">
        <v>25</v>
      </c>
    </row>
    <row r="1272" spans="3:8" x14ac:dyDescent="0.3">
      <c r="C1272" s="3" t="s">
        <v>1154</v>
      </c>
      <c r="D1272" s="1">
        <v>1488.424</v>
      </c>
      <c r="H1272" s="5" t="s">
        <v>1333</v>
      </c>
    </row>
    <row r="1273" spans="3:8" x14ac:dyDescent="0.3">
      <c r="C1273" s="4" t="s">
        <v>1155</v>
      </c>
      <c r="D1273" s="1">
        <v>1488.424</v>
      </c>
      <c r="H1273" s="3" t="s">
        <v>2993</v>
      </c>
    </row>
    <row r="1274" spans="3:8" x14ac:dyDescent="0.3">
      <c r="C1274" s="3" t="s">
        <v>3722</v>
      </c>
      <c r="D1274" s="1">
        <v>25.68</v>
      </c>
      <c r="H1274" s="4" t="s">
        <v>25</v>
      </c>
    </row>
    <row r="1275" spans="3:8" x14ac:dyDescent="0.3">
      <c r="C1275" s="4" t="s">
        <v>1849</v>
      </c>
      <c r="D1275" s="1">
        <v>25.68</v>
      </c>
      <c r="H1275" s="5" t="s">
        <v>2994</v>
      </c>
    </row>
    <row r="1276" spans="3:8" x14ac:dyDescent="0.3">
      <c r="C1276" s="3" t="s">
        <v>911</v>
      </c>
      <c r="D1276" s="1">
        <v>37.207999999999998</v>
      </c>
      <c r="H1276" s="3" t="s">
        <v>3337</v>
      </c>
    </row>
    <row r="1277" spans="3:8" x14ac:dyDescent="0.3">
      <c r="C1277" s="4" t="s">
        <v>314</v>
      </c>
      <c r="D1277" s="1">
        <v>37.207999999999998</v>
      </c>
      <c r="H1277" s="4" t="s">
        <v>25</v>
      </c>
    </row>
    <row r="1278" spans="3:8" x14ac:dyDescent="0.3">
      <c r="C1278" s="3" t="s">
        <v>3267</v>
      </c>
      <c r="D1278" s="1">
        <v>294.62</v>
      </c>
      <c r="H1278" s="5" t="s">
        <v>3338</v>
      </c>
    </row>
    <row r="1279" spans="3:8" x14ac:dyDescent="0.3">
      <c r="C1279" s="4" t="s">
        <v>3199</v>
      </c>
      <c r="D1279" s="1">
        <v>294.62</v>
      </c>
      <c r="H1279" s="3" t="s">
        <v>3100</v>
      </c>
    </row>
    <row r="1280" spans="3:8" x14ac:dyDescent="0.3">
      <c r="C1280" s="3" t="s">
        <v>3493</v>
      </c>
      <c r="D1280" s="1">
        <v>273.06</v>
      </c>
      <c r="H1280" s="4" t="s">
        <v>25</v>
      </c>
    </row>
    <row r="1281" spans="3:8" x14ac:dyDescent="0.3">
      <c r="C1281" s="4" t="s">
        <v>451</v>
      </c>
      <c r="D1281" s="1">
        <v>273.06</v>
      </c>
      <c r="H1281" s="5" t="s">
        <v>3101</v>
      </c>
    </row>
    <row r="1282" spans="3:8" x14ac:dyDescent="0.3">
      <c r="C1282" s="3" t="s">
        <v>647</v>
      </c>
      <c r="D1282" s="1">
        <v>97.263999999999996</v>
      </c>
      <c r="H1282" s="3" t="s">
        <v>4186</v>
      </c>
    </row>
    <row r="1283" spans="3:8" x14ac:dyDescent="0.3">
      <c r="C1283" s="4" t="s">
        <v>648</v>
      </c>
      <c r="D1283" s="1">
        <v>97.263999999999996</v>
      </c>
      <c r="H1283" s="4" t="s">
        <v>25</v>
      </c>
    </row>
    <row r="1284" spans="3:8" x14ac:dyDescent="0.3">
      <c r="C1284" s="3" t="s">
        <v>875</v>
      </c>
      <c r="D1284" s="1">
        <v>1.6240000000000001</v>
      </c>
      <c r="H1284" s="5" t="s">
        <v>4187</v>
      </c>
    </row>
    <row r="1285" spans="3:8" x14ac:dyDescent="0.3">
      <c r="C1285" s="4" t="s">
        <v>876</v>
      </c>
      <c r="D1285" s="1">
        <v>1.6240000000000001</v>
      </c>
      <c r="H1285" s="3" t="s">
        <v>4037</v>
      </c>
    </row>
    <row r="1286" spans="3:8" x14ac:dyDescent="0.3">
      <c r="C1286" s="3" t="s">
        <v>2791</v>
      </c>
      <c r="D1286" s="1">
        <v>95.994</v>
      </c>
      <c r="H1286" s="4" t="s">
        <v>25</v>
      </c>
    </row>
    <row r="1287" spans="3:8" x14ac:dyDescent="0.3">
      <c r="C1287" s="4" t="s">
        <v>2792</v>
      </c>
      <c r="D1287" s="1">
        <v>95.994</v>
      </c>
      <c r="H1287" s="5" t="s">
        <v>4038</v>
      </c>
    </row>
    <row r="1288" spans="3:8" x14ac:dyDescent="0.3">
      <c r="C1288" s="3" t="s">
        <v>2115</v>
      </c>
      <c r="D1288" s="1">
        <v>9.6639999999999997</v>
      </c>
      <c r="H1288" s="3" t="s">
        <v>3830</v>
      </c>
    </row>
    <row r="1289" spans="3:8" x14ac:dyDescent="0.3">
      <c r="C1289" s="4" t="s">
        <v>1862</v>
      </c>
      <c r="D1289" s="1">
        <v>9.6639999999999997</v>
      </c>
      <c r="H1289" s="4" t="s">
        <v>25</v>
      </c>
    </row>
    <row r="1290" spans="3:8" x14ac:dyDescent="0.3">
      <c r="C1290" s="3" t="s">
        <v>134</v>
      </c>
      <c r="D1290" s="1">
        <v>71.372</v>
      </c>
      <c r="H1290" s="5" t="s">
        <v>3831</v>
      </c>
    </row>
    <row r="1291" spans="3:8" x14ac:dyDescent="0.3">
      <c r="C1291" s="4" t="s">
        <v>135</v>
      </c>
      <c r="D1291" s="1">
        <v>71.372</v>
      </c>
      <c r="H1291" s="3" t="s">
        <v>1149</v>
      </c>
    </row>
    <row r="1292" spans="3:8" x14ac:dyDescent="0.3">
      <c r="C1292" s="3" t="s">
        <v>3171</v>
      </c>
      <c r="D1292" s="1">
        <v>37.68</v>
      </c>
      <c r="H1292" s="4" t="s">
        <v>25</v>
      </c>
    </row>
    <row r="1293" spans="3:8" x14ac:dyDescent="0.3">
      <c r="C1293" s="4" t="s">
        <v>3172</v>
      </c>
      <c r="D1293" s="1">
        <v>37.68</v>
      </c>
      <c r="H1293" s="5" t="s">
        <v>1150</v>
      </c>
    </row>
    <row r="1294" spans="3:8" x14ac:dyDescent="0.3">
      <c r="C1294" s="3" t="s">
        <v>3705</v>
      </c>
      <c r="D1294" s="1">
        <v>671.93</v>
      </c>
      <c r="H1294" s="3" t="s">
        <v>2747</v>
      </c>
    </row>
    <row r="1295" spans="3:8" x14ac:dyDescent="0.3">
      <c r="C1295" s="4" t="s">
        <v>2760</v>
      </c>
      <c r="D1295" s="1">
        <v>671.93</v>
      </c>
      <c r="H1295" s="4" t="s">
        <v>25</v>
      </c>
    </row>
    <row r="1296" spans="3:8" x14ac:dyDescent="0.3">
      <c r="C1296" s="3" t="s">
        <v>4131</v>
      </c>
      <c r="D1296" s="1">
        <v>222.32</v>
      </c>
      <c r="H1296" s="5" t="s">
        <v>2748</v>
      </c>
    </row>
    <row r="1297" spans="3:8" x14ac:dyDescent="0.3">
      <c r="C1297" s="4" t="s">
        <v>4132</v>
      </c>
      <c r="D1297" s="1">
        <v>222.32</v>
      </c>
      <c r="H1297" s="3" t="s">
        <v>2447</v>
      </c>
    </row>
    <row r="1298" spans="3:8" x14ac:dyDescent="0.3">
      <c r="C1298" s="3" t="s">
        <v>4079</v>
      </c>
      <c r="D1298" s="1">
        <v>590.35199999999998</v>
      </c>
      <c r="H1298" s="4" t="s">
        <v>25</v>
      </c>
    </row>
    <row r="1299" spans="3:8" x14ac:dyDescent="0.3">
      <c r="C1299" s="4" t="s">
        <v>352</v>
      </c>
      <c r="D1299" s="1">
        <v>590.35199999999998</v>
      </c>
      <c r="H1299" s="5" t="s">
        <v>2448</v>
      </c>
    </row>
    <row r="1300" spans="3:8" x14ac:dyDescent="0.3">
      <c r="C1300" s="3" t="s">
        <v>3078</v>
      </c>
      <c r="D1300" s="1">
        <v>1048.3499999999999</v>
      </c>
      <c r="H1300" s="3" t="s">
        <v>1766</v>
      </c>
    </row>
    <row r="1301" spans="3:8" x14ac:dyDescent="0.3">
      <c r="C1301" s="4" t="s">
        <v>3079</v>
      </c>
      <c r="D1301" s="1">
        <v>1048.3499999999999</v>
      </c>
      <c r="H1301" s="4" t="s">
        <v>25</v>
      </c>
    </row>
    <row r="1302" spans="3:8" x14ac:dyDescent="0.3">
      <c r="C1302" s="3" t="s">
        <v>523</v>
      </c>
      <c r="D1302" s="1">
        <v>59.97</v>
      </c>
      <c r="H1302" s="5" t="s">
        <v>1767</v>
      </c>
    </row>
    <row r="1303" spans="3:8" x14ac:dyDescent="0.3">
      <c r="C1303" s="4" t="s">
        <v>524</v>
      </c>
      <c r="D1303" s="1">
        <v>59.97</v>
      </c>
      <c r="H1303" s="3" t="s">
        <v>3625</v>
      </c>
    </row>
    <row r="1304" spans="3:8" x14ac:dyDescent="0.3">
      <c r="C1304" s="3" t="s">
        <v>1861</v>
      </c>
      <c r="D1304" s="1">
        <v>7999.98</v>
      </c>
      <c r="H1304" s="4" t="s">
        <v>25</v>
      </c>
    </row>
    <row r="1305" spans="3:8" x14ac:dyDescent="0.3">
      <c r="C1305" s="4" t="s">
        <v>1862</v>
      </c>
      <c r="D1305" s="1">
        <v>7999.98</v>
      </c>
      <c r="H1305" s="5" t="s">
        <v>3626</v>
      </c>
    </row>
    <row r="1306" spans="3:8" x14ac:dyDescent="0.3">
      <c r="C1306" s="3" t="s">
        <v>4308</v>
      </c>
      <c r="D1306" s="1">
        <v>11199.968000000001</v>
      </c>
      <c r="H1306" s="3" t="s">
        <v>702</v>
      </c>
    </row>
    <row r="1307" spans="3:8" x14ac:dyDescent="0.3">
      <c r="H1307" s="4" t="s">
        <v>25</v>
      </c>
    </row>
    <row r="1308" spans="3:8" x14ac:dyDescent="0.3">
      <c r="H1308" s="5" t="s">
        <v>703</v>
      </c>
    </row>
    <row r="1309" spans="3:8" x14ac:dyDescent="0.3">
      <c r="H1309" s="3" t="s">
        <v>1289</v>
      </c>
    </row>
    <row r="1310" spans="3:8" x14ac:dyDescent="0.3">
      <c r="H1310" s="4" t="s">
        <v>25</v>
      </c>
    </row>
    <row r="1311" spans="3:8" x14ac:dyDescent="0.3">
      <c r="H1311" s="5" t="s">
        <v>1290</v>
      </c>
    </row>
    <row r="1312" spans="3:8" x14ac:dyDescent="0.3">
      <c r="H1312" s="3" t="s">
        <v>3639</v>
      </c>
    </row>
    <row r="1313" spans="8:8" x14ac:dyDescent="0.3">
      <c r="H1313" s="4" t="s">
        <v>25</v>
      </c>
    </row>
    <row r="1314" spans="8:8" x14ac:dyDescent="0.3">
      <c r="H1314" s="5" t="s">
        <v>3640</v>
      </c>
    </row>
    <row r="1315" spans="8:8" x14ac:dyDescent="0.3">
      <c r="H1315" s="3" t="s">
        <v>1946</v>
      </c>
    </row>
    <row r="1316" spans="8:8" x14ac:dyDescent="0.3">
      <c r="H1316" s="4" t="s">
        <v>25</v>
      </c>
    </row>
    <row r="1317" spans="8:8" x14ac:dyDescent="0.3">
      <c r="H1317" s="5" t="s">
        <v>1947</v>
      </c>
    </row>
    <row r="1318" spans="8:8" x14ac:dyDescent="0.3">
      <c r="H1318" s="3" t="s">
        <v>2323</v>
      </c>
    </row>
    <row r="1319" spans="8:8" x14ac:dyDescent="0.3">
      <c r="H1319" s="4" t="s">
        <v>25</v>
      </c>
    </row>
    <row r="1320" spans="8:8" x14ac:dyDescent="0.3">
      <c r="H1320" s="5" t="s">
        <v>2324</v>
      </c>
    </row>
    <row r="1321" spans="8:8" x14ac:dyDescent="0.3">
      <c r="H1321" s="3" t="s">
        <v>4106</v>
      </c>
    </row>
    <row r="1322" spans="8:8" x14ac:dyDescent="0.3">
      <c r="H1322" s="4" t="s">
        <v>25</v>
      </c>
    </row>
    <row r="1323" spans="8:8" x14ac:dyDescent="0.3">
      <c r="H1323" s="5" t="s">
        <v>4107</v>
      </c>
    </row>
    <row r="1324" spans="8:8" x14ac:dyDescent="0.3">
      <c r="H1324" s="3" t="s">
        <v>2489</v>
      </c>
    </row>
    <row r="1325" spans="8:8" x14ac:dyDescent="0.3">
      <c r="H1325" s="4" t="s">
        <v>25</v>
      </c>
    </row>
    <row r="1326" spans="8:8" x14ac:dyDescent="0.3">
      <c r="H1326" s="5" t="s">
        <v>2490</v>
      </c>
    </row>
    <row r="1327" spans="8:8" x14ac:dyDescent="0.3">
      <c r="H1327" s="3" t="s">
        <v>2886</v>
      </c>
    </row>
    <row r="1328" spans="8:8" x14ac:dyDescent="0.3">
      <c r="H1328" s="4" t="s">
        <v>25</v>
      </c>
    </row>
    <row r="1329" spans="8:8" x14ac:dyDescent="0.3">
      <c r="H1329" s="5" t="s">
        <v>2887</v>
      </c>
    </row>
    <row r="1330" spans="8:8" x14ac:dyDescent="0.3">
      <c r="H1330" s="3" t="s">
        <v>1687</v>
      </c>
    </row>
    <row r="1331" spans="8:8" x14ac:dyDescent="0.3">
      <c r="H1331" s="4" t="s">
        <v>25</v>
      </c>
    </row>
    <row r="1332" spans="8:8" x14ac:dyDescent="0.3">
      <c r="H1332" s="5" t="s">
        <v>1688</v>
      </c>
    </row>
    <row r="1333" spans="8:8" x14ac:dyDescent="0.3">
      <c r="H1333" s="3" t="s">
        <v>776</v>
      </c>
    </row>
    <row r="1334" spans="8:8" x14ac:dyDescent="0.3">
      <c r="H1334" s="4" t="s">
        <v>25</v>
      </c>
    </row>
    <row r="1335" spans="8:8" x14ac:dyDescent="0.3">
      <c r="H1335" s="5" t="s">
        <v>777</v>
      </c>
    </row>
    <row r="1336" spans="8:8" x14ac:dyDescent="0.3">
      <c r="H1336" s="3" t="s">
        <v>2384</v>
      </c>
    </row>
    <row r="1337" spans="8:8" x14ac:dyDescent="0.3">
      <c r="H1337" s="4" t="s">
        <v>25</v>
      </c>
    </row>
    <row r="1338" spans="8:8" x14ac:dyDescent="0.3">
      <c r="H1338" s="5" t="s">
        <v>2385</v>
      </c>
    </row>
    <row r="1339" spans="8:8" x14ac:dyDescent="0.3">
      <c r="H1339" s="3" t="s">
        <v>1418</v>
      </c>
    </row>
    <row r="1340" spans="8:8" x14ac:dyDescent="0.3">
      <c r="H1340" s="4" t="s">
        <v>25</v>
      </c>
    </row>
    <row r="1341" spans="8:8" x14ac:dyDescent="0.3">
      <c r="H1341" s="5" t="s">
        <v>1419</v>
      </c>
    </row>
    <row r="1342" spans="8:8" x14ac:dyDescent="0.3">
      <c r="H1342" s="3" t="s">
        <v>4197</v>
      </c>
    </row>
    <row r="1343" spans="8:8" x14ac:dyDescent="0.3">
      <c r="H1343" s="4" t="s">
        <v>25</v>
      </c>
    </row>
    <row r="1344" spans="8:8" x14ac:dyDescent="0.3">
      <c r="H1344" s="5" t="s">
        <v>4198</v>
      </c>
    </row>
    <row r="1345" spans="8:8" x14ac:dyDescent="0.3">
      <c r="H1345" s="3" t="s">
        <v>1204</v>
      </c>
    </row>
    <row r="1346" spans="8:8" x14ac:dyDescent="0.3">
      <c r="H1346" s="4" t="s">
        <v>25</v>
      </c>
    </row>
    <row r="1347" spans="8:8" x14ac:dyDescent="0.3">
      <c r="H1347" s="5" t="s">
        <v>1205</v>
      </c>
    </row>
    <row r="1348" spans="8:8" x14ac:dyDescent="0.3">
      <c r="H1348" s="3" t="s">
        <v>2358</v>
      </c>
    </row>
    <row r="1349" spans="8:8" x14ac:dyDescent="0.3">
      <c r="H1349" s="4" t="s">
        <v>25</v>
      </c>
    </row>
    <row r="1350" spans="8:8" x14ac:dyDescent="0.3">
      <c r="H1350" s="5" t="s">
        <v>2359</v>
      </c>
    </row>
    <row r="1351" spans="8:8" x14ac:dyDescent="0.3">
      <c r="H1351" s="3" t="s">
        <v>1464</v>
      </c>
    </row>
    <row r="1352" spans="8:8" x14ac:dyDescent="0.3">
      <c r="H1352" s="4" t="s">
        <v>25</v>
      </c>
    </row>
    <row r="1353" spans="8:8" x14ac:dyDescent="0.3">
      <c r="H1353" s="5" t="s">
        <v>1465</v>
      </c>
    </row>
    <row r="1354" spans="8:8" x14ac:dyDescent="0.3">
      <c r="H1354" s="3" t="s">
        <v>2964</v>
      </c>
    </row>
    <row r="1355" spans="8:8" x14ac:dyDescent="0.3">
      <c r="H1355" s="4" t="s">
        <v>25</v>
      </c>
    </row>
    <row r="1356" spans="8:8" x14ac:dyDescent="0.3">
      <c r="H1356" s="5" t="s">
        <v>2965</v>
      </c>
    </row>
    <row r="1357" spans="8:8" x14ac:dyDescent="0.3">
      <c r="H1357" s="3" t="s">
        <v>4014</v>
      </c>
    </row>
    <row r="1358" spans="8:8" x14ac:dyDescent="0.3">
      <c r="H1358" s="4" t="s">
        <v>25</v>
      </c>
    </row>
    <row r="1359" spans="8:8" x14ac:dyDescent="0.3">
      <c r="H1359" s="5" t="s">
        <v>4015</v>
      </c>
    </row>
    <row r="1360" spans="8:8" x14ac:dyDescent="0.3">
      <c r="H1360" s="3" t="s">
        <v>3227</v>
      </c>
    </row>
    <row r="1361" spans="8:8" x14ac:dyDescent="0.3">
      <c r="H1361" s="4" t="s">
        <v>25</v>
      </c>
    </row>
    <row r="1362" spans="8:8" x14ac:dyDescent="0.3">
      <c r="H1362" s="5" t="s">
        <v>3228</v>
      </c>
    </row>
    <row r="1363" spans="8:8" x14ac:dyDescent="0.3">
      <c r="H1363" s="3" t="s">
        <v>1728</v>
      </c>
    </row>
    <row r="1364" spans="8:8" x14ac:dyDescent="0.3">
      <c r="H1364" s="4" t="s">
        <v>25</v>
      </c>
    </row>
    <row r="1365" spans="8:8" x14ac:dyDescent="0.3">
      <c r="H1365" s="5" t="s">
        <v>1729</v>
      </c>
    </row>
    <row r="1366" spans="8:8" x14ac:dyDescent="0.3">
      <c r="H1366" s="3" t="s">
        <v>2564</v>
      </c>
    </row>
    <row r="1367" spans="8:8" x14ac:dyDescent="0.3">
      <c r="H1367" s="4" t="s">
        <v>25</v>
      </c>
    </row>
    <row r="1368" spans="8:8" x14ac:dyDescent="0.3">
      <c r="H1368" s="5" t="s">
        <v>2565</v>
      </c>
    </row>
    <row r="1369" spans="8:8" x14ac:dyDescent="0.3">
      <c r="H1369" s="3" t="s">
        <v>3860</v>
      </c>
    </row>
    <row r="1370" spans="8:8" x14ac:dyDescent="0.3">
      <c r="H1370" s="4" t="s">
        <v>25</v>
      </c>
    </row>
    <row r="1371" spans="8:8" x14ac:dyDescent="0.3">
      <c r="H1371" s="5" t="s">
        <v>3861</v>
      </c>
    </row>
    <row r="1372" spans="8:8" x14ac:dyDescent="0.3">
      <c r="H1372" s="3" t="s">
        <v>4002</v>
      </c>
    </row>
    <row r="1373" spans="8:8" x14ac:dyDescent="0.3">
      <c r="H1373" s="4" t="s">
        <v>25</v>
      </c>
    </row>
    <row r="1374" spans="8:8" x14ac:dyDescent="0.3">
      <c r="H1374" s="5" t="s">
        <v>4003</v>
      </c>
    </row>
    <row r="1375" spans="8:8" x14ac:dyDescent="0.3">
      <c r="H1375" s="3" t="s">
        <v>3180</v>
      </c>
    </row>
    <row r="1376" spans="8:8" x14ac:dyDescent="0.3">
      <c r="H1376" s="4" t="s">
        <v>25</v>
      </c>
    </row>
    <row r="1377" spans="8:8" x14ac:dyDescent="0.3">
      <c r="H1377" s="5" t="s">
        <v>3181</v>
      </c>
    </row>
    <row r="1378" spans="8:8" x14ac:dyDescent="0.3">
      <c r="H1378" s="3" t="s">
        <v>2775</v>
      </c>
    </row>
    <row r="1379" spans="8:8" x14ac:dyDescent="0.3">
      <c r="H1379" s="4" t="s">
        <v>25</v>
      </c>
    </row>
    <row r="1380" spans="8:8" x14ac:dyDescent="0.3">
      <c r="H1380" s="5" t="s">
        <v>2776</v>
      </c>
    </row>
    <row r="1381" spans="8:8" x14ac:dyDescent="0.3">
      <c r="H1381" s="3" t="s">
        <v>4069</v>
      </c>
    </row>
    <row r="1382" spans="8:8" x14ac:dyDescent="0.3">
      <c r="H1382" s="4" t="s">
        <v>25</v>
      </c>
    </row>
    <row r="1383" spans="8:8" x14ac:dyDescent="0.3">
      <c r="H1383" s="5" t="s">
        <v>4070</v>
      </c>
    </row>
    <row r="1384" spans="8:8" x14ac:dyDescent="0.3">
      <c r="H1384" s="3" t="s">
        <v>1297</v>
      </c>
    </row>
    <row r="1385" spans="8:8" x14ac:dyDescent="0.3">
      <c r="H1385" s="4" t="s">
        <v>25</v>
      </c>
    </row>
    <row r="1386" spans="8:8" x14ac:dyDescent="0.3">
      <c r="H1386" s="5" t="s">
        <v>1298</v>
      </c>
    </row>
    <row r="1387" spans="8:8" x14ac:dyDescent="0.3">
      <c r="H1387" s="3" t="s">
        <v>2466</v>
      </c>
    </row>
    <row r="1388" spans="8:8" x14ac:dyDescent="0.3">
      <c r="H1388" s="4" t="s">
        <v>25</v>
      </c>
    </row>
    <row r="1389" spans="8:8" x14ac:dyDescent="0.3">
      <c r="H1389" s="5" t="s">
        <v>2467</v>
      </c>
    </row>
    <row r="1390" spans="8:8" x14ac:dyDescent="0.3">
      <c r="H1390" s="3" t="s">
        <v>1748</v>
      </c>
    </row>
    <row r="1391" spans="8:8" x14ac:dyDescent="0.3">
      <c r="H1391" s="4" t="s">
        <v>25</v>
      </c>
    </row>
    <row r="1392" spans="8:8" x14ac:dyDescent="0.3">
      <c r="H1392" s="5" t="s">
        <v>1749</v>
      </c>
    </row>
    <row r="1393" spans="8:8" x14ac:dyDescent="0.3">
      <c r="H1393" s="3" t="s">
        <v>1198</v>
      </c>
    </row>
    <row r="1394" spans="8:8" x14ac:dyDescent="0.3">
      <c r="H1394" s="4" t="s">
        <v>25</v>
      </c>
    </row>
    <row r="1395" spans="8:8" x14ac:dyDescent="0.3">
      <c r="H1395" s="5" t="s">
        <v>1199</v>
      </c>
    </row>
    <row r="1396" spans="8:8" x14ac:dyDescent="0.3">
      <c r="H1396" s="3" t="s">
        <v>585</v>
      </c>
    </row>
    <row r="1397" spans="8:8" x14ac:dyDescent="0.3">
      <c r="H1397" s="4" t="s">
        <v>25</v>
      </c>
    </row>
    <row r="1398" spans="8:8" x14ac:dyDescent="0.3">
      <c r="H1398" s="5" t="s">
        <v>586</v>
      </c>
    </row>
    <row r="1399" spans="8:8" x14ac:dyDescent="0.3">
      <c r="H1399" s="3" t="s">
        <v>4080</v>
      </c>
    </row>
    <row r="1400" spans="8:8" x14ac:dyDescent="0.3">
      <c r="H1400" s="4" t="s">
        <v>25</v>
      </c>
    </row>
    <row r="1401" spans="8:8" x14ac:dyDescent="0.3">
      <c r="H1401" s="5" t="s">
        <v>4081</v>
      </c>
    </row>
    <row r="1402" spans="8:8" x14ac:dyDescent="0.3">
      <c r="H1402" s="3" t="s">
        <v>1031</v>
      </c>
    </row>
    <row r="1403" spans="8:8" x14ac:dyDescent="0.3">
      <c r="H1403" s="4" t="s">
        <v>25</v>
      </c>
    </row>
    <row r="1404" spans="8:8" x14ac:dyDescent="0.3">
      <c r="H1404" s="5" t="s">
        <v>1032</v>
      </c>
    </row>
    <row r="1405" spans="8:8" x14ac:dyDescent="0.3">
      <c r="H1405" s="3" t="s">
        <v>2540</v>
      </c>
    </row>
    <row r="1406" spans="8:8" x14ac:dyDescent="0.3">
      <c r="H1406" s="4" t="s">
        <v>25</v>
      </c>
    </row>
    <row r="1407" spans="8:8" x14ac:dyDescent="0.3">
      <c r="H1407" s="5" t="s">
        <v>2541</v>
      </c>
    </row>
    <row r="1408" spans="8:8" x14ac:dyDescent="0.3">
      <c r="H1408" s="3" t="s">
        <v>1883</v>
      </c>
    </row>
    <row r="1409" spans="8:8" x14ac:dyDescent="0.3">
      <c r="H1409" s="4" t="s">
        <v>25</v>
      </c>
    </row>
    <row r="1410" spans="8:8" x14ac:dyDescent="0.3">
      <c r="H1410" s="5" t="s">
        <v>1884</v>
      </c>
    </row>
    <row r="1411" spans="8:8" x14ac:dyDescent="0.3">
      <c r="H1411" s="3" t="s">
        <v>592</v>
      </c>
    </row>
    <row r="1412" spans="8:8" x14ac:dyDescent="0.3">
      <c r="H1412" s="4" t="s">
        <v>25</v>
      </c>
    </row>
    <row r="1413" spans="8:8" x14ac:dyDescent="0.3">
      <c r="H1413" s="5" t="s">
        <v>593</v>
      </c>
    </row>
    <row r="1414" spans="8:8" x14ac:dyDescent="0.3">
      <c r="H1414" s="3" t="s">
        <v>2871</v>
      </c>
    </row>
    <row r="1415" spans="8:8" x14ac:dyDescent="0.3">
      <c r="H1415" s="4" t="s">
        <v>25</v>
      </c>
    </row>
    <row r="1416" spans="8:8" x14ac:dyDescent="0.3">
      <c r="H1416" s="5" t="s">
        <v>2872</v>
      </c>
    </row>
    <row r="1417" spans="8:8" x14ac:dyDescent="0.3">
      <c r="H1417" s="3" t="s">
        <v>2649</v>
      </c>
    </row>
    <row r="1418" spans="8:8" x14ac:dyDescent="0.3">
      <c r="H1418" s="4" t="s">
        <v>25</v>
      </c>
    </row>
    <row r="1419" spans="8:8" x14ac:dyDescent="0.3">
      <c r="H1419" s="5" t="s">
        <v>2650</v>
      </c>
    </row>
    <row r="1420" spans="8:8" x14ac:dyDescent="0.3">
      <c r="H1420" s="3" t="s">
        <v>4093</v>
      </c>
    </row>
    <row r="1421" spans="8:8" x14ac:dyDescent="0.3">
      <c r="H1421" s="4" t="s">
        <v>25</v>
      </c>
    </row>
    <row r="1422" spans="8:8" x14ac:dyDescent="0.3">
      <c r="H1422" s="5" t="s">
        <v>4094</v>
      </c>
    </row>
    <row r="1423" spans="8:8" x14ac:dyDescent="0.3">
      <c r="H1423" s="3" t="s">
        <v>3049</v>
      </c>
    </row>
    <row r="1424" spans="8:8" x14ac:dyDescent="0.3">
      <c r="H1424" s="4" t="s">
        <v>25</v>
      </c>
    </row>
    <row r="1425" spans="8:8" x14ac:dyDescent="0.3">
      <c r="H1425" s="5" t="s">
        <v>3050</v>
      </c>
    </row>
    <row r="1426" spans="8:8" x14ac:dyDescent="0.3">
      <c r="H1426" s="3" t="s">
        <v>2453</v>
      </c>
    </row>
    <row r="1427" spans="8:8" x14ac:dyDescent="0.3">
      <c r="H1427" s="4" t="s">
        <v>25</v>
      </c>
    </row>
    <row r="1428" spans="8:8" x14ac:dyDescent="0.3">
      <c r="H1428" s="5" t="s">
        <v>2454</v>
      </c>
    </row>
    <row r="1429" spans="8:8" x14ac:dyDescent="0.3">
      <c r="H1429" s="3" t="s">
        <v>3011</v>
      </c>
    </row>
    <row r="1430" spans="8:8" x14ac:dyDescent="0.3">
      <c r="H1430" s="4" t="s">
        <v>25</v>
      </c>
    </row>
    <row r="1431" spans="8:8" x14ac:dyDescent="0.3">
      <c r="H1431" s="5" t="s">
        <v>3012</v>
      </c>
    </row>
    <row r="1432" spans="8:8" x14ac:dyDescent="0.3">
      <c r="H1432" s="3" t="s">
        <v>963</v>
      </c>
    </row>
    <row r="1433" spans="8:8" x14ac:dyDescent="0.3">
      <c r="H1433" s="4" t="s">
        <v>25</v>
      </c>
    </row>
    <row r="1434" spans="8:8" x14ac:dyDescent="0.3">
      <c r="H1434" s="5" t="s">
        <v>964</v>
      </c>
    </row>
    <row r="1435" spans="8:8" x14ac:dyDescent="0.3">
      <c r="H1435" s="3" t="s">
        <v>212</v>
      </c>
    </row>
    <row r="1436" spans="8:8" x14ac:dyDescent="0.3">
      <c r="H1436" s="4" t="s">
        <v>25</v>
      </c>
    </row>
    <row r="1437" spans="8:8" x14ac:dyDescent="0.3">
      <c r="H1437" s="5" t="s">
        <v>213</v>
      </c>
    </row>
    <row r="1438" spans="8:8" x14ac:dyDescent="0.3">
      <c r="H1438" s="3" t="s">
        <v>1594</v>
      </c>
    </row>
    <row r="1439" spans="8:8" x14ac:dyDescent="0.3">
      <c r="H1439" s="4" t="s">
        <v>25</v>
      </c>
    </row>
    <row r="1440" spans="8:8" x14ac:dyDescent="0.3">
      <c r="H1440" s="5" t="s">
        <v>1595</v>
      </c>
    </row>
    <row r="1441" spans="8:8" x14ac:dyDescent="0.3">
      <c r="H1441" s="3" t="s">
        <v>445</v>
      </c>
    </row>
    <row r="1442" spans="8:8" x14ac:dyDescent="0.3">
      <c r="H1442" s="4" t="s">
        <v>25</v>
      </c>
    </row>
    <row r="1443" spans="8:8" x14ac:dyDescent="0.3">
      <c r="H1443" s="5" t="s">
        <v>446</v>
      </c>
    </row>
    <row r="1444" spans="8:8" x14ac:dyDescent="0.3">
      <c r="H1444" s="3" t="s">
        <v>3330</v>
      </c>
    </row>
    <row r="1445" spans="8:8" x14ac:dyDescent="0.3">
      <c r="H1445" s="4" t="s">
        <v>25</v>
      </c>
    </row>
    <row r="1446" spans="8:8" x14ac:dyDescent="0.3">
      <c r="H1446" s="5" t="s">
        <v>3331</v>
      </c>
    </row>
    <row r="1447" spans="8:8" x14ac:dyDescent="0.3">
      <c r="H1447" s="3" t="s">
        <v>1995</v>
      </c>
    </row>
    <row r="1448" spans="8:8" x14ac:dyDescent="0.3">
      <c r="H1448" s="4" t="s">
        <v>25</v>
      </c>
    </row>
    <row r="1449" spans="8:8" x14ac:dyDescent="0.3">
      <c r="H1449" s="5" t="s">
        <v>1996</v>
      </c>
    </row>
    <row r="1450" spans="8:8" x14ac:dyDescent="0.3">
      <c r="H1450" s="3" t="s">
        <v>1284</v>
      </c>
    </row>
    <row r="1451" spans="8:8" x14ac:dyDescent="0.3">
      <c r="H1451" s="4" t="s">
        <v>25</v>
      </c>
    </row>
    <row r="1452" spans="8:8" x14ac:dyDescent="0.3">
      <c r="H1452" s="5" t="s">
        <v>1285</v>
      </c>
    </row>
    <row r="1453" spans="8:8" x14ac:dyDescent="0.3">
      <c r="H1453" s="3" t="s">
        <v>3129</v>
      </c>
    </row>
    <row r="1454" spans="8:8" x14ac:dyDescent="0.3">
      <c r="H1454" s="4" t="s">
        <v>25</v>
      </c>
    </row>
    <row r="1455" spans="8:8" x14ac:dyDescent="0.3">
      <c r="H1455" s="5" t="s">
        <v>3130</v>
      </c>
    </row>
    <row r="1456" spans="8:8" x14ac:dyDescent="0.3">
      <c r="H1456" s="3" t="s">
        <v>2222</v>
      </c>
    </row>
    <row r="1457" spans="8:8" x14ac:dyDescent="0.3">
      <c r="H1457" s="4" t="s">
        <v>25</v>
      </c>
    </row>
    <row r="1458" spans="8:8" x14ac:dyDescent="0.3">
      <c r="H1458" s="5" t="s">
        <v>2223</v>
      </c>
    </row>
    <row r="1459" spans="8:8" x14ac:dyDescent="0.3">
      <c r="H1459" s="3" t="s">
        <v>2909</v>
      </c>
    </row>
    <row r="1460" spans="8:8" x14ac:dyDescent="0.3">
      <c r="H1460" s="4" t="s">
        <v>25</v>
      </c>
    </row>
    <row r="1461" spans="8:8" x14ac:dyDescent="0.3">
      <c r="H1461" s="5" t="s">
        <v>2910</v>
      </c>
    </row>
    <row r="1462" spans="8:8" x14ac:dyDescent="0.3">
      <c r="H1462" s="3" t="s">
        <v>3894</v>
      </c>
    </row>
    <row r="1463" spans="8:8" x14ac:dyDescent="0.3">
      <c r="H1463" s="4" t="s">
        <v>25</v>
      </c>
    </row>
    <row r="1464" spans="8:8" x14ac:dyDescent="0.3">
      <c r="H1464" s="5" t="s">
        <v>3895</v>
      </c>
    </row>
    <row r="1465" spans="8:8" x14ac:dyDescent="0.3">
      <c r="H1465" s="3" t="s">
        <v>505</v>
      </c>
    </row>
    <row r="1466" spans="8:8" x14ac:dyDescent="0.3">
      <c r="H1466" s="4" t="s">
        <v>25</v>
      </c>
    </row>
    <row r="1467" spans="8:8" x14ac:dyDescent="0.3">
      <c r="H1467" s="5" t="s">
        <v>506</v>
      </c>
    </row>
    <row r="1468" spans="8:8" x14ac:dyDescent="0.3">
      <c r="H1468" s="3" t="s">
        <v>2675</v>
      </c>
    </row>
    <row r="1469" spans="8:8" x14ac:dyDescent="0.3">
      <c r="H1469" s="4" t="s">
        <v>25</v>
      </c>
    </row>
    <row r="1470" spans="8:8" x14ac:dyDescent="0.3">
      <c r="H1470" s="5" t="s">
        <v>2676</v>
      </c>
    </row>
    <row r="1471" spans="8:8" x14ac:dyDescent="0.3">
      <c r="H1471" s="3" t="s">
        <v>2106</v>
      </c>
    </row>
    <row r="1472" spans="8:8" x14ac:dyDescent="0.3">
      <c r="H1472" s="4" t="s">
        <v>25</v>
      </c>
    </row>
    <row r="1473" spans="8:8" x14ac:dyDescent="0.3">
      <c r="H1473" s="5" t="s">
        <v>2107</v>
      </c>
    </row>
    <row r="1474" spans="8:8" x14ac:dyDescent="0.3">
      <c r="H1474" s="3" t="s">
        <v>353</v>
      </c>
    </row>
    <row r="1475" spans="8:8" x14ac:dyDescent="0.3">
      <c r="H1475" s="4" t="s">
        <v>25</v>
      </c>
    </row>
    <row r="1476" spans="8:8" x14ac:dyDescent="0.3">
      <c r="H1476" s="5" t="s">
        <v>354</v>
      </c>
    </row>
    <row r="1477" spans="8:8" x14ac:dyDescent="0.3">
      <c r="H1477" s="3" t="s">
        <v>1505</v>
      </c>
    </row>
    <row r="1478" spans="8:8" x14ac:dyDescent="0.3">
      <c r="H1478" s="4" t="s">
        <v>25</v>
      </c>
    </row>
    <row r="1479" spans="8:8" x14ac:dyDescent="0.3">
      <c r="H1479" s="5" t="s">
        <v>1506</v>
      </c>
    </row>
    <row r="1480" spans="8:8" x14ac:dyDescent="0.3">
      <c r="H1480" s="3" t="s">
        <v>3411</v>
      </c>
    </row>
    <row r="1481" spans="8:8" x14ac:dyDescent="0.3">
      <c r="H1481" s="4" t="s">
        <v>25</v>
      </c>
    </row>
    <row r="1482" spans="8:8" x14ac:dyDescent="0.3">
      <c r="H1482" s="5" t="s">
        <v>3412</v>
      </c>
    </row>
    <row r="1483" spans="8:8" x14ac:dyDescent="0.3">
      <c r="H1483" s="3" t="s">
        <v>2093</v>
      </c>
    </row>
    <row r="1484" spans="8:8" x14ac:dyDescent="0.3">
      <c r="H1484" s="4" t="s">
        <v>25</v>
      </c>
    </row>
    <row r="1485" spans="8:8" x14ac:dyDescent="0.3">
      <c r="H1485" s="5" t="s">
        <v>2094</v>
      </c>
    </row>
    <row r="1486" spans="8:8" x14ac:dyDescent="0.3">
      <c r="H1486" s="3" t="s">
        <v>2187</v>
      </c>
    </row>
    <row r="1487" spans="8:8" x14ac:dyDescent="0.3">
      <c r="H1487" s="4" t="s">
        <v>25</v>
      </c>
    </row>
    <row r="1488" spans="8:8" x14ac:dyDescent="0.3">
      <c r="H1488" s="5" t="s">
        <v>2188</v>
      </c>
    </row>
    <row r="1489" spans="8:8" x14ac:dyDescent="0.3">
      <c r="H1489" s="3" t="s">
        <v>100</v>
      </c>
    </row>
    <row r="1490" spans="8:8" x14ac:dyDescent="0.3">
      <c r="H1490" s="4" t="s">
        <v>25</v>
      </c>
    </row>
    <row r="1491" spans="8:8" x14ac:dyDescent="0.3">
      <c r="H1491" s="5" t="s">
        <v>101</v>
      </c>
    </row>
    <row r="1492" spans="8:8" x14ac:dyDescent="0.3">
      <c r="H1492" s="3" t="s">
        <v>2920</v>
      </c>
    </row>
    <row r="1493" spans="8:8" x14ac:dyDescent="0.3">
      <c r="H1493" s="4" t="s">
        <v>25</v>
      </c>
    </row>
    <row r="1494" spans="8:8" x14ac:dyDescent="0.3">
      <c r="H1494" s="5" t="s">
        <v>2921</v>
      </c>
    </row>
    <row r="1495" spans="8:8" x14ac:dyDescent="0.3">
      <c r="H1495" s="3" t="s">
        <v>392</v>
      </c>
    </row>
    <row r="1496" spans="8:8" x14ac:dyDescent="0.3">
      <c r="H1496" s="4" t="s">
        <v>25</v>
      </c>
    </row>
    <row r="1497" spans="8:8" x14ac:dyDescent="0.3">
      <c r="H1497" s="5" t="s">
        <v>393</v>
      </c>
    </row>
    <row r="1498" spans="8:8" x14ac:dyDescent="0.3">
      <c r="H1498" s="3" t="s">
        <v>1060</v>
      </c>
    </row>
    <row r="1499" spans="8:8" x14ac:dyDescent="0.3">
      <c r="H1499" s="4" t="s">
        <v>25</v>
      </c>
    </row>
    <row r="1500" spans="8:8" x14ac:dyDescent="0.3">
      <c r="H1500" s="5" t="s">
        <v>1061</v>
      </c>
    </row>
    <row r="1501" spans="8:8" x14ac:dyDescent="0.3">
      <c r="H1501" s="3" t="s">
        <v>222</v>
      </c>
    </row>
    <row r="1502" spans="8:8" x14ac:dyDescent="0.3">
      <c r="H1502" s="4" t="s">
        <v>25</v>
      </c>
    </row>
    <row r="1503" spans="8:8" x14ac:dyDescent="0.3">
      <c r="H1503" s="5" t="s">
        <v>223</v>
      </c>
    </row>
    <row r="1504" spans="8:8" x14ac:dyDescent="0.3">
      <c r="H1504" s="3" t="s">
        <v>1339</v>
      </c>
    </row>
    <row r="1505" spans="8:8" x14ac:dyDescent="0.3">
      <c r="H1505" s="4" t="s">
        <v>25</v>
      </c>
    </row>
    <row r="1506" spans="8:8" x14ac:dyDescent="0.3">
      <c r="H1506" s="5" t="s">
        <v>1340</v>
      </c>
    </row>
    <row r="1507" spans="8:8" x14ac:dyDescent="0.3">
      <c r="H1507" s="3" t="s">
        <v>1983</v>
      </c>
    </row>
    <row r="1508" spans="8:8" x14ac:dyDescent="0.3">
      <c r="H1508" s="4" t="s">
        <v>25</v>
      </c>
    </row>
    <row r="1509" spans="8:8" x14ac:dyDescent="0.3">
      <c r="H1509" s="5" t="s">
        <v>1984</v>
      </c>
    </row>
    <row r="1510" spans="8:8" x14ac:dyDescent="0.3">
      <c r="H1510" s="3" t="s">
        <v>2806</v>
      </c>
    </row>
    <row r="1511" spans="8:8" x14ac:dyDescent="0.3">
      <c r="H1511" s="4" t="s">
        <v>25</v>
      </c>
    </row>
    <row r="1512" spans="8:8" x14ac:dyDescent="0.3">
      <c r="H1512" s="5" t="s">
        <v>2807</v>
      </c>
    </row>
    <row r="1513" spans="8:8" x14ac:dyDescent="0.3">
      <c r="H1513" s="3" t="s">
        <v>3790</v>
      </c>
    </row>
    <row r="1514" spans="8:8" x14ac:dyDescent="0.3">
      <c r="H1514" s="4" t="s">
        <v>25</v>
      </c>
    </row>
    <row r="1515" spans="8:8" x14ac:dyDescent="0.3">
      <c r="H1515" s="5" t="s">
        <v>3791</v>
      </c>
    </row>
    <row r="1516" spans="8:8" x14ac:dyDescent="0.3">
      <c r="H1516" s="3" t="s">
        <v>4247</v>
      </c>
    </row>
    <row r="1517" spans="8:8" x14ac:dyDescent="0.3">
      <c r="H1517" s="4" t="s">
        <v>25</v>
      </c>
    </row>
    <row r="1518" spans="8:8" x14ac:dyDescent="0.3">
      <c r="H1518" s="5" t="s">
        <v>4248</v>
      </c>
    </row>
    <row r="1519" spans="8:8" x14ac:dyDescent="0.3">
      <c r="H1519" s="3" t="s">
        <v>274</v>
      </c>
    </row>
    <row r="1520" spans="8:8" x14ac:dyDescent="0.3">
      <c r="H1520" s="4" t="s">
        <v>25</v>
      </c>
    </row>
    <row r="1521" spans="8:8" x14ac:dyDescent="0.3">
      <c r="H1521" s="5" t="s">
        <v>275</v>
      </c>
    </row>
    <row r="1522" spans="8:8" x14ac:dyDescent="0.3">
      <c r="H1522" s="3" t="s">
        <v>2529</v>
      </c>
    </row>
    <row r="1523" spans="8:8" x14ac:dyDescent="0.3">
      <c r="H1523" s="4" t="s">
        <v>25</v>
      </c>
    </row>
    <row r="1524" spans="8:8" x14ac:dyDescent="0.3">
      <c r="H1524" s="5" t="s">
        <v>2530</v>
      </c>
    </row>
    <row r="1525" spans="8:8" x14ac:dyDescent="0.3">
      <c r="H1525" s="3" t="s">
        <v>3746</v>
      </c>
    </row>
    <row r="1526" spans="8:8" x14ac:dyDescent="0.3">
      <c r="H1526" s="4" t="s">
        <v>25</v>
      </c>
    </row>
    <row r="1527" spans="8:8" x14ac:dyDescent="0.3">
      <c r="H1527" s="5" t="s">
        <v>3747</v>
      </c>
    </row>
    <row r="1528" spans="8:8" x14ac:dyDescent="0.3">
      <c r="H1528" s="3" t="s">
        <v>2534</v>
      </c>
    </row>
    <row r="1529" spans="8:8" x14ac:dyDescent="0.3">
      <c r="H1529" s="4" t="s">
        <v>25</v>
      </c>
    </row>
    <row r="1530" spans="8:8" x14ac:dyDescent="0.3">
      <c r="H1530" s="5" t="s">
        <v>2535</v>
      </c>
    </row>
    <row r="1531" spans="8:8" x14ac:dyDescent="0.3">
      <c r="H1531" s="3" t="s">
        <v>3506</v>
      </c>
    </row>
    <row r="1532" spans="8:8" x14ac:dyDescent="0.3">
      <c r="H1532" s="4" t="s">
        <v>25</v>
      </c>
    </row>
    <row r="1533" spans="8:8" x14ac:dyDescent="0.3">
      <c r="H1533" s="5" t="s">
        <v>3507</v>
      </c>
    </row>
    <row r="1534" spans="8:8" x14ac:dyDescent="0.3">
      <c r="H1534" s="3" t="s">
        <v>3044</v>
      </c>
    </row>
    <row r="1535" spans="8:8" x14ac:dyDescent="0.3">
      <c r="H1535" s="4" t="s">
        <v>25</v>
      </c>
    </row>
    <row r="1536" spans="8:8" x14ac:dyDescent="0.3">
      <c r="H1536" s="5" t="s">
        <v>3045</v>
      </c>
    </row>
    <row r="1537" spans="8:8" x14ac:dyDescent="0.3">
      <c r="H1537" s="3" t="s">
        <v>1876</v>
      </c>
    </row>
    <row r="1538" spans="8:8" x14ac:dyDescent="0.3">
      <c r="H1538" s="4" t="s">
        <v>25</v>
      </c>
    </row>
    <row r="1539" spans="8:8" x14ac:dyDescent="0.3">
      <c r="H1539" s="5" t="s">
        <v>1877</v>
      </c>
    </row>
    <row r="1540" spans="8:8" x14ac:dyDescent="0.3">
      <c r="H1540" s="3" t="s">
        <v>197</v>
      </c>
    </row>
    <row r="1541" spans="8:8" x14ac:dyDescent="0.3">
      <c r="H1541" s="4" t="s">
        <v>25</v>
      </c>
    </row>
    <row r="1542" spans="8:8" x14ac:dyDescent="0.3">
      <c r="H1542" s="5" t="s">
        <v>198</v>
      </c>
    </row>
    <row r="1543" spans="8:8" x14ac:dyDescent="0.3">
      <c r="H1543" s="3" t="s">
        <v>1163</v>
      </c>
    </row>
    <row r="1544" spans="8:8" x14ac:dyDescent="0.3">
      <c r="H1544" s="4" t="s">
        <v>25</v>
      </c>
    </row>
    <row r="1545" spans="8:8" x14ac:dyDescent="0.3">
      <c r="H1545" s="5" t="s">
        <v>1164</v>
      </c>
    </row>
    <row r="1546" spans="8:8" x14ac:dyDescent="0.3">
      <c r="H1546" s="3" t="s">
        <v>2378</v>
      </c>
    </row>
    <row r="1547" spans="8:8" x14ac:dyDescent="0.3">
      <c r="H1547" s="4" t="s">
        <v>25</v>
      </c>
    </row>
    <row r="1548" spans="8:8" x14ac:dyDescent="0.3">
      <c r="H1548" s="5" t="s">
        <v>2379</v>
      </c>
    </row>
    <row r="1549" spans="8:8" x14ac:dyDescent="0.3">
      <c r="H1549" s="3" t="s">
        <v>1358</v>
      </c>
    </row>
    <row r="1550" spans="8:8" x14ac:dyDescent="0.3">
      <c r="H1550" s="4" t="s">
        <v>25</v>
      </c>
    </row>
    <row r="1551" spans="8:8" x14ac:dyDescent="0.3">
      <c r="H1551" s="5" t="s">
        <v>1359</v>
      </c>
    </row>
    <row r="1552" spans="8:8" x14ac:dyDescent="0.3">
      <c r="H1552" s="3" t="s">
        <v>3540</v>
      </c>
    </row>
    <row r="1553" spans="8:8" x14ac:dyDescent="0.3">
      <c r="H1553" s="4" t="s">
        <v>25</v>
      </c>
    </row>
    <row r="1554" spans="8:8" x14ac:dyDescent="0.3">
      <c r="H1554" s="5" t="s">
        <v>3541</v>
      </c>
    </row>
    <row r="1555" spans="8:8" x14ac:dyDescent="0.3">
      <c r="H1555" s="3" t="s">
        <v>414</v>
      </c>
    </row>
    <row r="1556" spans="8:8" x14ac:dyDescent="0.3">
      <c r="H1556" s="4" t="s">
        <v>25</v>
      </c>
    </row>
    <row r="1557" spans="8:8" x14ac:dyDescent="0.3">
      <c r="H1557" s="5" t="s">
        <v>415</v>
      </c>
    </row>
    <row r="1558" spans="8:8" x14ac:dyDescent="0.3">
      <c r="H1558" s="3" t="s">
        <v>1843</v>
      </c>
    </row>
    <row r="1559" spans="8:8" x14ac:dyDescent="0.3">
      <c r="H1559" s="4" t="s">
        <v>25</v>
      </c>
    </row>
    <row r="1560" spans="8:8" x14ac:dyDescent="0.3">
      <c r="H1560" s="5" t="s">
        <v>1844</v>
      </c>
    </row>
    <row r="1561" spans="8:8" x14ac:dyDescent="0.3">
      <c r="H1561" s="3" t="s">
        <v>3686</v>
      </c>
    </row>
    <row r="1562" spans="8:8" x14ac:dyDescent="0.3">
      <c r="H1562" s="4" t="s">
        <v>25</v>
      </c>
    </row>
    <row r="1563" spans="8:8" x14ac:dyDescent="0.3">
      <c r="H1563" s="5" t="s">
        <v>3687</v>
      </c>
    </row>
    <row r="1564" spans="8:8" x14ac:dyDescent="0.3">
      <c r="H1564" s="3" t="s">
        <v>383</v>
      </c>
    </row>
    <row r="1565" spans="8:8" x14ac:dyDescent="0.3">
      <c r="H1565" s="4" t="s">
        <v>25</v>
      </c>
    </row>
    <row r="1566" spans="8:8" x14ac:dyDescent="0.3">
      <c r="H1566" s="5" t="s">
        <v>384</v>
      </c>
    </row>
    <row r="1567" spans="8:8" x14ac:dyDescent="0.3">
      <c r="H1567" s="3" t="s">
        <v>1318</v>
      </c>
    </row>
    <row r="1568" spans="8:8" x14ac:dyDescent="0.3">
      <c r="H1568" s="4" t="s">
        <v>25</v>
      </c>
    </row>
    <row r="1569" spans="8:8" x14ac:dyDescent="0.3">
      <c r="H1569" s="5" t="s">
        <v>1319</v>
      </c>
    </row>
    <row r="1570" spans="8:8" x14ac:dyDescent="0.3">
      <c r="H1570" s="3" t="s">
        <v>892</v>
      </c>
    </row>
    <row r="1571" spans="8:8" x14ac:dyDescent="0.3">
      <c r="H1571" s="4" t="s">
        <v>25</v>
      </c>
    </row>
    <row r="1572" spans="8:8" x14ac:dyDescent="0.3">
      <c r="H1572" s="5" t="s">
        <v>893</v>
      </c>
    </row>
    <row r="1573" spans="8:8" x14ac:dyDescent="0.3">
      <c r="H1573" s="3" t="s">
        <v>468</v>
      </c>
    </row>
    <row r="1574" spans="8:8" x14ac:dyDescent="0.3">
      <c r="H1574" s="4" t="s">
        <v>25</v>
      </c>
    </row>
    <row r="1575" spans="8:8" x14ac:dyDescent="0.3">
      <c r="H1575" s="5" t="s">
        <v>469</v>
      </c>
    </row>
    <row r="1576" spans="8:8" x14ac:dyDescent="0.3">
      <c r="H1576" s="3" t="s">
        <v>2972</v>
      </c>
    </row>
    <row r="1577" spans="8:8" x14ac:dyDescent="0.3">
      <c r="H1577" s="4" t="s">
        <v>25</v>
      </c>
    </row>
    <row r="1578" spans="8:8" x14ac:dyDescent="0.3">
      <c r="H1578" s="5" t="s">
        <v>2973</v>
      </c>
    </row>
    <row r="1579" spans="8:8" x14ac:dyDescent="0.3">
      <c r="H1579" s="3" t="s">
        <v>2366</v>
      </c>
    </row>
    <row r="1580" spans="8:8" x14ac:dyDescent="0.3">
      <c r="H1580" s="4" t="s">
        <v>25</v>
      </c>
    </row>
    <row r="1581" spans="8:8" x14ac:dyDescent="0.3">
      <c r="H1581" s="5" t="s">
        <v>2367</v>
      </c>
    </row>
    <row r="1582" spans="8:8" x14ac:dyDescent="0.3">
      <c r="H1582" s="3" t="s">
        <v>4030</v>
      </c>
    </row>
    <row r="1583" spans="8:8" x14ac:dyDescent="0.3">
      <c r="H1583" s="4" t="s">
        <v>25</v>
      </c>
    </row>
    <row r="1584" spans="8:8" x14ac:dyDescent="0.3">
      <c r="H1584" s="5" t="s">
        <v>4031</v>
      </c>
    </row>
    <row r="1585" spans="8:8" x14ac:dyDescent="0.3">
      <c r="H1585" s="3" t="s">
        <v>1939</v>
      </c>
    </row>
    <row r="1586" spans="8:8" x14ac:dyDescent="0.3">
      <c r="H1586" s="4" t="s">
        <v>25</v>
      </c>
    </row>
    <row r="1587" spans="8:8" x14ac:dyDescent="0.3">
      <c r="H1587" s="5" t="s">
        <v>1940</v>
      </c>
    </row>
    <row r="1588" spans="8:8" x14ac:dyDescent="0.3">
      <c r="H1588" s="3" t="s">
        <v>613</v>
      </c>
    </row>
    <row r="1589" spans="8:8" x14ac:dyDescent="0.3">
      <c r="H1589" s="4" t="s">
        <v>25</v>
      </c>
    </row>
    <row r="1590" spans="8:8" x14ac:dyDescent="0.3">
      <c r="H1590" s="5" t="s">
        <v>614</v>
      </c>
    </row>
    <row r="1591" spans="8:8" x14ac:dyDescent="0.3">
      <c r="H1591" s="3" t="s">
        <v>4252</v>
      </c>
    </row>
    <row r="1592" spans="8:8" x14ac:dyDescent="0.3">
      <c r="H1592" s="4" t="s">
        <v>25</v>
      </c>
    </row>
    <row r="1593" spans="8:8" x14ac:dyDescent="0.3">
      <c r="H1593" s="5" t="s">
        <v>4253</v>
      </c>
    </row>
    <row r="1594" spans="8:8" x14ac:dyDescent="0.3">
      <c r="H1594" s="3" t="s">
        <v>3307</v>
      </c>
    </row>
    <row r="1595" spans="8:8" x14ac:dyDescent="0.3">
      <c r="H1595" s="4" t="s">
        <v>25</v>
      </c>
    </row>
    <row r="1596" spans="8:8" x14ac:dyDescent="0.3">
      <c r="H1596" s="5" t="s">
        <v>3308</v>
      </c>
    </row>
    <row r="1597" spans="8:8" x14ac:dyDescent="0.3">
      <c r="H1597" s="3" t="s">
        <v>2003</v>
      </c>
    </row>
    <row r="1598" spans="8:8" x14ac:dyDescent="0.3">
      <c r="H1598" s="4" t="s">
        <v>25</v>
      </c>
    </row>
    <row r="1599" spans="8:8" x14ac:dyDescent="0.3">
      <c r="H1599" s="5" t="s">
        <v>2004</v>
      </c>
    </row>
    <row r="1600" spans="8:8" x14ac:dyDescent="0.3">
      <c r="H1600" s="3" t="s">
        <v>1256</v>
      </c>
    </row>
    <row r="1601" spans="8:8" x14ac:dyDescent="0.3">
      <c r="H1601" s="4" t="s">
        <v>25</v>
      </c>
    </row>
    <row r="1602" spans="8:8" x14ac:dyDescent="0.3">
      <c r="H1602" s="5" t="s">
        <v>1257</v>
      </c>
    </row>
    <row r="1603" spans="8:8" x14ac:dyDescent="0.3">
      <c r="H1603" s="3" t="s">
        <v>2371</v>
      </c>
    </row>
    <row r="1604" spans="8:8" x14ac:dyDescent="0.3">
      <c r="H1604" s="4" t="s">
        <v>25</v>
      </c>
    </row>
    <row r="1605" spans="8:8" x14ac:dyDescent="0.3">
      <c r="H1605" s="5" t="s">
        <v>2372</v>
      </c>
    </row>
    <row r="1606" spans="8:8" x14ac:dyDescent="0.3">
      <c r="H1606" s="3" t="s">
        <v>3375</v>
      </c>
    </row>
    <row r="1607" spans="8:8" x14ac:dyDescent="0.3">
      <c r="H1607" s="4" t="s">
        <v>25</v>
      </c>
    </row>
    <row r="1608" spans="8:8" x14ac:dyDescent="0.3">
      <c r="H1608" s="5" t="s">
        <v>3376</v>
      </c>
    </row>
    <row r="1609" spans="8:8" x14ac:dyDescent="0.3">
      <c r="H1609" s="3" t="s">
        <v>2272</v>
      </c>
    </row>
    <row r="1610" spans="8:8" x14ac:dyDescent="0.3">
      <c r="H1610" s="4" t="s">
        <v>25</v>
      </c>
    </row>
    <row r="1611" spans="8:8" x14ac:dyDescent="0.3">
      <c r="H1611" s="5" t="s">
        <v>2273</v>
      </c>
    </row>
    <row r="1612" spans="8:8" x14ac:dyDescent="0.3">
      <c r="H1612" s="3" t="s">
        <v>1533</v>
      </c>
    </row>
    <row r="1613" spans="8:8" x14ac:dyDescent="0.3">
      <c r="H1613" s="4" t="s">
        <v>25</v>
      </c>
    </row>
    <row r="1614" spans="8:8" x14ac:dyDescent="0.3">
      <c r="H1614" s="5" t="s">
        <v>1534</v>
      </c>
    </row>
    <row r="1615" spans="8:8" x14ac:dyDescent="0.3">
      <c r="H1615" s="3" t="s">
        <v>670</v>
      </c>
    </row>
    <row r="1616" spans="8:8" x14ac:dyDescent="0.3">
      <c r="H1616" s="4" t="s">
        <v>25</v>
      </c>
    </row>
    <row r="1617" spans="8:8" x14ac:dyDescent="0.3">
      <c r="H1617" s="5" t="s">
        <v>671</v>
      </c>
    </row>
    <row r="1618" spans="8:8" x14ac:dyDescent="0.3">
      <c r="H1618" s="3" t="s">
        <v>1451</v>
      </c>
    </row>
    <row r="1619" spans="8:8" x14ac:dyDescent="0.3">
      <c r="H1619" s="4" t="s">
        <v>25</v>
      </c>
    </row>
    <row r="1620" spans="8:8" x14ac:dyDescent="0.3">
      <c r="H1620" s="5" t="s">
        <v>1452</v>
      </c>
    </row>
    <row r="1621" spans="8:8" x14ac:dyDescent="0.3">
      <c r="H1621" s="3" t="s">
        <v>2285</v>
      </c>
    </row>
    <row r="1622" spans="8:8" x14ac:dyDescent="0.3">
      <c r="H1622" s="4" t="s">
        <v>25</v>
      </c>
    </row>
    <row r="1623" spans="8:8" x14ac:dyDescent="0.3">
      <c r="H1623" s="5" t="s">
        <v>2286</v>
      </c>
    </row>
    <row r="1624" spans="8:8" x14ac:dyDescent="0.3">
      <c r="H1624" s="3" t="s">
        <v>1837</v>
      </c>
    </row>
    <row r="1625" spans="8:8" x14ac:dyDescent="0.3">
      <c r="H1625" s="4" t="s">
        <v>25</v>
      </c>
    </row>
    <row r="1626" spans="8:8" x14ac:dyDescent="0.3">
      <c r="H1626" s="5" t="s">
        <v>1838</v>
      </c>
    </row>
    <row r="1627" spans="8:8" x14ac:dyDescent="0.3">
      <c r="H1627" s="3" t="s">
        <v>3116</v>
      </c>
    </row>
    <row r="1628" spans="8:8" x14ac:dyDescent="0.3">
      <c r="H1628" s="4" t="s">
        <v>25</v>
      </c>
    </row>
    <row r="1629" spans="8:8" x14ac:dyDescent="0.3">
      <c r="H1629" s="5" t="s">
        <v>3117</v>
      </c>
    </row>
    <row r="1630" spans="8:8" x14ac:dyDescent="0.3">
      <c r="H1630" s="3" t="s">
        <v>3606</v>
      </c>
    </row>
    <row r="1631" spans="8:8" x14ac:dyDescent="0.3">
      <c r="H1631" s="4" t="s">
        <v>25</v>
      </c>
    </row>
    <row r="1632" spans="8:8" x14ac:dyDescent="0.3">
      <c r="H1632" s="5" t="s">
        <v>3607</v>
      </c>
    </row>
    <row r="1633" spans="8:8" x14ac:dyDescent="0.3">
      <c r="H1633" s="3" t="s">
        <v>3418</v>
      </c>
    </row>
    <row r="1634" spans="8:8" x14ac:dyDescent="0.3">
      <c r="H1634" s="4" t="s">
        <v>25</v>
      </c>
    </row>
    <row r="1635" spans="8:8" x14ac:dyDescent="0.3">
      <c r="H1635" s="5" t="s">
        <v>3419</v>
      </c>
    </row>
    <row r="1636" spans="8:8" x14ac:dyDescent="0.3">
      <c r="H1636" s="3" t="s">
        <v>1931</v>
      </c>
    </row>
    <row r="1637" spans="8:8" x14ac:dyDescent="0.3">
      <c r="H1637" s="4" t="s">
        <v>25</v>
      </c>
    </row>
    <row r="1638" spans="8:8" x14ac:dyDescent="0.3">
      <c r="H1638" s="5" t="s">
        <v>1932</v>
      </c>
    </row>
    <row r="1639" spans="8:8" x14ac:dyDescent="0.3">
      <c r="H1639" s="3" t="s">
        <v>2833</v>
      </c>
    </row>
    <row r="1640" spans="8:8" x14ac:dyDescent="0.3">
      <c r="H1640" s="4" t="s">
        <v>25</v>
      </c>
    </row>
    <row r="1641" spans="8:8" x14ac:dyDescent="0.3">
      <c r="H1641" s="5" t="s">
        <v>2834</v>
      </c>
    </row>
    <row r="1642" spans="8:8" x14ac:dyDescent="0.3">
      <c r="H1642" s="3" t="s">
        <v>2253</v>
      </c>
    </row>
    <row r="1643" spans="8:8" x14ac:dyDescent="0.3">
      <c r="H1643" s="4" t="s">
        <v>25</v>
      </c>
    </row>
    <row r="1644" spans="8:8" x14ac:dyDescent="0.3">
      <c r="H1644" s="5" t="s">
        <v>2254</v>
      </c>
    </row>
    <row r="1645" spans="8:8" x14ac:dyDescent="0.3">
      <c r="H1645" s="3" t="s">
        <v>3258</v>
      </c>
    </row>
    <row r="1646" spans="8:8" x14ac:dyDescent="0.3">
      <c r="H1646" s="4" t="s">
        <v>25</v>
      </c>
    </row>
    <row r="1647" spans="8:8" x14ac:dyDescent="0.3">
      <c r="H1647" s="5" t="s">
        <v>3259</v>
      </c>
    </row>
    <row r="1648" spans="8:8" x14ac:dyDescent="0.3">
      <c r="H1648" s="3" t="s">
        <v>1425</v>
      </c>
    </row>
    <row r="1649" spans="8:8" x14ac:dyDescent="0.3">
      <c r="H1649" s="4" t="s">
        <v>25</v>
      </c>
    </row>
    <row r="1650" spans="8:8" x14ac:dyDescent="0.3">
      <c r="H1650" s="5" t="s">
        <v>1426</v>
      </c>
    </row>
    <row r="1651" spans="8:8" x14ac:dyDescent="0.3">
      <c r="H1651" s="3" t="s">
        <v>3594</v>
      </c>
    </row>
    <row r="1652" spans="8:8" x14ac:dyDescent="0.3">
      <c r="H1652" s="4" t="s">
        <v>25</v>
      </c>
    </row>
    <row r="1653" spans="8:8" x14ac:dyDescent="0.3">
      <c r="H1653" s="5" t="s">
        <v>3595</v>
      </c>
    </row>
    <row r="1654" spans="8:8" x14ac:dyDescent="0.3">
      <c r="H1654" s="3" t="s">
        <v>885</v>
      </c>
    </row>
    <row r="1655" spans="8:8" x14ac:dyDescent="0.3">
      <c r="H1655" s="4" t="s">
        <v>25</v>
      </c>
    </row>
    <row r="1656" spans="8:8" x14ac:dyDescent="0.3">
      <c r="H1656" s="5" t="s">
        <v>886</v>
      </c>
    </row>
    <row r="1657" spans="8:8" x14ac:dyDescent="0.3">
      <c r="H1657" s="3" t="s">
        <v>3815</v>
      </c>
    </row>
    <row r="1658" spans="8:8" x14ac:dyDescent="0.3">
      <c r="H1658" s="4" t="s">
        <v>25</v>
      </c>
    </row>
    <row r="1659" spans="8:8" x14ac:dyDescent="0.3">
      <c r="H1659" s="5" t="s">
        <v>3816</v>
      </c>
    </row>
    <row r="1660" spans="8:8" x14ac:dyDescent="0.3">
      <c r="H1660" s="3" t="s">
        <v>4121</v>
      </c>
    </row>
    <row r="1661" spans="8:8" x14ac:dyDescent="0.3">
      <c r="H1661" s="4" t="s">
        <v>25</v>
      </c>
    </row>
    <row r="1662" spans="8:8" x14ac:dyDescent="0.3">
      <c r="H1662" s="5" t="s">
        <v>4122</v>
      </c>
    </row>
    <row r="1663" spans="8:8" x14ac:dyDescent="0.3">
      <c r="H1663" s="3" t="s">
        <v>1373</v>
      </c>
    </row>
    <row r="1664" spans="8:8" x14ac:dyDescent="0.3">
      <c r="H1664" s="4" t="s">
        <v>25</v>
      </c>
    </row>
    <row r="1665" spans="8:8" x14ac:dyDescent="0.3">
      <c r="H1665" s="5" t="s">
        <v>1374</v>
      </c>
    </row>
    <row r="1666" spans="8:8" x14ac:dyDescent="0.3">
      <c r="H1666" s="3" t="s">
        <v>3234</v>
      </c>
    </row>
    <row r="1667" spans="8:8" x14ac:dyDescent="0.3">
      <c r="H1667" s="4" t="s">
        <v>25</v>
      </c>
    </row>
    <row r="1668" spans="8:8" x14ac:dyDescent="0.3">
      <c r="H1668" s="5" t="s">
        <v>3235</v>
      </c>
    </row>
    <row r="1669" spans="8:8" x14ac:dyDescent="0.3">
      <c r="H1669" s="3" t="s">
        <v>3443</v>
      </c>
    </row>
    <row r="1670" spans="8:8" x14ac:dyDescent="0.3">
      <c r="H1670" s="4" t="s">
        <v>25</v>
      </c>
    </row>
    <row r="1671" spans="8:8" x14ac:dyDescent="0.3">
      <c r="H1671" s="5" t="s">
        <v>3444</v>
      </c>
    </row>
    <row r="1672" spans="8:8" x14ac:dyDescent="0.3">
      <c r="H1672" s="3" t="s">
        <v>3905</v>
      </c>
    </row>
    <row r="1673" spans="8:8" x14ac:dyDescent="0.3">
      <c r="H1673" s="4" t="s">
        <v>25</v>
      </c>
    </row>
    <row r="1674" spans="8:8" x14ac:dyDescent="0.3">
      <c r="H1674" s="5" t="s">
        <v>3906</v>
      </c>
    </row>
    <row r="1675" spans="8:8" x14ac:dyDescent="0.3">
      <c r="H1675" s="3" t="s">
        <v>3650</v>
      </c>
    </row>
    <row r="1676" spans="8:8" x14ac:dyDescent="0.3">
      <c r="H1676" s="4" t="s">
        <v>25</v>
      </c>
    </row>
    <row r="1677" spans="8:8" x14ac:dyDescent="0.3">
      <c r="H1677" s="5" t="s">
        <v>3651</v>
      </c>
    </row>
    <row r="1678" spans="8:8" x14ac:dyDescent="0.3">
      <c r="H1678" s="3" t="s">
        <v>1953</v>
      </c>
    </row>
    <row r="1679" spans="8:8" x14ac:dyDescent="0.3">
      <c r="H1679" s="4" t="s">
        <v>25</v>
      </c>
    </row>
    <row r="1680" spans="8:8" x14ac:dyDescent="0.3">
      <c r="H1680" s="5" t="s">
        <v>1954</v>
      </c>
    </row>
    <row r="1681" spans="8:8" x14ac:dyDescent="0.3">
      <c r="H1681" s="3" t="s">
        <v>490</v>
      </c>
    </row>
    <row r="1682" spans="8:8" x14ac:dyDescent="0.3">
      <c r="H1682" s="4" t="s">
        <v>25</v>
      </c>
    </row>
    <row r="1683" spans="8:8" x14ac:dyDescent="0.3">
      <c r="H1683" s="5" t="s">
        <v>491</v>
      </c>
    </row>
    <row r="1684" spans="8:8" x14ac:dyDescent="0.3">
      <c r="H1684" s="3" t="s">
        <v>322</v>
      </c>
    </row>
    <row r="1685" spans="8:8" x14ac:dyDescent="0.3">
      <c r="H1685" s="4" t="s">
        <v>25</v>
      </c>
    </row>
    <row r="1686" spans="8:8" x14ac:dyDescent="0.3">
      <c r="H1686" s="5" t="s">
        <v>323</v>
      </c>
    </row>
    <row r="1687" spans="8:8" x14ac:dyDescent="0.3">
      <c r="H1687" s="3" t="s">
        <v>3280</v>
      </c>
    </row>
    <row r="1688" spans="8:8" x14ac:dyDescent="0.3">
      <c r="H1688" s="4" t="s">
        <v>25</v>
      </c>
    </row>
    <row r="1689" spans="8:8" x14ac:dyDescent="0.3">
      <c r="H1689" s="5" t="s">
        <v>3281</v>
      </c>
    </row>
    <row r="1690" spans="8:8" x14ac:dyDescent="0.3">
      <c r="H1690" s="3" t="s">
        <v>1304</v>
      </c>
    </row>
    <row r="1691" spans="8:8" x14ac:dyDescent="0.3">
      <c r="H1691" s="4" t="s">
        <v>25</v>
      </c>
    </row>
    <row r="1692" spans="8:8" x14ac:dyDescent="0.3">
      <c r="H1692" s="5" t="s">
        <v>1305</v>
      </c>
    </row>
    <row r="1693" spans="8:8" x14ac:dyDescent="0.3">
      <c r="H1693" s="3" t="s">
        <v>2260</v>
      </c>
    </row>
    <row r="1694" spans="8:8" x14ac:dyDescent="0.3">
      <c r="H1694" s="4" t="s">
        <v>25</v>
      </c>
    </row>
    <row r="1695" spans="8:8" x14ac:dyDescent="0.3">
      <c r="H1695" s="5" t="s">
        <v>2261</v>
      </c>
    </row>
    <row r="1696" spans="8:8" x14ac:dyDescent="0.3">
      <c r="H1696" s="3" t="s">
        <v>137</v>
      </c>
    </row>
    <row r="1697" spans="8:8" x14ac:dyDescent="0.3">
      <c r="H1697" s="4" t="s">
        <v>25</v>
      </c>
    </row>
    <row r="1698" spans="8:8" x14ac:dyDescent="0.3">
      <c r="H1698" s="5" t="s">
        <v>138</v>
      </c>
    </row>
    <row r="1699" spans="8:8" x14ac:dyDescent="0.3">
      <c r="H1699" s="3" t="s">
        <v>1635</v>
      </c>
    </row>
    <row r="1700" spans="8:8" x14ac:dyDescent="0.3">
      <c r="H1700" s="4" t="s">
        <v>25</v>
      </c>
    </row>
    <row r="1701" spans="8:8" x14ac:dyDescent="0.3">
      <c r="H1701" s="5" t="s">
        <v>1636</v>
      </c>
    </row>
    <row r="1702" spans="8:8" x14ac:dyDescent="0.3">
      <c r="H1702" s="3" t="s">
        <v>1760</v>
      </c>
    </row>
    <row r="1703" spans="8:8" x14ac:dyDescent="0.3">
      <c r="H1703" s="4" t="s">
        <v>25</v>
      </c>
    </row>
    <row r="1704" spans="8:8" x14ac:dyDescent="0.3">
      <c r="H1704" s="5" t="s">
        <v>1761</v>
      </c>
    </row>
    <row r="1705" spans="8:8" x14ac:dyDescent="0.3">
      <c r="H1705" s="3" t="s">
        <v>547</v>
      </c>
    </row>
    <row r="1706" spans="8:8" x14ac:dyDescent="0.3">
      <c r="H1706" s="4" t="s">
        <v>25</v>
      </c>
    </row>
    <row r="1707" spans="8:8" x14ac:dyDescent="0.3">
      <c r="H1707" s="5" t="s">
        <v>548</v>
      </c>
    </row>
    <row r="1708" spans="8:8" x14ac:dyDescent="0.3">
      <c r="H1708" s="3" t="s">
        <v>3478</v>
      </c>
    </row>
    <row r="1709" spans="8:8" x14ac:dyDescent="0.3">
      <c r="H1709" s="4" t="s">
        <v>25</v>
      </c>
    </row>
    <row r="1710" spans="8:8" x14ac:dyDescent="0.3">
      <c r="H1710" s="5" t="s">
        <v>3479</v>
      </c>
    </row>
    <row r="1711" spans="8:8" x14ac:dyDescent="0.3">
      <c r="H1711" s="3" t="s">
        <v>540</v>
      </c>
    </row>
    <row r="1712" spans="8:8" x14ac:dyDescent="0.3">
      <c r="H1712" s="4" t="s">
        <v>25</v>
      </c>
    </row>
    <row r="1713" spans="8:8" x14ac:dyDescent="0.3">
      <c r="H1713" s="5" t="s">
        <v>541</v>
      </c>
    </row>
    <row r="1714" spans="8:8" x14ac:dyDescent="0.3">
      <c r="H1714" s="3" t="s">
        <v>994</v>
      </c>
    </row>
    <row r="1715" spans="8:8" x14ac:dyDescent="0.3">
      <c r="H1715" s="4" t="s">
        <v>25</v>
      </c>
    </row>
    <row r="1716" spans="8:8" x14ac:dyDescent="0.3">
      <c r="H1716" s="5" t="s">
        <v>995</v>
      </c>
    </row>
    <row r="1717" spans="8:8" x14ac:dyDescent="0.3">
      <c r="H1717" s="3" t="s">
        <v>3382</v>
      </c>
    </row>
    <row r="1718" spans="8:8" x14ac:dyDescent="0.3">
      <c r="H1718" s="4" t="s">
        <v>25</v>
      </c>
    </row>
    <row r="1719" spans="8:8" x14ac:dyDescent="0.3">
      <c r="H1719" s="5" t="s">
        <v>3383</v>
      </c>
    </row>
    <row r="1720" spans="8:8" x14ac:dyDescent="0.3">
      <c r="H1720" s="3" t="s">
        <v>3773</v>
      </c>
    </row>
    <row r="1721" spans="8:8" x14ac:dyDescent="0.3">
      <c r="H1721" s="4" t="s">
        <v>25</v>
      </c>
    </row>
    <row r="1722" spans="8:8" x14ac:dyDescent="0.3">
      <c r="H1722" s="5" t="s">
        <v>3774</v>
      </c>
    </row>
    <row r="1723" spans="8:8" x14ac:dyDescent="0.3">
      <c r="H1723" s="3" t="s">
        <v>650</v>
      </c>
    </row>
    <row r="1724" spans="8:8" x14ac:dyDescent="0.3">
      <c r="H1724" s="4" t="s">
        <v>25</v>
      </c>
    </row>
    <row r="1725" spans="8:8" x14ac:dyDescent="0.3">
      <c r="H1725" s="5" t="s">
        <v>651</v>
      </c>
    </row>
    <row r="1726" spans="8:8" x14ac:dyDescent="0.3">
      <c r="H1726" s="3" t="s">
        <v>679</v>
      </c>
    </row>
    <row r="1727" spans="8:8" x14ac:dyDescent="0.3">
      <c r="H1727" s="4" t="s">
        <v>25</v>
      </c>
    </row>
    <row r="1728" spans="8:8" x14ac:dyDescent="0.3">
      <c r="H1728" s="5" t="s">
        <v>680</v>
      </c>
    </row>
    <row r="1729" spans="8:8" x14ac:dyDescent="0.3">
      <c r="H1729" s="3" t="s">
        <v>3153</v>
      </c>
    </row>
    <row r="1730" spans="8:8" x14ac:dyDescent="0.3">
      <c r="H1730" s="4" t="s">
        <v>25</v>
      </c>
    </row>
    <row r="1731" spans="8:8" x14ac:dyDescent="0.3">
      <c r="H1731" s="5" t="s">
        <v>3154</v>
      </c>
    </row>
    <row r="1732" spans="8:8" x14ac:dyDescent="0.3">
      <c r="H1732" s="3" t="s">
        <v>3400</v>
      </c>
    </row>
    <row r="1733" spans="8:8" x14ac:dyDescent="0.3">
      <c r="H1733" s="4" t="s">
        <v>25</v>
      </c>
    </row>
    <row r="1734" spans="8:8" x14ac:dyDescent="0.3">
      <c r="H1734" s="5" t="s">
        <v>3401</v>
      </c>
    </row>
    <row r="1735" spans="8:8" x14ac:dyDescent="0.3">
      <c r="H1735" s="3" t="s">
        <v>4300</v>
      </c>
    </row>
    <row r="1736" spans="8:8" x14ac:dyDescent="0.3">
      <c r="H1736" s="4" t="s">
        <v>25</v>
      </c>
    </row>
    <row r="1737" spans="8:8" x14ac:dyDescent="0.3">
      <c r="H1737" s="5" t="s">
        <v>4301</v>
      </c>
    </row>
    <row r="1738" spans="8:8" x14ac:dyDescent="0.3">
      <c r="H1738" s="3" t="s">
        <v>2669</v>
      </c>
    </row>
    <row r="1739" spans="8:8" x14ac:dyDescent="0.3">
      <c r="H1739" s="4" t="s">
        <v>25</v>
      </c>
    </row>
    <row r="1740" spans="8:8" x14ac:dyDescent="0.3">
      <c r="H1740" s="5" t="s">
        <v>2670</v>
      </c>
    </row>
    <row r="1741" spans="8:8" x14ac:dyDescent="0.3">
      <c r="H1741" s="3" t="s">
        <v>3291</v>
      </c>
    </row>
    <row r="1742" spans="8:8" x14ac:dyDescent="0.3">
      <c r="H1742" s="4" t="s">
        <v>25</v>
      </c>
    </row>
    <row r="1743" spans="8:8" x14ac:dyDescent="0.3">
      <c r="H1743" s="5" t="s">
        <v>3292</v>
      </c>
    </row>
    <row r="1744" spans="8:8" x14ac:dyDescent="0.3">
      <c r="H1744" s="3" t="s">
        <v>180</v>
      </c>
    </row>
    <row r="1745" spans="8:8" x14ac:dyDescent="0.3">
      <c r="H1745" s="4" t="s">
        <v>25</v>
      </c>
    </row>
    <row r="1746" spans="8:8" x14ac:dyDescent="0.3">
      <c r="H1746" s="5" t="s">
        <v>181</v>
      </c>
    </row>
    <row r="1747" spans="8:8" x14ac:dyDescent="0.3">
      <c r="H1747" s="3" t="s">
        <v>50</v>
      </c>
    </row>
    <row r="1748" spans="8:8" x14ac:dyDescent="0.3">
      <c r="H1748" s="4" t="s">
        <v>25</v>
      </c>
    </row>
    <row r="1749" spans="8:8" x14ac:dyDescent="0.3">
      <c r="H1749" s="5" t="s">
        <v>51</v>
      </c>
    </row>
    <row r="1750" spans="8:8" x14ac:dyDescent="0.3">
      <c r="H1750" s="3" t="s">
        <v>2686</v>
      </c>
    </row>
    <row r="1751" spans="8:8" x14ac:dyDescent="0.3">
      <c r="H1751" s="4" t="s">
        <v>25</v>
      </c>
    </row>
    <row r="1752" spans="8:8" x14ac:dyDescent="0.3">
      <c r="H1752" s="5" t="s">
        <v>2687</v>
      </c>
    </row>
    <row r="1753" spans="8:8" x14ac:dyDescent="0.3">
      <c r="H1753" s="3" t="s">
        <v>2611</v>
      </c>
    </row>
    <row r="1754" spans="8:8" x14ac:dyDescent="0.3">
      <c r="H1754" s="4" t="s">
        <v>25</v>
      </c>
    </row>
    <row r="1755" spans="8:8" x14ac:dyDescent="0.3">
      <c r="H1755" s="5" t="s">
        <v>2612</v>
      </c>
    </row>
    <row r="1756" spans="8:8" x14ac:dyDescent="0.3">
      <c r="H1756" s="3" t="s">
        <v>577</v>
      </c>
    </row>
    <row r="1757" spans="8:8" x14ac:dyDescent="0.3">
      <c r="H1757" s="4" t="s">
        <v>25</v>
      </c>
    </row>
    <row r="1758" spans="8:8" x14ac:dyDescent="0.3">
      <c r="H1758" s="5" t="s">
        <v>578</v>
      </c>
    </row>
    <row r="1759" spans="8:8" x14ac:dyDescent="0.3">
      <c r="H1759" s="3" t="s">
        <v>1024</v>
      </c>
    </row>
    <row r="1760" spans="8:8" x14ac:dyDescent="0.3">
      <c r="H1760" s="4" t="s">
        <v>25</v>
      </c>
    </row>
    <row r="1761" spans="8:8" x14ac:dyDescent="0.3">
      <c r="H1761" s="5" t="s">
        <v>1025</v>
      </c>
    </row>
    <row r="1762" spans="8:8" x14ac:dyDescent="0.3">
      <c r="H1762" s="3" t="s">
        <v>4264</v>
      </c>
    </row>
    <row r="1763" spans="8:8" x14ac:dyDescent="0.3">
      <c r="H1763" s="4" t="s">
        <v>25</v>
      </c>
    </row>
    <row r="1764" spans="8:8" x14ac:dyDescent="0.3">
      <c r="H1764" s="5" t="s">
        <v>4265</v>
      </c>
    </row>
    <row r="1765" spans="8:8" x14ac:dyDescent="0.3">
      <c r="H1765" s="3" t="s">
        <v>1233</v>
      </c>
    </row>
    <row r="1766" spans="8:8" x14ac:dyDescent="0.3">
      <c r="H1766" s="4" t="s">
        <v>25</v>
      </c>
    </row>
    <row r="1767" spans="8:8" x14ac:dyDescent="0.3">
      <c r="H1767" s="5" t="s">
        <v>1234</v>
      </c>
    </row>
    <row r="1768" spans="8:8" x14ac:dyDescent="0.3">
      <c r="H1768" s="3" t="s">
        <v>1444</v>
      </c>
    </row>
    <row r="1769" spans="8:8" x14ac:dyDescent="0.3">
      <c r="H1769" s="4" t="s">
        <v>25</v>
      </c>
    </row>
    <row r="1770" spans="8:8" x14ac:dyDescent="0.3">
      <c r="H1770" s="5" t="s">
        <v>1445</v>
      </c>
    </row>
    <row r="1771" spans="8:8" x14ac:dyDescent="0.3">
      <c r="H1771" s="3" t="s">
        <v>1989</v>
      </c>
    </row>
    <row r="1772" spans="8:8" x14ac:dyDescent="0.3">
      <c r="H1772" s="4" t="s">
        <v>25</v>
      </c>
    </row>
    <row r="1773" spans="8:8" x14ac:dyDescent="0.3">
      <c r="H1773" s="5" t="s">
        <v>1990</v>
      </c>
    </row>
    <row r="1774" spans="8:8" x14ac:dyDescent="0.3">
      <c r="H1774" s="3" t="s">
        <v>2844</v>
      </c>
    </row>
    <row r="1775" spans="8:8" x14ac:dyDescent="0.3">
      <c r="H1775" s="4" t="s">
        <v>25</v>
      </c>
    </row>
    <row r="1776" spans="8:8" x14ac:dyDescent="0.3">
      <c r="H1776" s="5" t="s">
        <v>2845</v>
      </c>
    </row>
    <row r="1777" spans="8:8" x14ac:dyDescent="0.3">
      <c r="H1777" s="3" t="s">
        <v>3825</v>
      </c>
    </row>
    <row r="1778" spans="8:8" x14ac:dyDescent="0.3">
      <c r="H1778" s="4" t="s">
        <v>25</v>
      </c>
    </row>
    <row r="1779" spans="8:8" x14ac:dyDescent="0.3">
      <c r="H1779" s="5" t="s">
        <v>3826</v>
      </c>
    </row>
    <row r="1780" spans="8:8" x14ac:dyDescent="0.3">
      <c r="H1780" s="3" t="s">
        <v>3241</v>
      </c>
    </row>
    <row r="1781" spans="8:8" x14ac:dyDescent="0.3">
      <c r="H1781" s="4" t="s">
        <v>25</v>
      </c>
    </row>
    <row r="1782" spans="8:8" x14ac:dyDescent="0.3">
      <c r="H1782" s="5" t="s">
        <v>3242</v>
      </c>
    </row>
    <row r="1783" spans="8:8" x14ac:dyDescent="0.3">
      <c r="H1783" s="3" t="s">
        <v>4088</v>
      </c>
    </row>
    <row r="1784" spans="8:8" x14ac:dyDescent="0.3">
      <c r="H1784" s="4" t="s">
        <v>25</v>
      </c>
    </row>
    <row r="1785" spans="8:8" x14ac:dyDescent="0.3">
      <c r="H1785" s="5" t="s">
        <v>4089</v>
      </c>
    </row>
    <row r="1786" spans="8:8" x14ac:dyDescent="0.3">
      <c r="H1786" s="3" t="s">
        <v>2826</v>
      </c>
    </row>
    <row r="1787" spans="8:8" x14ac:dyDescent="0.3">
      <c r="H1787" s="4" t="s">
        <v>25</v>
      </c>
    </row>
    <row r="1788" spans="8:8" x14ac:dyDescent="0.3">
      <c r="H1788" s="5" t="s">
        <v>2827</v>
      </c>
    </row>
    <row r="1789" spans="8:8" x14ac:dyDescent="0.3">
      <c r="H1789" s="3" t="s">
        <v>3494</v>
      </c>
    </row>
    <row r="1790" spans="8:8" x14ac:dyDescent="0.3">
      <c r="H1790" s="4" t="s">
        <v>25</v>
      </c>
    </row>
    <row r="1791" spans="8:8" x14ac:dyDescent="0.3">
      <c r="H1791" s="5" t="s">
        <v>3495</v>
      </c>
    </row>
    <row r="1792" spans="8:8" x14ac:dyDescent="0.3">
      <c r="H1792" s="3" t="s">
        <v>2578</v>
      </c>
    </row>
    <row r="1793" spans="8:8" x14ac:dyDescent="0.3">
      <c r="H1793" s="4" t="s">
        <v>25</v>
      </c>
    </row>
    <row r="1794" spans="8:8" x14ac:dyDescent="0.3">
      <c r="H1794" s="5" t="s">
        <v>2579</v>
      </c>
    </row>
    <row r="1795" spans="8:8" x14ac:dyDescent="0.3">
      <c r="H1795" s="3" t="s">
        <v>4133</v>
      </c>
    </row>
    <row r="1796" spans="8:8" x14ac:dyDescent="0.3">
      <c r="H1796" s="4" t="s">
        <v>25</v>
      </c>
    </row>
    <row r="1797" spans="8:8" x14ac:dyDescent="0.3">
      <c r="H1797" s="5" t="s">
        <v>4134</v>
      </c>
    </row>
    <row r="1798" spans="8:8" x14ac:dyDescent="0.3">
      <c r="H1798" s="3" t="s">
        <v>4241</v>
      </c>
    </row>
    <row r="1799" spans="8:8" x14ac:dyDescent="0.3">
      <c r="H1799" s="4" t="s">
        <v>25</v>
      </c>
    </row>
    <row r="1800" spans="8:8" x14ac:dyDescent="0.3">
      <c r="H1800" s="5" t="s">
        <v>4242</v>
      </c>
    </row>
    <row r="1801" spans="8:8" x14ac:dyDescent="0.3">
      <c r="H1801" s="3" t="s">
        <v>2604</v>
      </c>
    </row>
    <row r="1802" spans="8:8" x14ac:dyDescent="0.3">
      <c r="H1802" s="4" t="s">
        <v>25</v>
      </c>
    </row>
    <row r="1803" spans="8:8" x14ac:dyDescent="0.3">
      <c r="H1803" s="5" t="s">
        <v>2605</v>
      </c>
    </row>
    <row r="1804" spans="8:8" x14ac:dyDescent="0.3">
      <c r="H1804" s="3" t="s">
        <v>3801</v>
      </c>
    </row>
    <row r="1805" spans="8:8" x14ac:dyDescent="0.3">
      <c r="H1805" s="4" t="s">
        <v>25</v>
      </c>
    </row>
    <row r="1806" spans="8:8" x14ac:dyDescent="0.3">
      <c r="H1806" s="5" t="s">
        <v>3802</v>
      </c>
    </row>
    <row r="1807" spans="8:8" x14ac:dyDescent="0.3">
      <c r="H1807" s="3" t="s">
        <v>3582</v>
      </c>
    </row>
    <row r="1808" spans="8:8" x14ac:dyDescent="0.3">
      <c r="H1808" s="4" t="s">
        <v>25</v>
      </c>
    </row>
    <row r="1809" spans="8:8" x14ac:dyDescent="0.3">
      <c r="H1809" s="5" t="s">
        <v>3583</v>
      </c>
    </row>
    <row r="1810" spans="8:8" x14ac:dyDescent="0.3">
      <c r="H1810" s="3" t="s">
        <v>259</v>
      </c>
    </row>
    <row r="1811" spans="8:8" x14ac:dyDescent="0.3">
      <c r="H1811" s="4" t="s">
        <v>25</v>
      </c>
    </row>
    <row r="1812" spans="8:8" x14ac:dyDescent="0.3">
      <c r="H1812" s="5" t="s">
        <v>260</v>
      </c>
    </row>
    <row r="1813" spans="8:8" x14ac:dyDescent="0.3">
      <c r="H1813" s="3" t="s">
        <v>2317</v>
      </c>
    </row>
    <row r="1814" spans="8:8" x14ac:dyDescent="0.3">
      <c r="H1814" s="4" t="s">
        <v>25</v>
      </c>
    </row>
    <row r="1815" spans="8:8" x14ac:dyDescent="0.3">
      <c r="H1815" s="5" t="s">
        <v>2318</v>
      </c>
    </row>
    <row r="1816" spans="8:8" x14ac:dyDescent="0.3">
      <c r="H1816" s="3" t="s">
        <v>3534</v>
      </c>
    </row>
    <row r="1817" spans="8:8" x14ac:dyDescent="0.3">
      <c r="H1817" s="4" t="s">
        <v>25</v>
      </c>
    </row>
    <row r="1818" spans="8:8" x14ac:dyDescent="0.3">
      <c r="H1818" s="5" t="s">
        <v>3535</v>
      </c>
    </row>
    <row r="1819" spans="8:8" x14ac:dyDescent="0.3">
      <c r="H1819" s="3" t="s">
        <v>3018</v>
      </c>
    </row>
    <row r="1820" spans="8:8" x14ac:dyDescent="0.3">
      <c r="H1820" s="4" t="s">
        <v>25</v>
      </c>
    </row>
    <row r="1821" spans="8:8" x14ac:dyDescent="0.3">
      <c r="H1821" s="5" t="s">
        <v>3019</v>
      </c>
    </row>
    <row r="1822" spans="8:8" x14ac:dyDescent="0.3">
      <c r="H1822" s="3" t="s">
        <v>2699</v>
      </c>
    </row>
    <row r="1823" spans="8:8" x14ac:dyDescent="0.3">
      <c r="H1823" s="4" t="s">
        <v>25</v>
      </c>
    </row>
    <row r="1824" spans="8:8" x14ac:dyDescent="0.3">
      <c r="H1824" s="5" t="s">
        <v>2700</v>
      </c>
    </row>
    <row r="1825" spans="8:8" x14ac:dyDescent="0.3">
      <c r="H1825" s="3" t="s">
        <v>3600</v>
      </c>
    </row>
    <row r="1826" spans="8:8" x14ac:dyDescent="0.3">
      <c r="H1826" s="4" t="s">
        <v>25</v>
      </c>
    </row>
    <row r="1827" spans="8:8" x14ac:dyDescent="0.3">
      <c r="H1827" s="5" t="s">
        <v>3601</v>
      </c>
    </row>
    <row r="1828" spans="8:8" x14ac:dyDescent="0.3">
      <c r="H1828" s="3" t="s">
        <v>155</v>
      </c>
    </row>
    <row r="1829" spans="8:8" x14ac:dyDescent="0.3">
      <c r="H1829" s="4" t="s">
        <v>25</v>
      </c>
    </row>
    <row r="1830" spans="8:8" x14ac:dyDescent="0.3">
      <c r="H1830" s="5" t="s">
        <v>156</v>
      </c>
    </row>
    <row r="1831" spans="8:8" x14ac:dyDescent="0.3">
      <c r="H1831" s="3" t="s">
        <v>1351</v>
      </c>
    </row>
    <row r="1832" spans="8:8" x14ac:dyDescent="0.3">
      <c r="H1832" s="4" t="s">
        <v>25</v>
      </c>
    </row>
    <row r="1833" spans="8:8" x14ac:dyDescent="0.3">
      <c r="H1833" s="5" t="s">
        <v>1352</v>
      </c>
    </row>
    <row r="1834" spans="8:8" x14ac:dyDescent="0.3">
      <c r="H1834" s="3" t="s">
        <v>3319</v>
      </c>
    </row>
    <row r="1835" spans="8:8" x14ac:dyDescent="0.3">
      <c r="H1835" s="4" t="s">
        <v>25</v>
      </c>
    </row>
    <row r="1836" spans="8:8" x14ac:dyDescent="0.3">
      <c r="H1836" s="5" t="s">
        <v>3320</v>
      </c>
    </row>
    <row r="1837" spans="8:8" x14ac:dyDescent="0.3">
      <c r="H1837" s="3" t="s">
        <v>3757</v>
      </c>
    </row>
    <row r="1838" spans="8:8" x14ac:dyDescent="0.3">
      <c r="H1838" s="4" t="s">
        <v>25</v>
      </c>
    </row>
    <row r="1839" spans="8:8" x14ac:dyDescent="0.3">
      <c r="H1839" s="5" t="s">
        <v>3758</v>
      </c>
    </row>
    <row r="1840" spans="8:8" x14ac:dyDescent="0.3">
      <c r="H1840" s="3" t="s">
        <v>3886</v>
      </c>
    </row>
    <row r="1841" spans="8:8" x14ac:dyDescent="0.3">
      <c r="H1841" s="4" t="s">
        <v>25</v>
      </c>
    </row>
    <row r="1842" spans="8:8" x14ac:dyDescent="0.3">
      <c r="H1842" s="5" t="s">
        <v>3887</v>
      </c>
    </row>
    <row r="1843" spans="8:8" x14ac:dyDescent="0.3">
      <c r="H1843" s="3" t="s">
        <v>2706</v>
      </c>
    </row>
    <row r="1844" spans="8:8" x14ac:dyDescent="0.3">
      <c r="H1844" s="4" t="s">
        <v>25</v>
      </c>
    </row>
    <row r="1845" spans="8:8" x14ac:dyDescent="0.3">
      <c r="H1845" s="5" t="s">
        <v>2707</v>
      </c>
    </row>
    <row r="1846" spans="8:8" x14ac:dyDescent="0.3">
      <c r="H1846" s="3" t="s">
        <v>1088</v>
      </c>
    </row>
    <row r="1847" spans="8:8" x14ac:dyDescent="0.3">
      <c r="H1847" s="4" t="s">
        <v>25</v>
      </c>
    </row>
    <row r="1848" spans="8:8" x14ac:dyDescent="0.3">
      <c r="H1848" s="5" t="s">
        <v>1089</v>
      </c>
    </row>
    <row r="1849" spans="8:8" x14ac:dyDescent="0.3">
      <c r="H1849" s="3" t="s">
        <v>3388</v>
      </c>
    </row>
    <row r="1850" spans="8:8" x14ac:dyDescent="0.3">
      <c r="H1850" s="4" t="s">
        <v>25</v>
      </c>
    </row>
    <row r="1851" spans="8:8" x14ac:dyDescent="0.3">
      <c r="H1851" s="5" t="s">
        <v>3389</v>
      </c>
    </row>
    <row r="1852" spans="8:8" x14ac:dyDescent="0.3">
      <c r="H1852" s="3" t="s">
        <v>1643</v>
      </c>
    </row>
    <row r="1853" spans="8:8" x14ac:dyDescent="0.3">
      <c r="H1853" s="4" t="s">
        <v>25</v>
      </c>
    </row>
    <row r="1854" spans="8:8" x14ac:dyDescent="0.3">
      <c r="H1854" s="5" t="s">
        <v>1644</v>
      </c>
    </row>
    <row r="1855" spans="8:8" x14ac:dyDescent="0.3">
      <c r="H1855" s="3" t="s">
        <v>3037</v>
      </c>
    </row>
    <row r="1856" spans="8:8" x14ac:dyDescent="0.3">
      <c r="H1856" s="4" t="s">
        <v>25</v>
      </c>
    </row>
    <row r="1857" spans="8:8" x14ac:dyDescent="0.3">
      <c r="H1857" s="5" t="s">
        <v>3038</v>
      </c>
    </row>
    <row r="1858" spans="8:8" x14ac:dyDescent="0.3">
      <c r="H1858" s="3" t="s">
        <v>1832</v>
      </c>
    </row>
    <row r="1859" spans="8:8" x14ac:dyDescent="0.3">
      <c r="H1859" s="4" t="s">
        <v>25</v>
      </c>
    </row>
    <row r="1860" spans="8:8" x14ac:dyDescent="0.3">
      <c r="H1860" s="5" t="s">
        <v>1833</v>
      </c>
    </row>
    <row r="1861" spans="8:8" x14ac:dyDescent="0.3">
      <c r="H1861" s="3" t="s">
        <v>2216</v>
      </c>
    </row>
    <row r="1862" spans="8:8" x14ac:dyDescent="0.3">
      <c r="H1862" s="4" t="s">
        <v>25</v>
      </c>
    </row>
    <row r="1863" spans="8:8" x14ac:dyDescent="0.3">
      <c r="H1863" s="5" t="s">
        <v>2217</v>
      </c>
    </row>
    <row r="1864" spans="8:8" x14ac:dyDescent="0.3">
      <c r="H1864" s="3" t="s">
        <v>3483</v>
      </c>
    </row>
    <row r="1865" spans="8:8" x14ac:dyDescent="0.3">
      <c r="H1865" s="4" t="s">
        <v>25</v>
      </c>
    </row>
    <row r="1866" spans="8:8" x14ac:dyDescent="0.3">
      <c r="H1866" s="5" t="s">
        <v>3484</v>
      </c>
    </row>
    <row r="1867" spans="8:8" x14ac:dyDescent="0.3">
      <c r="H1867" s="3" t="s">
        <v>4075</v>
      </c>
    </row>
    <row r="1868" spans="8:8" x14ac:dyDescent="0.3">
      <c r="H1868" s="4" t="s">
        <v>25</v>
      </c>
    </row>
    <row r="1869" spans="8:8" x14ac:dyDescent="0.3">
      <c r="H1869" s="5" t="s">
        <v>4076</v>
      </c>
    </row>
    <row r="1870" spans="8:8" x14ac:dyDescent="0.3">
      <c r="H1870" s="3" t="s">
        <v>1379</v>
      </c>
    </row>
    <row r="1871" spans="8:8" x14ac:dyDescent="0.3">
      <c r="H1871" s="4" t="s">
        <v>25</v>
      </c>
    </row>
    <row r="1872" spans="8:8" x14ac:dyDescent="0.3">
      <c r="H1872" s="5" t="s">
        <v>1380</v>
      </c>
    </row>
    <row r="1873" spans="8:8" x14ac:dyDescent="0.3">
      <c r="H1873" s="3" t="s">
        <v>1701</v>
      </c>
    </row>
    <row r="1874" spans="8:8" x14ac:dyDescent="0.3">
      <c r="H1874" s="4" t="s">
        <v>25</v>
      </c>
    </row>
    <row r="1875" spans="8:8" x14ac:dyDescent="0.3">
      <c r="H1875" s="5" t="s">
        <v>1702</v>
      </c>
    </row>
    <row r="1876" spans="8:8" x14ac:dyDescent="0.3">
      <c r="H1876" s="3" t="s">
        <v>3405</v>
      </c>
    </row>
    <row r="1877" spans="8:8" x14ac:dyDescent="0.3">
      <c r="H1877" s="4" t="s">
        <v>25</v>
      </c>
    </row>
    <row r="1878" spans="8:8" x14ac:dyDescent="0.3">
      <c r="H1878" s="5" t="s">
        <v>3406</v>
      </c>
    </row>
    <row r="1879" spans="8:8" x14ac:dyDescent="0.3">
      <c r="H1879" s="3" t="s">
        <v>2100</v>
      </c>
    </row>
    <row r="1880" spans="8:8" x14ac:dyDescent="0.3">
      <c r="H1880" s="4" t="s">
        <v>25</v>
      </c>
    </row>
    <row r="1881" spans="8:8" x14ac:dyDescent="0.3">
      <c r="H1881" s="5" t="s">
        <v>2101</v>
      </c>
    </row>
    <row r="1882" spans="8:8" x14ac:dyDescent="0.3">
      <c r="H1882" s="3" t="s">
        <v>2852</v>
      </c>
    </row>
    <row r="1883" spans="8:8" x14ac:dyDescent="0.3">
      <c r="H1883" s="4" t="s">
        <v>25</v>
      </c>
    </row>
    <row r="1884" spans="8:8" x14ac:dyDescent="0.3">
      <c r="H1884" s="5" t="s">
        <v>2853</v>
      </c>
    </row>
    <row r="1885" spans="8:8" x14ac:dyDescent="0.3">
      <c r="H1885" s="3" t="s">
        <v>2478</v>
      </c>
    </row>
    <row r="1886" spans="8:8" x14ac:dyDescent="0.3">
      <c r="H1886" s="4" t="s">
        <v>25</v>
      </c>
    </row>
    <row r="1887" spans="8:8" x14ac:dyDescent="0.3">
      <c r="H1887" s="5" t="s">
        <v>2479</v>
      </c>
    </row>
    <row r="1888" spans="8:8" x14ac:dyDescent="0.3">
      <c r="H1888" s="3" t="s">
        <v>1010</v>
      </c>
    </row>
    <row r="1889" spans="8:8" x14ac:dyDescent="0.3">
      <c r="H1889" s="4" t="s">
        <v>25</v>
      </c>
    </row>
    <row r="1890" spans="8:8" x14ac:dyDescent="0.3">
      <c r="H1890" s="5" t="s">
        <v>1011</v>
      </c>
    </row>
    <row r="1891" spans="8:8" x14ac:dyDescent="0.3">
      <c r="H1891" s="3" t="s">
        <v>2351</v>
      </c>
    </row>
    <row r="1892" spans="8:8" x14ac:dyDescent="0.3">
      <c r="H1892" s="4" t="s">
        <v>25</v>
      </c>
    </row>
    <row r="1893" spans="8:8" x14ac:dyDescent="0.3">
      <c r="H1893" s="5" t="s">
        <v>2352</v>
      </c>
    </row>
    <row r="1894" spans="8:8" x14ac:dyDescent="0.3">
      <c r="H1894" s="3" t="s">
        <v>2895</v>
      </c>
    </row>
    <row r="1895" spans="8:8" x14ac:dyDescent="0.3">
      <c r="H1895" s="4" t="s">
        <v>25</v>
      </c>
    </row>
    <row r="1896" spans="8:8" x14ac:dyDescent="0.3">
      <c r="H1896" s="5" t="s">
        <v>2896</v>
      </c>
    </row>
    <row r="1897" spans="8:8" x14ac:dyDescent="0.3">
      <c r="H1897" s="3" t="s">
        <v>4170</v>
      </c>
    </row>
    <row r="1898" spans="8:8" x14ac:dyDescent="0.3">
      <c r="H1898" s="4" t="s">
        <v>25</v>
      </c>
    </row>
    <row r="1899" spans="8:8" x14ac:dyDescent="0.3">
      <c r="H1899" s="5" t="s">
        <v>4171</v>
      </c>
    </row>
    <row r="1900" spans="8:8" x14ac:dyDescent="0.3">
      <c r="H1900" s="3" t="s">
        <v>512</v>
      </c>
    </row>
    <row r="1901" spans="8:8" x14ac:dyDescent="0.3">
      <c r="H1901" s="4" t="s">
        <v>25</v>
      </c>
    </row>
    <row r="1902" spans="8:8" x14ac:dyDescent="0.3">
      <c r="H1902" s="5" t="s">
        <v>513</v>
      </c>
    </row>
    <row r="1903" spans="8:8" x14ac:dyDescent="0.3">
      <c r="H1903" s="3" t="s">
        <v>601</v>
      </c>
    </row>
    <row r="1904" spans="8:8" x14ac:dyDescent="0.3">
      <c r="H1904" s="4" t="s">
        <v>25</v>
      </c>
    </row>
    <row r="1905" spans="8:8" x14ac:dyDescent="0.3">
      <c r="H1905" s="5" t="s">
        <v>602</v>
      </c>
    </row>
    <row r="1906" spans="8:8" x14ac:dyDescent="0.3">
      <c r="H1906" s="3" t="s">
        <v>3554</v>
      </c>
    </row>
    <row r="1907" spans="8:8" x14ac:dyDescent="0.3">
      <c r="H1907" s="4" t="s">
        <v>25</v>
      </c>
    </row>
    <row r="1908" spans="8:8" x14ac:dyDescent="0.3">
      <c r="H1908" s="5" t="s">
        <v>3555</v>
      </c>
    </row>
    <row r="1909" spans="8:8" x14ac:dyDescent="0.3">
      <c r="H1909" s="3" t="s">
        <v>3093</v>
      </c>
    </row>
    <row r="1910" spans="8:8" x14ac:dyDescent="0.3">
      <c r="H1910" s="4" t="s">
        <v>25</v>
      </c>
    </row>
    <row r="1911" spans="8:8" x14ac:dyDescent="0.3">
      <c r="H1911" s="5" t="s">
        <v>3094</v>
      </c>
    </row>
    <row r="1912" spans="8:8" x14ac:dyDescent="0.3">
      <c r="H1912" s="3" t="s">
        <v>569</v>
      </c>
    </row>
    <row r="1913" spans="8:8" x14ac:dyDescent="0.3">
      <c r="H1913" s="4" t="s">
        <v>25</v>
      </c>
    </row>
    <row r="1914" spans="8:8" x14ac:dyDescent="0.3">
      <c r="H1914" s="5" t="s">
        <v>570</v>
      </c>
    </row>
    <row r="1915" spans="8:8" x14ac:dyDescent="0.3">
      <c r="H1915" s="3" t="s">
        <v>2337</v>
      </c>
    </row>
    <row r="1916" spans="8:8" x14ac:dyDescent="0.3">
      <c r="H1916" s="4" t="s">
        <v>25</v>
      </c>
    </row>
    <row r="1917" spans="8:8" x14ac:dyDescent="0.3">
      <c r="H1917" s="5" t="s">
        <v>2338</v>
      </c>
    </row>
    <row r="1918" spans="8:8" x14ac:dyDescent="0.3">
      <c r="H1918" s="3" t="s">
        <v>1110</v>
      </c>
    </row>
    <row r="1919" spans="8:8" x14ac:dyDescent="0.3">
      <c r="H1919" s="4" t="s">
        <v>25</v>
      </c>
    </row>
    <row r="1920" spans="8:8" x14ac:dyDescent="0.3">
      <c r="H1920" s="5" t="s">
        <v>1111</v>
      </c>
    </row>
    <row r="1921" spans="8:8" x14ac:dyDescent="0.3">
      <c r="H1921" s="3" t="s">
        <v>813</v>
      </c>
    </row>
    <row r="1922" spans="8:8" x14ac:dyDescent="0.3">
      <c r="H1922" s="4" t="s">
        <v>25</v>
      </c>
    </row>
    <row r="1923" spans="8:8" x14ac:dyDescent="0.3">
      <c r="H1923" s="5" t="s">
        <v>814</v>
      </c>
    </row>
    <row r="1924" spans="8:8" x14ac:dyDescent="0.3">
      <c r="H1924" s="3" t="s">
        <v>3843</v>
      </c>
    </row>
    <row r="1925" spans="8:8" x14ac:dyDescent="0.3">
      <c r="H1925" s="4" t="s">
        <v>25</v>
      </c>
    </row>
    <row r="1926" spans="8:8" x14ac:dyDescent="0.3">
      <c r="H1926" s="5" t="s">
        <v>3844</v>
      </c>
    </row>
    <row r="1927" spans="8:8" x14ac:dyDescent="0.3">
      <c r="H1927" s="3" t="s">
        <v>2389</v>
      </c>
    </row>
    <row r="1928" spans="8:8" x14ac:dyDescent="0.3">
      <c r="H1928" s="4" t="s">
        <v>25</v>
      </c>
    </row>
    <row r="1929" spans="8:8" x14ac:dyDescent="0.3">
      <c r="H1929" s="5" t="s">
        <v>2390</v>
      </c>
    </row>
    <row r="1930" spans="8:8" x14ac:dyDescent="0.3">
      <c r="H1930" s="3" t="s">
        <v>3911</v>
      </c>
    </row>
    <row r="1931" spans="8:8" x14ac:dyDescent="0.3">
      <c r="H1931" s="4" t="s">
        <v>25</v>
      </c>
    </row>
    <row r="1932" spans="8:8" x14ac:dyDescent="0.3">
      <c r="H1932" s="5" t="s">
        <v>3912</v>
      </c>
    </row>
    <row r="1933" spans="8:8" x14ac:dyDescent="0.3">
      <c r="H1933" s="3" t="s">
        <v>715</v>
      </c>
    </row>
    <row r="1934" spans="8:8" x14ac:dyDescent="0.3">
      <c r="H1934" s="4" t="s">
        <v>25</v>
      </c>
    </row>
    <row r="1935" spans="8:8" x14ac:dyDescent="0.3">
      <c r="H1935" s="5" t="s">
        <v>716</v>
      </c>
    </row>
    <row r="1936" spans="8:8" x14ac:dyDescent="0.3">
      <c r="H1936" s="3" t="s">
        <v>1226</v>
      </c>
    </row>
    <row r="1937" spans="8:8" x14ac:dyDescent="0.3">
      <c r="H1937" s="4" t="s">
        <v>25</v>
      </c>
    </row>
    <row r="1938" spans="8:8" x14ac:dyDescent="0.3">
      <c r="H1938" s="5" t="s">
        <v>1227</v>
      </c>
    </row>
    <row r="1939" spans="8:8" x14ac:dyDescent="0.3">
      <c r="H1939" s="3" t="s">
        <v>3899</v>
      </c>
    </row>
    <row r="1940" spans="8:8" x14ac:dyDescent="0.3">
      <c r="H1940" s="4" t="s">
        <v>25</v>
      </c>
    </row>
    <row r="1941" spans="8:8" x14ac:dyDescent="0.3">
      <c r="H1941" s="5" t="s">
        <v>3900</v>
      </c>
    </row>
    <row r="1942" spans="8:8" x14ac:dyDescent="0.3">
      <c r="H1942" s="3" t="s">
        <v>783</v>
      </c>
    </row>
    <row r="1943" spans="8:8" x14ac:dyDescent="0.3">
      <c r="H1943" s="4" t="s">
        <v>25</v>
      </c>
    </row>
    <row r="1944" spans="8:8" x14ac:dyDescent="0.3">
      <c r="H1944" s="5" t="s">
        <v>784</v>
      </c>
    </row>
    <row r="1945" spans="8:8" x14ac:dyDescent="0.3">
      <c r="H1945" s="3" t="s">
        <v>3313</v>
      </c>
    </row>
    <row r="1946" spans="8:8" x14ac:dyDescent="0.3">
      <c r="H1946" s="4" t="s">
        <v>25</v>
      </c>
    </row>
    <row r="1947" spans="8:8" x14ac:dyDescent="0.3">
      <c r="H1947" s="5" t="s">
        <v>3314</v>
      </c>
    </row>
    <row r="1948" spans="8:8" x14ac:dyDescent="0.3">
      <c r="H1948" s="3" t="s">
        <v>1405</v>
      </c>
    </row>
    <row r="1949" spans="8:8" x14ac:dyDescent="0.3">
      <c r="H1949" s="4" t="s">
        <v>25</v>
      </c>
    </row>
    <row r="1950" spans="8:8" x14ac:dyDescent="0.3">
      <c r="H1950" s="5" t="s">
        <v>1406</v>
      </c>
    </row>
    <row r="1951" spans="8:8" x14ac:dyDescent="0.3">
      <c r="H1951" s="3" t="s">
        <v>2011</v>
      </c>
    </row>
    <row r="1952" spans="8:8" x14ac:dyDescent="0.3">
      <c r="H1952" s="4" t="s">
        <v>25</v>
      </c>
    </row>
    <row r="1953" spans="8:8" x14ac:dyDescent="0.3">
      <c r="H1953" s="5" t="s">
        <v>2012</v>
      </c>
    </row>
    <row r="1954" spans="8:8" x14ac:dyDescent="0.3">
      <c r="H1954" s="3" t="s">
        <v>1679</v>
      </c>
    </row>
    <row r="1955" spans="8:8" x14ac:dyDescent="0.3">
      <c r="H1955" s="4" t="s">
        <v>25</v>
      </c>
    </row>
    <row r="1956" spans="8:8" x14ac:dyDescent="0.3">
      <c r="H1956" s="5" t="s">
        <v>1680</v>
      </c>
    </row>
    <row r="1957" spans="8:8" x14ac:dyDescent="0.3">
      <c r="H1957" s="3" t="s">
        <v>119</v>
      </c>
    </row>
    <row r="1958" spans="8:8" x14ac:dyDescent="0.3">
      <c r="H1958" s="4" t="s">
        <v>25</v>
      </c>
    </row>
    <row r="1959" spans="8:8" x14ac:dyDescent="0.3">
      <c r="H1959" s="5" t="s">
        <v>120</v>
      </c>
    </row>
    <row r="1960" spans="8:8" x14ac:dyDescent="0.3">
      <c r="H1960" s="3" t="s">
        <v>4312</v>
      </c>
    </row>
    <row r="1961" spans="8:8" x14ac:dyDescent="0.3">
      <c r="H1961" s="4" t="s">
        <v>4312</v>
      </c>
    </row>
    <row r="1962" spans="8:8" x14ac:dyDescent="0.3">
      <c r="H1962" s="5" t="s">
        <v>4312</v>
      </c>
    </row>
    <row r="1963" spans="8:8" x14ac:dyDescent="0.3">
      <c r="H1963" s="3" t="s">
        <v>4308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3047-00FB-4CC4-A5A5-6C8AC5344A14}">
  <dimension ref="A1:U644"/>
  <sheetViews>
    <sheetView tabSelected="1" topLeftCell="L1" workbookViewId="0">
      <selection activeCell="L2" sqref="A2:XFD2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0" width="15.5546875" bestFit="1" customWidth="1"/>
    <col min="11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19" width="16.6640625" customWidth="1"/>
    <col min="20" max="20" width="14.44140625" customWidth="1"/>
    <col min="21" max="21" width="13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4304</v>
      </c>
      <c r="T1" t="s">
        <v>4305</v>
      </c>
      <c r="U1" t="s">
        <v>4306</v>
      </c>
    </row>
    <row r="2" spans="1:21" x14ac:dyDescent="0.3">
      <c r="A2">
        <v>988</v>
      </c>
      <c r="B2" s="1" t="s">
        <v>2349</v>
      </c>
      <c r="C2" s="1" t="s">
        <v>2350</v>
      </c>
      <c r="D2" s="1" t="s">
        <v>2350</v>
      </c>
      <c r="E2" s="1" t="s">
        <v>1124</v>
      </c>
      <c r="F2" s="1" t="s">
        <v>2351</v>
      </c>
      <c r="G2" s="1" t="s">
        <v>2352</v>
      </c>
      <c r="H2" s="1" t="s">
        <v>24</v>
      </c>
      <c r="I2" s="1" t="s">
        <v>25</v>
      </c>
      <c r="J2" s="1" t="s">
        <v>164</v>
      </c>
      <c r="K2" s="1" t="s">
        <v>92</v>
      </c>
      <c r="L2">
        <v>77041</v>
      </c>
      <c r="M2" s="1" t="s">
        <v>93</v>
      </c>
      <c r="N2" s="1" t="s">
        <v>2353</v>
      </c>
      <c r="O2" s="1" t="s">
        <v>43</v>
      </c>
      <c r="P2" s="1" t="s">
        <v>83</v>
      </c>
      <c r="Q2" s="1" t="s">
        <v>2354</v>
      </c>
      <c r="R2">
        <v>1.1120000000000001</v>
      </c>
      <c r="S2" s="1"/>
      <c r="T2" s="1" t="str">
        <f>IF(O2="Furniture","Cardbaord",O2)</f>
        <v>Office Supplies</v>
      </c>
      <c r="U2" s="1" t="str">
        <f>IF(O2="furniture","cardbaord",IF(O2="office supplies","OS",O2))</f>
        <v>OS</v>
      </c>
    </row>
    <row r="3" spans="1:21" x14ac:dyDescent="0.3">
      <c r="A3">
        <v>76</v>
      </c>
      <c r="B3" s="1" t="s">
        <v>313</v>
      </c>
      <c r="C3" s="1" t="s">
        <v>314</v>
      </c>
      <c r="D3" s="1" t="s">
        <v>315</v>
      </c>
      <c r="E3" s="1" t="s">
        <v>169</v>
      </c>
      <c r="F3" s="1" t="s">
        <v>316</v>
      </c>
      <c r="G3" s="1" t="s">
        <v>317</v>
      </c>
      <c r="H3" s="1" t="s">
        <v>38</v>
      </c>
      <c r="I3" s="1" t="s">
        <v>25</v>
      </c>
      <c r="J3" s="1" t="s">
        <v>164</v>
      </c>
      <c r="K3" s="1" t="s">
        <v>92</v>
      </c>
      <c r="L3">
        <v>77041</v>
      </c>
      <c r="M3" s="1" t="s">
        <v>93</v>
      </c>
      <c r="N3" s="1" t="s">
        <v>318</v>
      </c>
      <c r="O3" s="1" t="s">
        <v>43</v>
      </c>
      <c r="P3" s="1" t="s">
        <v>83</v>
      </c>
      <c r="Q3" s="1" t="s">
        <v>319</v>
      </c>
      <c r="R3">
        <v>1.248</v>
      </c>
      <c r="S3" s="1"/>
      <c r="T3" s="1" t="str">
        <f>IF(O3="Furniture","Cardbaord",O3)</f>
        <v>Office Supplies</v>
      </c>
      <c r="U3" s="1" t="str">
        <f>IF(O3="furniture","cardbaord",IF(O3="office supplies","OS",O3))</f>
        <v>OS</v>
      </c>
    </row>
    <row r="4" spans="1:21" x14ac:dyDescent="0.3">
      <c r="A4">
        <v>262</v>
      </c>
      <c r="B4" s="1" t="s">
        <v>875</v>
      </c>
      <c r="C4" s="1" t="s">
        <v>876</v>
      </c>
      <c r="D4" s="1" t="s">
        <v>877</v>
      </c>
      <c r="E4" s="1" t="s">
        <v>49</v>
      </c>
      <c r="F4" s="1" t="s">
        <v>878</v>
      </c>
      <c r="G4" s="1" t="s">
        <v>879</v>
      </c>
      <c r="H4" s="1" t="s">
        <v>38</v>
      </c>
      <c r="I4" s="1" t="s">
        <v>25</v>
      </c>
      <c r="J4" s="1" t="s">
        <v>880</v>
      </c>
      <c r="K4" s="1" t="s">
        <v>92</v>
      </c>
      <c r="L4">
        <v>77506</v>
      </c>
      <c r="M4" s="1" t="s">
        <v>93</v>
      </c>
      <c r="N4" s="1" t="s">
        <v>881</v>
      </c>
      <c r="O4" s="1" t="s">
        <v>43</v>
      </c>
      <c r="P4" s="1" t="s">
        <v>95</v>
      </c>
      <c r="Q4" s="1" t="s">
        <v>882</v>
      </c>
      <c r="R4">
        <v>1.6240000000000001</v>
      </c>
      <c r="S4" s="1"/>
      <c r="T4" s="1" t="str">
        <f>IF(O4="Furniture","Cardbaord",O4)</f>
        <v>Office Supplies</v>
      </c>
      <c r="U4" s="1" t="str">
        <f>IF(O4="furniture","cardbaord",IF(O4="office supplies","OS",O4))</f>
        <v>OS</v>
      </c>
    </row>
    <row r="5" spans="1:21" x14ac:dyDescent="0.3">
      <c r="A5">
        <v>1451</v>
      </c>
      <c r="B5" s="1" t="s">
        <v>2849</v>
      </c>
      <c r="C5" s="1" t="s">
        <v>2850</v>
      </c>
      <c r="D5" s="1" t="s">
        <v>2851</v>
      </c>
      <c r="E5" s="1" t="s">
        <v>169</v>
      </c>
      <c r="F5" s="1" t="s">
        <v>2852</v>
      </c>
      <c r="G5" s="1" t="s">
        <v>2853</v>
      </c>
      <c r="H5" s="1" t="s">
        <v>24</v>
      </c>
      <c r="I5" s="1" t="s">
        <v>25</v>
      </c>
      <c r="J5" s="1" t="s">
        <v>514</v>
      </c>
      <c r="K5" s="1" t="s">
        <v>285</v>
      </c>
      <c r="L5">
        <v>85023</v>
      </c>
      <c r="M5" s="1" t="s">
        <v>41</v>
      </c>
      <c r="N5" s="1" t="s">
        <v>2854</v>
      </c>
      <c r="O5" s="1" t="s">
        <v>43</v>
      </c>
      <c r="P5" s="1" t="s">
        <v>83</v>
      </c>
      <c r="Q5" s="1" t="s">
        <v>2855</v>
      </c>
      <c r="R5">
        <v>2.0249999999999999</v>
      </c>
      <c r="S5" s="1"/>
      <c r="T5" s="1" t="str">
        <f>IF(O5="Furniture","Cardbaord",O5)</f>
        <v>Office Supplies</v>
      </c>
      <c r="U5" s="1" t="str">
        <f>IF(O5="furniture","cardbaord",IF(O5="office supplies","OS",O5))</f>
        <v>OS</v>
      </c>
    </row>
    <row r="6" spans="1:21" x14ac:dyDescent="0.3">
      <c r="A6">
        <v>226</v>
      </c>
      <c r="B6" s="1" t="s">
        <v>802</v>
      </c>
      <c r="C6" s="1" t="s">
        <v>803</v>
      </c>
      <c r="D6" s="1" t="s">
        <v>804</v>
      </c>
      <c r="E6" s="1" t="s">
        <v>49</v>
      </c>
      <c r="F6" s="1" t="s">
        <v>805</v>
      </c>
      <c r="G6" s="1" t="s">
        <v>806</v>
      </c>
      <c r="H6" s="1" t="s">
        <v>38</v>
      </c>
      <c r="I6" s="1" t="s">
        <v>25</v>
      </c>
      <c r="J6" s="1" t="s">
        <v>807</v>
      </c>
      <c r="K6" s="1" t="s">
        <v>225</v>
      </c>
      <c r="L6">
        <v>48227</v>
      </c>
      <c r="M6" s="1" t="s">
        <v>93</v>
      </c>
      <c r="N6" s="1" t="s">
        <v>808</v>
      </c>
      <c r="O6" s="1" t="s">
        <v>43</v>
      </c>
      <c r="P6" s="1" t="s">
        <v>123</v>
      </c>
      <c r="Q6" s="1" t="s">
        <v>809</v>
      </c>
      <c r="R6">
        <v>2.2000000000000002</v>
      </c>
      <c r="S6" s="1"/>
      <c r="T6" s="1" t="str">
        <f>IF(O6="Furniture","Cardbaord",O6)</f>
        <v>Office Supplies</v>
      </c>
      <c r="U6" s="1" t="str">
        <f>IF(O6="furniture","cardbaord",IF(O6="office supplies","OS",O6))</f>
        <v>OS</v>
      </c>
    </row>
    <row r="7" spans="1:21" x14ac:dyDescent="0.3">
      <c r="A7">
        <v>127</v>
      </c>
      <c r="B7" s="1" t="s">
        <v>510</v>
      </c>
      <c r="C7" s="1" t="s">
        <v>511</v>
      </c>
      <c r="D7" s="1" t="s">
        <v>382</v>
      </c>
      <c r="E7" s="1" t="s">
        <v>49</v>
      </c>
      <c r="F7" s="1" t="s">
        <v>512</v>
      </c>
      <c r="G7" s="1" t="s">
        <v>513</v>
      </c>
      <c r="H7" s="1" t="s">
        <v>24</v>
      </c>
      <c r="I7" s="1" t="s">
        <v>25</v>
      </c>
      <c r="J7" s="1" t="s">
        <v>514</v>
      </c>
      <c r="K7" s="1" t="s">
        <v>285</v>
      </c>
      <c r="L7">
        <v>85023</v>
      </c>
      <c r="M7" s="1" t="s">
        <v>41</v>
      </c>
      <c r="N7" s="1" t="s">
        <v>515</v>
      </c>
      <c r="O7" s="1" t="s">
        <v>43</v>
      </c>
      <c r="P7" s="1" t="s">
        <v>83</v>
      </c>
      <c r="Q7" s="1" t="s">
        <v>516</v>
      </c>
      <c r="R7">
        <v>2.3879999999999999</v>
      </c>
      <c r="S7" s="1"/>
      <c r="T7" s="1" t="str">
        <f>IF(O7="Furniture","Cardbaord",O7)</f>
        <v>Office Supplies</v>
      </c>
      <c r="U7" s="1" t="str">
        <f>IF(O7="furniture","cardbaord",IF(O7="office supplies","OS",O7))</f>
        <v>OS</v>
      </c>
    </row>
    <row r="8" spans="1:21" x14ac:dyDescent="0.3">
      <c r="A8">
        <v>389</v>
      </c>
      <c r="B8" s="1" t="s">
        <v>1196</v>
      </c>
      <c r="C8" s="1" t="s">
        <v>669</v>
      </c>
      <c r="D8" s="1" t="s">
        <v>1197</v>
      </c>
      <c r="E8" s="1" t="s">
        <v>169</v>
      </c>
      <c r="F8" s="1" t="s">
        <v>1198</v>
      </c>
      <c r="G8" s="1" t="s">
        <v>1199</v>
      </c>
      <c r="H8" s="1" t="s">
        <v>24</v>
      </c>
      <c r="I8" s="1" t="s">
        <v>25</v>
      </c>
      <c r="J8" s="1" t="s">
        <v>915</v>
      </c>
      <c r="K8" s="1" t="s">
        <v>471</v>
      </c>
      <c r="L8">
        <v>45231</v>
      </c>
      <c r="M8" s="1" t="s">
        <v>141</v>
      </c>
      <c r="N8" s="1" t="s">
        <v>1200</v>
      </c>
      <c r="O8" s="1" t="s">
        <v>43</v>
      </c>
      <c r="P8" s="1" t="s">
        <v>123</v>
      </c>
      <c r="Q8" s="1" t="s">
        <v>1201</v>
      </c>
      <c r="R8">
        <v>2.6240000000000001</v>
      </c>
      <c r="S8" s="1"/>
      <c r="T8" s="1" t="str">
        <f>IF(O8="Furniture","Cardbaord",O8)</f>
        <v>Office Supplies</v>
      </c>
      <c r="U8" s="1" t="str">
        <f>IF(O8="furniture","cardbaord",IF(O8="office supplies","OS",O8))</f>
        <v>OS</v>
      </c>
    </row>
    <row r="9" spans="1:21" x14ac:dyDescent="0.3">
      <c r="A9">
        <v>2373</v>
      </c>
      <c r="B9" s="1" t="s">
        <v>3453</v>
      </c>
      <c r="C9" s="1" t="s">
        <v>1951</v>
      </c>
      <c r="D9" s="1" t="s">
        <v>3454</v>
      </c>
      <c r="E9" s="1" t="s">
        <v>21</v>
      </c>
      <c r="F9" s="1" t="s">
        <v>3455</v>
      </c>
      <c r="G9" s="1" t="s">
        <v>3456</v>
      </c>
      <c r="H9" s="1" t="s">
        <v>38</v>
      </c>
      <c r="I9" s="1" t="s">
        <v>25</v>
      </c>
      <c r="J9" s="1" t="s">
        <v>430</v>
      </c>
      <c r="K9" s="1" t="s">
        <v>191</v>
      </c>
      <c r="L9">
        <v>60505</v>
      </c>
      <c r="M9" s="1" t="s">
        <v>93</v>
      </c>
      <c r="N9" s="1" t="s">
        <v>3457</v>
      </c>
      <c r="O9" s="1" t="s">
        <v>43</v>
      </c>
      <c r="P9" s="1" t="s">
        <v>254</v>
      </c>
      <c r="Q9" s="1" t="s">
        <v>3458</v>
      </c>
      <c r="R9">
        <v>2.6320000000000001</v>
      </c>
      <c r="S9" s="1"/>
      <c r="T9" s="1" t="str">
        <f>IF(O9="Furniture","Cardbaord",O9)</f>
        <v>Office Supplies</v>
      </c>
      <c r="U9" s="1" t="str">
        <f>IF(O9="furniture","cardbaord",IF(O9="office supplies","OS",O9))</f>
        <v>OS</v>
      </c>
    </row>
    <row r="10" spans="1:21" x14ac:dyDescent="0.3">
      <c r="A10">
        <v>677</v>
      </c>
      <c r="B10" s="1" t="s">
        <v>1847</v>
      </c>
      <c r="C10" s="1" t="s">
        <v>1848</v>
      </c>
      <c r="D10" s="1" t="s">
        <v>1849</v>
      </c>
      <c r="E10" s="1" t="s">
        <v>49</v>
      </c>
      <c r="F10" s="1" t="s">
        <v>1850</v>
      </c>
      <c r="G10" s="1" t="s">
        <v>1851</v>
      </c>
      <c r="H10" s="1" t="s">
        <v>24</v>
      </c>
      <c r="I10" s="1" t="s">
        <v>25</v>
      </c>
      <c r="J10" s="1" t="s">
        <v>1852</v>
      </c>
      <c r="K10" s="1" t="s">
        <v>92</v>
      </c>
      <c r="L10">
        <v>75701</v>
      </c>
      <c r="M10" s="1" t="s">
        <v>93</v>
      </c>
      <c r="N10" s="1" t="s">
        <v>1853</v>
      </c>
      <c r="O10" s="1" t="s">
        <v>43</v>
      </c>
      <c r="P10" s="1" t="s">
        <v>95</v>
      </c>
      <c r="Q10" s="1" t="s">
        <v>1854</v>
      </c>
      <c r="R10">
        <v>2.6880000000000002</v>
      </c>
      <c r="S10" s="1"/>
      <c r="T10" s="1" t="str">
        <f>IF(O10="Furniture","Cardbaord",O10)</f>
        <v>Office Supplies</v>
      </c>
      <c r="U10" s="1" t="str">
        <f>IF(O10="furniture","cardbaord",IF(O10="office supplies","OS",O10))</f>
        <v>OS</v>
      </c>
    </row>
    <row r="11" spans="1:21" x14ac:dyDescent="0.3">
      <c r="A11">
        <v>507</v>
      </c>
      <c r="B11" s="1" t="s">
        <v>1469</v>
      </c>
      <c r="C11" s="1" t="s">
        <v>1470</v>
      </c>
      <c r="D11" s="1" t="s">
        <v>1471</v>
      </c>
      <c r="E11" s="1" t="s">
        <v>49</v>
      </c>
      <c r="F11" s="1" t="s">
        <v>1472</v>
      </c>
      <c r="G11" s="1" t="s">
        <v>1473</v>
      </c>
      <c r="H11" s="1" t="s">
        <v>24</v>
      </c>
      <c r="I11" s="1" t="s">
        <v>25</v>
      </c>
      <c r="J11" s="1" t="s">
        <v>1474</v>
      </c>
      <c r="K11" s="1" t="s">
        <v>1112</v>
      </c>
      <c r="L11">
        <v>30318</v>
      </c>
      <c r="M11" s="1" t="s">
        <v>28</v>
      </c>
      <c r="N11" s="1" t="s">
        <v>1475</v>
      </c>
      <c r="O11" s="1" t="s">
        <v>43</v>
      </c>
      <c r="P11" s="1" t="s">
        <v>123</v>
      </c>
      <c r="Q11" s="1" t="s">
        <v>1476</v>
      </c>
      <c r="R11">
        <v>2.74</v>
      </c>
      <c r="S11" s="1"/>
      <c r="T11" s="1" t="str">
        <f>IF(O11="Furniture","Cardbaord",O11)</f>
        <v>Office Supplies</v>
      </c>
      <c r="U11" s="1" t="str">
        <f>IF(O11="furniture","cardbaord",IF(O11="office supplies","OS",O11))</f>
        <v>OS</v>
      </c>
    </row>
    <row r="12" spans="1:21" x14ac:dyDescent="0.3">
      <c r="A12">
        <v>2218</v>
      </c>
      <c r="B12" s="1" t="s">
        <v>3341</v>
      </c>
      <c r="C12" s="1" t="s">
        <v>503</v>
      </c>
      <c r="D12" s="1" t="s">
        <v>504</v>
      </c>
      <c r="E12" s="1" t="s">
        <v>49</v>
      </c>
      <c r="F12" s="1" t="s">
        <v>3342</v>
      </c>
      <c r="G12" s="1" t="s">
        <v>3343</v>
      </c>
      <c r="H12" s="1" t="s">
        <v>38</v>
      </c>
      <c r="I12" s="1" t="s">
        <v>25</v>
      </c>
      <c r="J12" s="1" t="s">
        <v>1334</v>
      </c>
      <c r="K12" s="1" t="s">
        <v>53</v>
      </c>
      <c r="L12">
        <v>32216</v>
      </c>
      <c r="M12" s="1" t="s">
        <v>28</v>
      </c>
      <c r="N12" s="1" t="s">
        <v>3344</v>
      </c>
      <c r="O12" s="1" t="s">
        <v>43</v>
      </c>
      <c r="P12" s="1" t="s">
        <v>123</v>
      </c>
      <c r="Q12" s="1" t="s">
        <v>3345</v>
      </c>
      <c r="R12">
        <v>2.8159999999999998</v>
      </c>
      <c r="S12" s="1"/>
      <c r="T12" s="1" t="str">
        <f>IF(O12="Furniture","Cardbaord",O12)</f>
        <v>Office Supplies</v>
      </c>
      <c r="U12" s="1" t="str">
        <f>IF(O12="furniture","cardbaord",IF(O12="office supplies","OS",O12))</f>
        <v>OS</v>
      </c>
    </row>
    <row r="13" spans="1:21" x14ac:dyDescent="0.3">
      <c r="A13">
        <v>866</v>
      </c>
      <c r="B13" s="1" t="s">
        <v>2165</v>
      </c>
      <c r="C13" s="1" t="s">
        <v>2166</v>
      </c>
      <c r="D13" s="1" t="s">
        <v>2016</v>
      </c>
      <c r="E13" s="1" t="s">
        <v>49</v>
      </c>
      <c r="F13" s="1" t="s">
        <v>2167</v>
      </c>
      <c r="G13" s="1" t="s">
        <v>2168</v>
      </c>
      <c r="H13" s="1" t="s">
        <v>38</v>
      </c>
      <c r="I13" s="1" t="s">
        <v>25</v>
      </c>
      <c r="J13" s="1" t="s">
        <v>293</v>
      </c>
      <c r="K13" s="1" t="s">
        <v>294</v>
      </c>
      <c r="L13">
        <v>22153</v>
      </c>
      <c r="M13" s="1" t="s">
        <v>28</v>
      </c>
      <c r="N13" s="1" t="s">
        <v>2169</v>
      </c>
      <c r="O13" s="1" t="s">
        <v>43</v>
      </c>
      <c r="P13" s="1" t="s">
        <v>44</v>
      </c>
      <c r="Q13" s="1" t="s">
        <v>2170</v>
      </c>
      <c r="R13">
        <v>2.89</v>
      </c>
      <c r="S13" s="1"/>
      <c r="T13" s="1" t="str">
        <f>IF(O13="Furniture","Cardbaord",O13)</f>
        <v>Office Supplies</v>
      </c>
      <c r="U13" s="1" t="str">
        <f>IF(O13="furniture","cardbaord",IF(O13="office supplies","OS",O13))</f>
        <v>OS</v>
      </c>
    </row>
    <row r="14" spans="1:21" x14ac:dyDescent="0.3">
      <c r="A14">
        <v>447</v>
      </c>
      <c r="B14" s="1" t="s">
        <v>1348</v>
      </c>
      <c r="C14" s="1" t="s">
        <v>1349</v>
      </c>
      <c r="D14" s="1" t="s">
        <v>1350</v>
      </c>
      <c r="E14" s="1" t="s">
        <v>21</v>
      </c>
      <c r="F14" s="1" t="s">
        <v>1351</v>
      </c>
      <c r="G14" s="1" t="s">
        <v>1352</v>
      </c>
      <c r="H14" s="1" t="s">
        <v>24</v>
      </c>
      <c r="I14" s="1" t="s">
        <v>25</v>
      </c>
      <c r="J14" s="1" t="s">
        <v>470</v>
      </c>
      <c r="K14" s="1" t="s">
        <v>243</v>
      </c>
      <c r="L14">
        <v>47201</v>
      </c>
      <c r="M14" s="1" t="s">
        <v>93</v>
      </c>
      <c r="N14" s="1" t="s">
        <v>1353</v>
      </c>
      <c r="O14" s="1" t="s">
        <v>30</v>
      </c>
      <c r="P14" s="1" t="s">
        <v>63</v>
      </c>
      <c r="Q14" s="1" t="s">
        <v>1354</v>
      </c>
      <c r="R14">
        <v>2.91</v>
      </c>
      <c r="S14" s="1"/>
      <c r="T14" s="1" t="str">
        <f>IF(O14="Furniture","Cardbaord",O14)</f>
        <v>Cardbaord</v>
      </c>
      <c r="U14" s="1" t="str">
        <f>IF(O14="furniture","cardbaord",IF(O14="office supplies","OS",O14))</f>
        <v>cardbaord</v>
      </c>
    </row>
    <row r="15" spans="1:21" x14ac:dyDescent="0.3">
      <c r="A15">
        <v>199</v>
      </c>
      <c r="B15" s="1" t="s">
        <v>721</v>
      </c>
      <c r="C15" s="1" t="s">
        <v>722</v>
      </c>
      <c r="D15" s="1" t="s">
        <v>723</v>
      </c>
      <c r="E15" s="1" t="s">
        <v>49</v>
      </c>
      <c r="F15" s="1" t="s">
        <v>724</v>
      </c>
      <c r="G15" s="1" t="s">
        <v>725</v>
      </c>
      <c r="H15" s="1" t="s">
        <v>38</v>
      </c>
      <c r="I15" s="1" t="s">
        <v>25</v>
      </c>
      <c r="J15" s="1" t="s">
        <v>139</v>
      </c>
      <c r="K15" s="1" t="s">
        <v>140</v>
      </c>
      <c r="L15">
        <v>19120</v>
      </c>
      <c r="M15" s="1" t="s">
        <v>141</v>
      </c>
      <c r="N15" s="1" t="s">
        <v>726</v>
      </c>
      <c r="O15" s="1" t="s">
        <v>43</v>
      </c>
      <c r="P15" s="1" t="s">
        <v>83</v>
      </c>
      <c r="Q15" s="1" t="s">
        <v>727</v>
      </c>
      <c r="R15">
        <v>2.9460000000000002</v>
      </c>
      <c r="S15" s="1"/>
      <c r="T15" s="1" t="str">
        <f>IF(O15="Furniture","Cardbaord",O15)</f>
        <v>Office Supplies</v>
      </c>
      <c r="U15" s="1" t="str">
        <f>IF(O15="furniture","cardbaord",IF(O15="office supplies","OS",O15))</f>
        <v>OS</v>
      </c>
    </row>
    <row r="16" spans="1:21" x14ac:dyDescent="0.3">
      <c r="A16">
        <v>1655</v>
      </c>
      <c r="B16" s="1" t="s">
        <v>3029</v>
      </c>
      <c r="C16" s="1" t="s">
        <v>3030</v>
      </c>
      <c r="D16" s="1" t="s">
        <v>2440</v>
      </c>
      <c r="E16" s="1" t="s">
        <v>169</v>
      </c>
      <c r="F16" s="1" t="s">
        <v>3031</v>
      </c>
      <c r="G16" s="1" t="s">
        <v>3032</v>
      </c>
      <c r="H16" s="1" t="s">
        <v>24</v>
      </c>
      <c r="I16" s="1" t="s">
        <v>25</v>
      </c>
      <c r="J16" s="1" t="s">
        <v>80</v>
      </c>
      <c r="K16" s="1" t="s">
        <v>81</v>
      </c>
      <c r="L16">
        <v>98105</v>
      </c>
      <c r="M16" s="1" t="s">
        <v>41</v>
      </c>
      <c r="N16" s="1" t="s">
        <v>3033</v>
      </c>
      <c r="O16" s="1" t="s">
        <v>43</v>
      </c>
      <c r="P16" s="1" t="s">
        <v>254</v>
      </c>
      <c r="Q16" s="1" t="s">
        <v>3034</v>
      </c>
      <c r="R16">
        <v>2.96</v>
      </c>
      <c r="S16" s="1"/>
      <c r="T16" s="1" t="str">
        <f>IF(O16="Furniture","Cardbaord",O16)</f>
        <v>Office Supplies</v>
      </c>
      <c r="U16" s="1" t="str">
        <f>IF(O16="furniture","cardbaord",IF(O16="office supplies","OS",O16))</f>
        <v>OS</v>
      </c>
    </row>
    <row r="17" spans="1:21" x14ac:dyDescent="0.3">
      <c r="A17">
        <v>1214</v>
      </c>
      <c r="B17" s="1" t="s">
        <v>2608</v>
      </c>
      <c r="C17" s="1" t="s">
        <v>2609</v>
      </c>
      <c r="D17" s="1" t="s">
        <v>2610</v>
      </c>
      <c r="E17" s="1" t="s">
        <v>49</v>
      </c>
      <c r="F17" s="1" t="s">
        <v>2611</v>
      </c>
      <c r="G17" s="1" t="s">
        <v>2612</v>
      </c>
      <c r="H17" s="1" t="s">
        <v>38</v>
      </c>
      <c r="I17" s="1" t="s">
        <v>25</v>
      </c>
      <c r="J17" s="1" t="s">
        <v>139</v>
      </c>
      <c r="K17" s="1" t="s">
        <v>140</v>
      </c>
      <c r="L17">
        <v>19134</v>
      </c>
      <c r="M17" s="1" t="s">
        <v>141</v>
      </c>
      <c r="N17" s="1" t="s">
        <v>2613</v>
      </c>
      <c r="O17" s="1" t="s">
        <v>43</v>
      </c>
      <c r="P17" s="1" t="s">
        <v>83</v>
      </c>
      <c r="Q17" s="1" t="s">
        <v>2614</v>
      </c>
      <c r="R17">
        <v>3.036</v>
      </c>
      <c r="S17" s="1"/>
      <c r="T17" s="1" t="str">
        <f>IF(O17="Furniture","Cardbaord",O17)</f>
        <v>Office Supplies</v>
      </c>
      <c r="U17" s="1" t="str">
        <f>IF(O17="furniture","cardbaord",IF(O17="office supplies","OS",O17))</f>
        <v>OS</v>
      </c>
    </row>
    <row r="18" spans="1:21" x14ac:dyDescent="0.3">
      <c r="A18">
        <v>1089</v>
      </c>
      <c r="B18" s="1" t="s">
        <v>2508</v>
      </c>
      <c r="C18" s="1" t="s">
        <v>1791</v>
      </c>
      <c r="D18" s="1" t="s">
        <v>2509</v>
      </c>
      <c r="E18" s="1" t="s">
        <v>21</v>
      </c>
      <c r="F18" s="1" t="s">
        <v>2510</v>
      </c>
      <c r="G18" s="1" t="s">
        <v>2511</v>
      </c>
      <c r="H18" s="1" t="s">
        <v>38</v>
      </c>
      <c r="I18" s="1" t="s">
        <v>25</v>
      </c>
      <c r="J18" s="1" t="s">
        <v>2512</v>
      </c>
      <c r="K18" s="1" t="s">
        <v>40</v>
      </c>
      <c r="L18">
        <v>94601</v>
      </c>
      <c r="M18" s="1" t="s">
        <v>41</v>
      </c>
      <c r="N18" s="1" t="s">
        <v>2513</v>
      </c>
      <c r="O18" s="1" t="s">
        <v>43</v>
      </c>
      <c r="P18" s="1" t="s">
        <v>44</v>
      </c>
      <c r="Q18" s="1" t="s">
        <v>2514</v>
      </c>
      <c r="R18">
        <v>3.15</v>
      </c>
      <c r="S18" s="1"/>
      <c r="T18" s="1" t="str">
        <f>IF(O18="Furniture","Cardbaord",O18)</f>
        <v>Office Supplies</v>
      </c>
      <c r="U18" s="1" t="str">
        <f>IF(O18="furniture","cardbaord",IF(O18="office supplies","OS",O18))</f>
        <v>OS</v>
      </c>
    </row>
    <row r="19" spans="1:21" x14ac:dyDescent="0.3">
      <c r="A19">
        <v>180</v>
      </c>
      <c r="B19" s="1" t="s">
        <v>654</v>
      </c>
      <c r="C19" s="1" t="s">
        <v>655</v>
      </c>
      <c r="D19" s="1" t="s">
        <v>656</v>
      </c>
      <c r="E19" s="1" t="s">
        <v>49</v>
      </c>
      <c r="F19" s="1" t="s">
        <v>657</v>
      </c>
      <c r="G19" s="1" t="s">
        <v>658</v>
      </c>
      <c r="H19" s="1" t="s">
        <v>90</v>
      </c>
      <c r="I19" s="1" t="s">
        <v>25</v>
      </c>
      <c r="J19" s="1" t="s">
        <v>251</v>
      </c>
      <c r="K19" s="1" t="s">
        <v>252</v>
      </c>
      <c r="L19">
        <v>10009</v>
      </c>
      <c r="M19" s="1" t="s">
        <v>141</v>
      </c>
      <c r="N19" s="1" t="s">
        <v>659</v>
      </c>
      <c r="O19" s="1" t="s">
        <v>43</v>
      </c>
      <c r="P19" s="1" t="s">
        <v>123</v>
      </c>
      <c r="Q19" s="1" t="s">
        <v>660</v>
      </c>
      <c r="R19">
        <v>3.28</v>
      </c>
      <c r="S19" s="1"/>
      <c r="T19" s="1" t="str">
        <f>IF(O19="Furniture","Cardbaord",O19)</f>
        <v>Office Supplies</v>
      </c>
      <c r="U19" s="1" t="str">
        <f>IF(O19="furniture","cardbaord",IF(O19="office supplies","OS",O19))</f>
        <v>OS</v>
      </c>
    </row>
    <row r="20" spans="1:21" x14ac:dyDescent="0.3">
      <c r="A20">
        <v>608</v>
      </c>
      <c r="B20" s="1" t="s">
        <v>1718</v>
      </c>
      <c r="C20" s="1" t="s">
        <v>1719</v>
      </c>
      <c r="D20" s="1" t="s">
        <v>1720</v>
      </c>
      <c r="E20" s="1" t="s">
        <v>49</v>
      </c>
      <c r="F20" s="1" t="s">
        <v>1721</v>
      </c>
      <c r="G20" s="1" t="s">
        <v>1722</v>
      </c>
      <c r="H20" s="1" t="s">
        <v>24</v>
      </c>
      <c r="I20" s="1" t="s">
        <v>25</v>
      </c>
      <c r="J20" s="1" t="s">
        <v>139</v>
      </c>
      <c r="K20" s="1" t="s">
        <v>140</v>
      </c>
      <c r="L20">
        <v>19134</v>
      </c>
      <c r="M20" s="1" t="s">
        <v>141</v>
      </c>
      <c r="N20" s="1" t="s">
        <v>1723</v>
      </c>
      <c r="O20" s="1" t="s">
        <v>43</v>
      </c>
      <c r="P20" s="1" t="s">
        <v>83</v>
      </c>
      <c r="Q20" s="1" t="s">
        <v>1724</v>
      </c>
      <c r="R20">
        <v>3.282</v>
      </c>
      <c r="S20" s="1"/>
      <c r="T20" s="1" t="str">
        <f>IF(O20="Furniture","Cardbaord",O20)</f>
        <v>Office Supplies</v>
      </c>
      <c r="U20" s="1" t="str">
        <f>IF(O20="furniture","cardbaord",IF(O20="office supplies","OS",O20))</f>
        <v>OS</v>
      </c>
    </row>
    <row r="21" spans="1:21" x14ac:dyDescent="0.3">
      <c r="A21">
        <v>5116</v>
      </c>
      <c r="B21" s="1" t="s">
        <v>4144</v>
      </c>
      <c r="C21" s="1" t="s">
        <v>3423</v>
      </c>
      <c r="D21" s="1" t="s">
        <v>4145</v>
      </c>
      <c r="E21" s="1" t="s">
        <v>49</v>
      </c>
      <c r="F21" s="1" t="s">
        <v>4146</v>
      </c>
      <c r="G21" s="1" t="s">
        <v>4147</v>
      </c>
      <c r="H21" s="1" t="s">
        <v>24</v>
      </c>
      <c r="I21" s="1" t="s">
        <v>25</v>
      </c>
      <c r="J21" s="1" t="s">
        <v>139</v>
      </c>
      <c r="K21" s="1" t="s">
        <v>140</v>
      </c>
      <c r="L21">
        <v>19134</v>
      </c>
      <c r="M21" s="1" t="s">
        <v>141</v>
      </c>
      <c r="N21" s="1" t="s">
        <v>4148</v>
      </c>
      <c r="O21" s="1" t="s">
        <v>43</v>
      </c>
      <c r="P21" s="1" t="s">
        <v>44</v>
      </c>
      <c r="Q21" s="1" t="s">
        <v>4149</v>
      </c>
      <c r="R21">
        <v>3.3039999999999998</v>
      </c>
      <c r="S21" s="1"/>
      <c r="T21" s="1" t="str">
        <f>IF(O21="Furniture","Cardbaord",O21)</f>
        <v>Office Supplies</v>
      </c>
      <c r="U21" s="1" t="str">
        <f>IF(O21="furniture","cardbaord",IF(O21="office supplies","OS",O21))</f>
        <v>OS</v>
      </c>
    </row>
    <row r="22" spans="1:21" x14ac:dyDescent="0.3">
      <c r="A22">
        <v>982</v>
      </c>
      <c r="B22" s="1" t="s">
        <v>2335</v>
      </c>
      <c r="C22" s="1" t="s">
        <v>98</v>
      </c>
      <c r="D22" s="1" t="s">
        <v>2336</v>
      </c>
      <c r="E22" s="1" t="s">
        <v>21</v>
      </c>
      <c r="F22" s="1" t="s">
        <v>2337</v>
      </c>
      <c r="G22" s="1" t="s">
        <v>2338</v>
      </c>
      <c r="H22" s="1" t="s">
        <v>24</v>
      </c>
      <c r="I22" s="1" t="s">
        <v>25</v>
      </c>
      <c r="J22" s="1" t="s">
        <v>2339</v>
      </c>
      <c r="K22" s="1" t="s">
        <v>431</v>
      </c>
      <c r="L22">
        <v>80027</v>
      </c>
      <c r="M22" s="1" t="s">
        <v>41</v>
      </c>
      <c r="N22" s="1" t="s">
        <v>2340</v>
      </c>
      <c r="O22" s="1" t="s">
        <v>43</v>
      </c>
      <c r="P22" s="1" t="s">
        <v>123</v>
      </c>
      <c r="Q22" s="1" t="s">
        <v>2341</v>
      </c>
      <c r="R22">
        <v>3.3919999999999999</v>
      </c>
      <c r="S22" s="1"/>
      <c r="T22" s="1" t="str">
        <f>IF(O22="Furniture","Cardbaord",O22)</f>
        <v>Office Supplies</v>
      </c>
      <c r="U22" s="1" t="str">
        <f>IF(O22="furniture","cardbaord",IF(O22="office supplies","OS",O22))</f>
        <v>OS</v>
      </c>
    </row>
    <row r="23" spans="1:21" x14ac:dyDescent="0.3">
      <c r="A23">
        <v>616</v>
      </c>
      <c r="B23" s="1" t="s">
        <v>1738</v>
      </c>
      <c r="C23" s="1" t="s">
        <v>1739</v>
      </c>
      <c r="D23" s="1" t="s">
        <v>1740</v>
      </c>
      <c r="E23" s="1" t="s">
        <v>21</v>
      </c>
      <c r="F23" s="1" t="s">
        <v>1741</v>
      </c>
      <c r="G23" s="1" t="s">
        <v>1742</v>
      </c>
      <c r="H23" s="1" t="s">
        <v>24</v>
      </c>
      <c r="I23" s="1" t="s">
        <v>25</v>
      </c>
      <c r="J23" s="1" t="s">
        <v>1743</v>
      </c>
      <c r="K23" s="1" t="s">
        <v>471</v>
      </c>
      <c r="L23">
        <v>43123</v>
      </c>
      <c r="M23" s="1" t="s">
        <v>141</v>
      </c>
      <c r="N23" s="1" t="s">
        <v>1744</v>
      </c>
      <c r="O23" s="1" t="s">
        <v>43</v>
      </c>
      <c r="P23" s="1" t="s">
        <v>83</v>
      </c>
      <c r="Q23" s="1" t="s">
        <v>1745</v>
      </c>
      <c r="R23">
        <v>3.6480000000000001</v>
      </c>
      <c r="S23" s="1"/>
      <c r="T23" s="1" t="str">
        <f>IF(O23="Furniture","Cardbaord",O23)</f>
        <v>Office Supplies</v>
      </c>
      <c r="U23" s="1" t="str">
        <f>IF(O23="furniture","cardbaord",IF(O23="office supplies","OS",O23))</f>
        <v>OS</v>
      </c>
    </row>
    <row r="24" spans="1:21" x14ac:dyDescent="0.3">
      <c r="A24">
        <v>1486</v>
      </c>
      <c r="B24" s="1" t="s">
        <v>2883</v>
      </c>
      <c r="C24" s="1" t="s">
        <v>2884</v>
      </c>
      <c r="D24" s="1" t="s">
        <v>2885</v>
      </c>
      <c r="E24" s="1" t="s">
        <v>49</v>
      </c>
      <c r="F24" s="1" t="s">
        <v>2886</v>
      </c>
      <c r="G24" s="1" t="s">
        <v>2887</v>
      </c>
      <c r="H24" s="1" t="s">
        <v>24</v>
      </c>
      <c r="I24" s="1" t="s">
        <v>25</v>
      </c>
      <c r="J24" s="1" t="s">
        <v>251</v>
      </c>
      <c r="K24" s="1" t="s">
        <v>252</v>
      </c>
      <c r="L24">
        <v>10035</v>
      </c>
      <c r="M24" s="1" t="s">
        <v>141</v>
      </c>
      <c r="N24" s="1" t="s">
        <v>2888</v>
      </c>
      <c r="O24" s="1" t="s">
        <v>43</v>
      </c>
      <c r="P24" s="1" t="s">
        <v>254</v>
      </c>
      <c r="Q24" s="1" t="s">
        <v>1502</v>
      </c>
      <c r="R24">
        <v>3.76</v>
      </c>
      <c r="S24" s="1"/>
      <c r="T24" s="1" t="str">
        <f>IF(O24="Furniture","Cardbaord",O24)</f>
        <v>Office Supplies</v>
      </c>
      <c r="U24" s="1" t="str">
        <f>IF(O24="furniture","cardbaord",IF(O24="office supplies","OS",O24))</f>
        <v>OS</v>
      </c>
    </row>
    <row r="25" spans="1:21" x14ac:dyDescent="0.3">
      <c r="A25">
        <v>564</v>
      </c>
      <c r="B25" s="1" t="s">
        <v>1611</v>
      </c>
      <c r="C25" s="1" t="s">
        <v>1191</v>
      </c>
      <c r="D25" s="1" t="s">
        <v>1612</v>
      </c>
      <c r="E25" s="1" t="s">
        <v>169</v>
      </c>
      <c r="F25" s="1" t="s">
        <v>1613</v>
      </c>
      <c r="G25" s="1" t="s">
        <v>1614</v>
      </c>
      <c r="H25" s="1" t="s">
        <v>24</v>
      </c>
      <c r="I25" s="1" t="s">
        <v>25</v>
      </c>
      <c r="J25" s="1" t="s">
        <v>80</v>
      </c>
      <c r="K25" s="1" t="s">
        <v>81</v>
      </c>
      <c r="L25">
        <v>98105</v>
      </c>
      <c r="M25" s="1" t="s">
        <v>41</v>
      </c>
      <c r="N25" s="1" t="s">
        <v>1615</v>
      </c>
      <c r="O25" s="1" t="s">
        <v>43</v>
      </c>
      <c r="P25" s="1" t="s">
        <v>254</v>
      </c>
      <c r="Q25" s="1" t="s">
        <v>1616</v>
      </c>
      <c r="R25">
        <v>3.96</v>
      </c>
      <c r="S25" s="1"/>
      <c r="T25" s="1" t="str">
        <f>IF(O25="Furniture","Cardbaord",O25)</f>
        <v>Office Supplies</v>
      </c>
      <c r="U25" s="1" t="str">
        <f>IF(O25="furniture","cardbaord",IF(O25="office supplies","OS",O25))</f>
        <v>OS</v>
      </c>
    </row>
    <row r="26" spans="1:21" x14ac:dyDescent="0.3">
      <c r="A26">
        <v>1666</v>
      </c>
      <c r="B26" s="1" t="s">
        <v>3048</v>
      </c>
      <c r="C26" s="1" t="s">
        <v>591</v>
      </c>
      <c r="D26" s="1" t="s">
        <v>2698</v>
      </c>
      <c r="E26" s="1" t="s">
        <v>21</v>
      </c>
      <c r="F26" s="1" t="s">
        <v>3049</v>
      </c>
      <c r="G26" s="1" t="s">
        <v>3050</v>
      </c>
      <c r="H26" s="1" t="s">
        <v>24</v>
      </c>
      <c r="I26" s="1" t="s">
        <v>25</v>
      </c>
      <c r="J26" s="1" t="s">
        <v>748</v>
      </c>
      <c r="K26" s="1" t="s">
        <v>92</v>
      </c>
      <c r="L26">
        <v>75217</v>
      </c>
      <c r="M26" s="1" t="s">
        <v>93</v>
      </c>
      <c r="N26" s="1" t="s">
        <v>3051</v>
      </c>
      <c r="O26" s="1" t="s">
        <v>43</v>
      </c>
      <c r="P26" s="1" t="s">
        <v>254</v>
      </c>
      <c r="Q26" s="1" t="s">
        <v>3052</v>
      </c>
      <c r="R26">
        <v>4.3440000000000003</v>
      </c>
      <c r="S26" s="1"/>
      <c r="T26" s="1" t="str">
        <f>IF(O26="Furniture","Cardbaord",O26)</f>
        <v>Office Supplies</v>
      </c>
      <c r="U26" s="1" t="str">
        <f>IF(O26="furniture","cardbaord",IF(O26="office supplies","OS",O26))</f>
        <v>OS</v>
      </c>
    </row>
    <row r="27" spans="1:21" x14ac:dyDescent="0.3">
      <c r="A27">
        <v>1120</v>
      </c>
      <c r="B27" s="1" t="s">
        <v>2544</v>
      </c>
      <c r="C27" s="1" t="s">
        <v>1073</v>
      </c>
      <c r="D27" s="1" t="s">
        <v>337</v>
      </c>
      <c r="E27" s="1" t="s">
        <v>49</v>
      </c>
      <c r="F27" s="1" t="s">
        <v>2545</v>
      </c>
      <c r="G27" s="1" t="s">
        <v>2546</v>
      </c>
      <c r="H27" s="1" t="s">
        <v>24</v>
      </c>
      <c r="I27" s="1" t="s">
        <v>25</v>
      </c>
      <c r="J27" s="1" t="s">
        <v>2547</v>
      </c>
      <c r="K27" s="1" t="s">
        <v>1112</v>
      </c>
      <c r="L27">
        <v>30076</v>
      </c>
      <c r="M27" s="1" t="s">
        <v>28</v>
      </c>
      <c r="N27" s="1" t="s">
        <v>2548</v>
      </c>
      <c r="O27" s="1" t="s">
        <v>43</v>
      </c>
      <c r="P27" s="1" t="s">
        <v>73</v>
      </c>
      <c r="Q27" s="1" t="s">
        <v>2549</v>
      </c>
      <c r="R27">
        <v>4.3600000000000003</v>
      </c>
      <c r="S27" s="1"/>
      <c r="T27" s="1" t="str">
        <f>IF(O27="Furniture","Cardbaord",O27)</f>
        <v>Office Supplies</v>
      </c>
      <c r="U27" s="1" t="str">
        <f>IF(O27="furniture","cardbaord",IF(O27="office supplies","OS",O27))</f>
        <v>OS</v>
      </c>
    </row>
    <row r="28" spans="1:21" x14ac:dyDescent="0.3">
      <c r="A28">
        <v>1008</v>
      </c>
      <c r="B28" s="1" t="s">
        <v>2383</v>
      </c>
      <c r="C28" s="1" t="s">
        <v>949</v>
      </c>
      <c r="D28" s="1" t="s">
        <v>1518</v>
      </c>
      <c r="E28" s="1" t="s">
        <v>169</v>
      </c>
      <c r="F28" s="1" t="s">
        <v>2384</v>
      </c>
      <c r="G28" s="1" t="s">
        <v>2385</v>
      </c>
      <c r="H28" s="1" t="s">
        <v>24</v>
      </c>
      <c r="I28" s="1" t="s">
        <v>25</v>
      </c>
      <c r="J28" s="1" t="s">
        <v>571</v>
      </c>
      <c r="K28" s="1" t="s">
        <v>285</v>
      </c>
      <c r="L28">
        <v>85254</v>
      </c>
      <c r="M28" s="1" t="s">
        <v>41</v>
      </c>
      <c r="N28" s="1" t="s">
        <v>2386</v>
      </c>
      <c r="O28" s="1" t="s">
        <v>43</v>
      </c>
      <c r="P28" s="1" t="s">
        <v>83</v>
      </c>
      <c r="Q28" s="1" t="s">
        <v>2387</v>
      </c>
      <c r="R28">
        <v>4.4009999999999998</v>
      </c>
      <c r="S28" s="1"/>
      <c r="T28" s="1" t="str">
        <f>IF(O28="Furniture","Cardbaord",O28)</f>
        <v>Office Supplies</v>
      </c>
      <c r="U28" s="1" t="str">
        <f>IF(O28="furniture","cardbaord",IF(O28="office supplies","OS",O28))</f>
        <v>OS</v>
      </c>
    </row>
    <row r="29" spans="1:21" x14ac:dyDescent="0.3">
      <c r="A29">
        <v>1060</v>
      </c>
      <c r="B29" s="1" t="s">
        <v>2470</v>
      </c>
      <c r="C29" s="1" t="s">
        <v>591</v>
      </c>
      <c r="D29" s="1" t="s">
        <v>419</v>
      </c>
      <c r="E29" s="1" t="s">
        <v>49</v>
      </c>
      <c r="F29" s="1" t="s">
        <v>2471</v>
      </c>
      <c r="G29" s="1" t="s">
        <v>2472</v>
      </c>
      <c r="H29" s="1" t="s">
        <v>90</v>
      </c>
      <c r="I29" s="1" t="s">
        <v>25</v>
      </c>
      <c r="J29" s="1" t="s">
        <v>139</v>
      </c>
      <c r="K29" s="1" t="s">
        <v>140</v>
      </c>
      <c r="L29">
        <v>19143</v>
      </c>
      <c r="M29" s="1" t="s">
        <v>141</v>
      </c>
      <c r="N29" s="1" t="s">
        <v>2473</v>
      </c>
      <c r="O29" s="1" t="s">
        <v>43</v>
      </c>
      <c r="P29" s="1" t="s">
        <v>254</v>
      </c>
      <c r="Q29" s="1" t="s">
        <v>2474</v>
      </c>
      <c r="R29">
        <v>4.4160000000000004</v>
      </c>
      <c r="S29" s="1"/>
      <c r="T29" s="1" t="str">
        <f>IF(O29="Furniture","Cardbaord",O29)</f>
        <v>Office Supplies</v>
      </c>
      <c r="U29" s="1" t="str">
        <f>IF(O29="furniture","cardbaord",IF(O29="office supplies","OS",O29))</f>
        <v>OS</v>
      </c>
    </row>
    <row r="30" spans="1:21" x14ac:dyDescent="0.3">
      <c r="A30">
        <v>892</v>
      </c>
      <c r="B30" s="1" t="s">
        <v>2215</v>
      </c>
      <c r="C30" s="1" t="s">
        <v>2210</v>
      </c>
      <c r="D30" s="1" t="s">
        <v>2099</v>
      </c>
      <c r="E30" s="1" t="s">
        <v>169</v>
      </c>
      <c r="F30" s="1" t="s">
        <v>2216</v>
      </c>
      <c r="G30" s="1" t="s">
        <v>2217</v>
      </c>
      <c r="H30" s="1" t="s">
        <v>90</v>
      </c>
      <c r="I30" s="1" t="s">
        <v>25</v>
      </c>
      <c r="J30" s="1" t="s">
        <v>807</v>
      </c>
      <c r="K30" s="1" t="s">
        <v>225</v>
      </c>
      <c r="L30">
        <v>48227</v>
      </c>
      <c r="M30" s="1" t="s">
        <v>93</v>
      </c>
      <c r="N30" s="1" t="s">
        <v>2218</v>
      </c>
      <c r="O30" s="1" t="s">
        <v>43</v>
      </c>
      <c r="P30" s="1" t="s">
        <v>73</v>
      </c>
      <c r="Q30" s="1" t="s">
        <v>2219</v>
      </c>
      <c r="R30">
        <v>4.54</v>
      </c>
      <c r="S30" s="1"/>
      <c r="T30" s="1" t="str">
        <f>IF(O30="Furniture","Cardbaord",O30)</f>
        <v>Office Supplies</v>
      </c>
      <c r="U30" s="1" t="str">
        <f>IF(O30="furniture","cardbaord",IF(O30="office supplies","OS",O30))</f>
        <v>OS</v>
      </c>
    </row>
    <row r="31" spans="1:21" x14ac:dyDescent="0.3">
      <c r="A31">
        <v>964</v>
      </c>
      <c r="B31" s="1" t="s">
        <v>2321</v>
      </c>
      <c r="C31" s="1" t="s">
        <v>2322</v>
      </c>
      <c r="D31" s="1" t="s">
        <v>1036</v>
      </c>
      <c r="E31" s="1" t="s">
        <v>21</v>
      </c>
      <c r="F31" s="1" t="s">
        <v>2323</v>
      </c>
      <c r="G31" s="1" t="s">
        <v>2324</v>
      </c>
      <c r="H31" s="1" t="s">
        <v>24</v>
      </c>
      <c r="I31" s="1" t="s">
        <v>25</v>
      </c>
      <c r="J31" s="1" t="s">
        <v>2325</v>
      </c>
      <c r="K31" s="1" t="s">
        <v>53</v>
      </c>
      <c r="L31">
        <v>33433</v>
      </c>
      <c r="M31" s="1" t="s">
        <v>28</v>
      </c>
      <c r="N31" s="1" t="s">
        <v>2326</v>
      </c>
      <c r="O31" s="1" t="s">
        <v>43</v>
      </c>
      <c r="P31" s="1" t="s">
        <v>44</v>
      </c>
      <c r="Q31" s="1" t="s">
        <v>2327</v>
      </c>
      <c r="R31">
        <v>4.6079999999999997</v>
      </c>
      <c r="S31" s="1"/>
      <c r="T31" s="1" t="str">
        <f>IF(O31="Furniture","Cardbaord",O31)</f>
        <v>Office Supplies</v>
      </c>
      <c r="U31" s="1" t="str">
        <f>IF(O31="furniture","cardbaord",IF(O31="office supplies","OS",O31))</f>
        <v>OS</v>
      </c>
    </row>
    <row r="32" spans="1:21" x14ac:dyDescent="0.3">
      <c r="A32">
        <v>71</v>
      </c>
      <c r="B32" s="1" t="s">
        <v>297</v>
      </c>
      <c r="C32" s="1" t="s">
        <v>298</v>
      </c>
      <c r="D32" s="1" t="s">
        <v>299</v>
      </c>
      <c r="E32" s="1" t="s">
        <v>49</v>
      </c>
      <c r="F32" s="1" t="s">
        <v>300</v>
      </c>
      <c r="G32" s="1" t="s">
        <v>301</v>
      </c>
      <c r="H32" s="1" t="s">
        <v>24</v>
      </c>
      <c r="I32" s="1" t="s">
        <v>25</v>
      </c>
      <c r="J32" s="1" t="s">
        <v>251</v>
      </c>
      <c r="K32" s="1" t="s">
        <v>252</v>
      </c>
      <c r="L32">
        <v>10009</v>
      </c>
      <c r="M32" s="1" t="s">
        <v>141</v>
      </c>
      <c r="N32" s="1" t="s">
        <v>302</v>
      </c>
      <c r="O32" s="1" t="s">
        <v>43</v>
      </c>
      <c r="P32" s="1" t="s">
        <v>83</v>
      </c>
      <c r="Q32" s="1" t="s">
        <v>303</v>
      </c>
      <c r="R32">
        <v>4.6159999999999997</v>
      </c>
      <c r="S32" s="1"/>
      <c r="T32" s="1" t="str">
        <f>IF(O32="Furniture","Cardbaord",O32)</f>
        <v>Office Supplies</v>
      </c>
      <c r="U32" s="1" t="str">
        <f>IF(O32="furniture","cardbaord",IF(O32="office supplies","OS",O32))</f>
        <v>OS</v>
      </c>
    </row>
    <row r="33" spans="1:21" x14ac:dyDescent="0.3">
      <c r="A33">
        <v>745</v>
      </c>
      <c r="B33" s="1" t="s">
        <v>1987</v>
      </c>
      <c r="C33" s="1" t="s">
        <v>1988</v>
      </c>
      <c r="D33" s="1" t="s">
        <v>1059</v>
      </c>
      <c r="E33" s="1" t="s">
        <v>49</v>
      </c>
      <c r="F33" s="1" t="s">
        <v>1989</v>
      </c>
      <c r="G33" s="1" t="s">
        <v>1990</v>
      </c>
      <c r="H33" s="1" t="s">
        <v>24</v>
      </c>
      <c r="I33" s="1" t="s">
        <v>25</v>
      </c>
      <c r="J33" s="1" t="s">
        <v>748</v>
      </c>
      <c r="K33" s="1" t="s">
        <v>92</v>
      </c>
      <c r="L33">
        <v>75220</v>
      </c>
      <c r="M33" s="1" t="s">
        <v>93</v>
      </c>
      <c r="N33" s="1" t="s">
        <v>1991</v>
      </c>
      <c r="O33" s="1" t="s">
        <v>43</v>
      </c>
      <c r="P33" s="1" t="s">
        <v>73</v>
      </c>
      <c r="Q33" s="1" t="s">
        <v>1992</v>
      </c>
      <c r="R33">
        <v>4.6239999999999997</v>
      </c>
      <c r="S33" s="1"/>
      <c r="T33" s="1" t="str">
        <f>IF(O33="Furniture","Cardbaord",O33)</f>
        <v>Office Supplies</v>
      </c>
      <c r="U33" s="1" t="str">
        <f>IF(O33="furniture","cardbaord",IF(O33="office supplies","OS",O33))</f>
        <v>OS</v>
      </c>
    </row>
    <row r="34" spans="1:21" x14ac:dyDescent="0.3">
      <c r="A34">
        <v>335</v>
      </c>
      <c r="B34" s="1" t="s">
        <v>1071</v>
      </c>
      <c r="C34" s="1" t="s">
        <v>1072</v>
      </c>
      <c r="D34" s="1" t="s">
        <v>1073</v>
      </c>
      <c r="E34" s="1" t="s">
        <v>21</v>
      </c>
      <c r="F34" s="1" t="s">
        <v>1074</v>
      </c>
      <c r="G34" s="1" t="s">
        <v>1075</v>
      </c>
      <c r="H34" s="1" t="s">
        <v>24</v>
      </c>
      <c r="I34" s="1" t="s">
        <v>25</v>
      </c>
      <c r="J34" s="1" t="s">
        <v>39</v>
      </c>
      <c r="K34" s="1" t="s">
        <v>40</v>
      </c>
      <c r="L34">
        <v>90045</v>
      </c>
      <c r="M34" s="1" t="s">
        <v>41</v>
      </c>
      <c r="N34" s="1" t="s">
        <v>1076</v>
      </c>
      <c r="O34" s="1" t="s">
        <v>43</v>
      </c>
      <c r="P34" s="1" t="s">
        <v>83</v>
      </c>
      <c r="Q34" s="1" t="s">
        <v>1077</v>
      </c>
      <c r="R34">
        <v>4.7519999999999998</v>
      </c>
      <c r="S34" s="1"/>
      <c r="T34" s="1" t="str">
        <f>IF(O34="Furniture","Cardbaord",O34)</f>
        <v>Office Supplies</v>
      </c>
      <c r="U34" s="1" t="str">
        <f>IF(O34="furniture","cardbaord",IF(O34="office supplies","OS",O34))</f>
        <v>OS</v>
      </c>
    </row>
    <row r="35" spans="1:21" x14ac:dyDescent="0.3">
      <c r="A35">
        <v>958</v>
      </c>
      <c r="B35" s="1" t="s">
        <v>2303</v>
      </c>
      <c r="C35" s="1" t="s">
        <v>2304</v>
      </c>
      <c r="D35" s="1" t="s">
        <v>2305</v>
      </c>
      <c r="E35" s="1" t="s">
        <v>21</v>
      </c>
      <c r="F35" s="1" t="s">
        <v>2306</v>
      </c>
      <c r="G35" s="1" t="s">
        <v>2307</v>
      </c>
      <c r="H35" s="1" t="s">
        <v>24</v>
      </c>
      <c r="I35" s="1" t="s">
        <v>25</v>
      </c>
      <c r="J35" s="1" t="s">
        <v>514</v>
      </c>
      <c r="K35" s="1" t="s">
        <v>285</v>
      </c>
      <c r="L35">
        <v>85023</v>
      </c>
      <c r="M35" s="1" t="s">
        <v>41</v>
      </c>
      <c r="N35" s="1" t="s">
        <v>2308</v>
      </c>
      <c r="O35" s="1" t="s">
        <v>43</v>
      </c>
      <c r="P35" s="1" t="s">
        <v>83</v>
      </c>
      <c r="Q35" s="1" t="s">
        <v>2309</v>
      </c>
      <c r="R35">
        <v>4.7519999999999998</v>
      </c>
      <c r="S35" s="1"/>
      <c r="T35" s="1" t="str">
        <f>IF(O35="Furniture","Cardbaord",O35)</f>
        <v>Office Supplies</v>
      </c>
      <c r="U35" s="1" t="str">
        <f>IF(O35="furniture","cardbaord",IF(O35="office supplies","OS",O35))</f>
        <v>OS</v>
      </c>
    </row>
    <row r="36" spans="1:21" x14ac:dyDescent="0.3">
      <c r="A36">
        <v>435</v>
      </c>
      <c r="B36" s="1" t="s">
        <v>1329</v>
      </c>
      <c r="C36" s="1" t="s">
        <v>1330</v>
      </c>
      <c r="D36" s="1" t="s">
        <v>1331</v>
      </c>
      <c r="E36" s="1" t="s">
        <v>49</v>
      </c>
      <c r="F36" s="1" t="s">
        <v>1332</v>
      </c>
      <c r="G36" s="1" t="s">
        <v>1333</v>
      </c>
      <c r="H36" s="1" t="s">
        <v>24</v>
      </c>
      <c r="I36" s="1" t="s">
        <v>25</v>
      </c>
      <c r="J36" s="1" t="s">
        <v>1334</v>
      </c>
      <c r="K36" s="1" t="s">
        <v>53</v>
      </c>
      <c r="L36">
        <v>32216</v>
      </c>
      <c r="M36" s="1" t="s">
        <v>28</v>
      </c>
      <c r="N36" s="1" t="s">
        <v>1335</v>
      </c>
      <c r="O36" s="1" t="s">
        <v>43</v>
      </c>
      <c r="P36" s="1" t="s">
        <v>83</v>
      </c>
      <c r="Q36" s="1" t="s">
        <v>1336</v>
      </c>
      <c r="R36">
        <v>4.8120000000000003</v>
      </c>
      <c r="S36" s="1"/>
      <c r="T36" s="1" t="str">
        <f>IF(O36="Furniture","Cardbaord",O36)</f>
        <v>Office Supplies</v>
      </c>
      <c r="U36" s="1" t="str">
        <f>IF(O36="furniture","cardbaord",IF(O36="office supplies","OS",O36))</f>
        <v>OS</v>
      </c>
    </row>
    <row r="37" spans="1:21" x14ac:dyDescent="0.3">
      <c r="A37">
        <v>309</v>
      </c>
      <c r="B37" s="1" t="s">
        <v>992</v>
      </c>
      <c r="C37" s="1" t="s">
        <v>66</v>
      </c>
      <c r="D37" s="1" t="s">
        <v>993</v>
      </c>
      <c r="E37" s="1" t="s">
        <v>169</v>
      </c>
      <c r="F37" s="1" t="s">
        <v>994</v>
      </c>
      <c r="G37" s="1" t="s">
        <v>995</v>
      </c>
      <c r="H37" s="1" t="s">
        <v>24</v>
      </c>
      <c r="I37" s="1" t="s">
        <v>25</v>
      </c>
      <c r="J37" s="1" t="s">
        <v>996</v>
      </c>
      <c r="K37" s="1" t="s">
        <v>294</v>
      </c>
      <c r="L37">
        <v>22204</v>
      </c>
      <c r="M37" s="1" t="s">
        <v>28</v>
      </c>
      <c r="N37" s="1" t="s">
        <v>997</v>
      </c>
      <c r="O37" s="1" t="s">
        <v>43</v>
      </c>
      <c r="P37" s="1" t="s">
        <v>123</v>
      </c>
      <c r="Q37" s="1" t="s">
        <v>998</v>
      </c>
      <c r="R37">
        <v>4.8899999999999997</v>
      </c>
      <c r="S37" s="1"/>
      <c r="T37" s="1" t="str">
        <f>IF(O37="Furniture","Cardbaord",O37)</f>
        <v>Office Supplies</v>
      </c>
      <c r="U37" s="1" t="str">
        <f>IF(O37="furniture","cardbaord",IF(O37="office supplies","OS",O37))</f>
        <v>OS</v>
      </c>
    </row>
    <row r="38" spans="1:21" x14ac:dyDescent="0.3">
      <c r="A38">
        <v>1955</v>
      </c>
      <c r="B38" s="1" t="s">
        <v>3252</v>
      </c>
      <c r="C38" s="1" t="s">
        <v>2246</v>
      </c>
      <c r="D38" s="1" t="s">
        <v>2271</v>
      </c>
      <c r="E38" s="1" t="s">
        <v>49</v>
      </c>
      <c r="F38" s="1" t="s">
        <v>3253</v>
      </c>
      <c r="G38" s="1" t="s">
        <v>3254</v>
      </c>
      <c r="H38" s="1" t="s">
        <v>38</v>
      </c>
      <c r="I38" s="1" t="s">
        <v>25</v>
      </c>
      <c r="J38" s="1" t="s">
        <v>251</v>
      </c>
      <c r="K38" s="1" t="s">
        <v>252</v>
      </c>
      <c r="L38">
        <v>10009</v>
      </c>
      <c r="M38" s="1" t="s">
        <v>141</v>
      </c>
      <c r="N38" s="1" t="s">
        <v>3255</v>
      </c>
      <c r="O38" s="1" t="s">
        <v>43</v>
      </c>
      <c r="P38" s="1" t="s">
        <v>123</v>
      </c>
      <c r="Q38" s="1" t="s">
        <v>3256</v>
      </c>
      <c r="R38">
        <v>4.92</v>
      </c>
      <c r="S38" s="1"/>
      <c r="T38" s="1" t="str">
        <f>IF(O38="Furniture","Cardbaord",O38)</f>
        <v>Office Supplies</v>
      </c>
      <c r="U38" s="1" t="str">
        <f>IF(O38="furniture","cardbaord",IF(O38="office supplies","OS",O38))</f>
        <v>OS</v>
      </c>
    </row>
    <row r="39" spans="1:21" x14ac:dyDescent="0.3">
      <c r="A39">
        <v>3854</v>
      </c>
      <c r="B39" s="1" t="s">
        <v>3878</v>
      </c>
      <c r="C39" s="1" t="s">
        <v>3879</v>
      </c>
      <c r="D39" s="1" t="s">
        <v>1416</v>
      </c>
      <c r="E39" s="1" t="s">
        <v>49</v>
      </c>
      <c r="F39" s="1" t="s">
        <v>3880</v>
      </c>
      <c r="G39" s="1" t="s">
        <v>3881</v>
      </c>
      <c r="H39" s="1" t="s">
        <v>90</v>
      </c>
      <c r="I39" s="1" t="s">
        <v>25</v>
      </c>
      <c r="J39" s="1" t="s">
        <v>121</v>
      </c>
      <c r="K39" s="1" t="s">
        <v>40</v>
      </c>
      <c r="L39">
        <v>94122</v>
      </c>
      <c r="M39" s="1" t="s">
        <v>41</v>
      </c>
      <c r="N39" s="1" t="s">
        <v>3882</v>
      </c>
      <c r="O39" s="1" t="s">
        <v>30</v>
      </c>
      <c r="P39" s="1" t="s">
        <v>63</v>
      </c>
      <c r="Q39" s="1" t="s">
        <v>3883</v>
      </c>
      <c r="R39">
        <v>4.95</v>
      </c>
      <c r="S39" s="1"/>
      <c r="T39" s="1" t="str">
        <f>IF(O39="Furniture","Cardbaord",O39)</f>
        <v>Cardbaord</v>
      </c>
      <c r="U39" s="1" t="str">
        <f>IF(O39="furniture","cardbaord",IF(O39="office supplies","OS",O39))</f>
        <v>cardbaord</v>
      </c>
    </row>
    <row r="40" spans="1:21" x14ac:dyDescent="0.3">
      <c r="A40">
        <v>1973</v>
      </c>
      <c r="B40" s="1" t="s">
        <v>3262</v>
      </c>
      <c r="C40" s="1" t="s">
        <v>2648</v>
      </c>
      <c r="D40" s="1" t="s">
        <v>1330</v>
      </c>
      <c r="E40" s="1" t="s">
        <v>49</v>
      </c>
      <c r="F40" s="1" t="s">
        <v>3263</v>
      </c>
      <c r="G40" s="1" t="s">
        <v>3264</v>
      </c>
      <c r="H40" s="1" t="s">
        <v>24</v>
      </c>
      <c r="I40" s="1" t="s">
        <v>25</v>
      </c>
      <c r="J40" s="1" t="s">
        <v>276</v>
      </c>
      <c r="K40" s="1" t="s">
        <v>191</v>
      </c>
      <c r="L40">
        <v>60610</v>
      </c>
      <c r="M40" s="1" t="s">
        <v>93</v>
      </c>
      <c r="N40" s="1" t="s">
        <v>3265</v>
      </c>
      <c r="O40" s="1" t="s">
        <v>43</v>
      </c>
      <c r="P40" s="1" t="s">
        <v>83</v>
      </c>
      <c r="Q40" s="1" t="s">
        <v>3266</v>
      </c>
      <c r="R40">
        <v>5.1040000000000001</v>
      </c>
      <c r="S40" s="1"/>
      <c r="T40" s="1" t="str">
        <f>IF(O40="Furniture","Cardbaord",O40)</f>
        <v>Office Supplies</v>
      </c>
      <c r="U40" s="1" t="str">
        <f>IF(O40="furniture","cardbaord",IF(O40="office supplies","OS",O40))</f>
        <v>OS</v>
      </c>
    </row>
    <row r="41" spans="1:21" x14ac:dyDescent="0.3">
      <c r="A41">
        <v>851</v>
      </c>
      <c r="B41" s="1" t="s">
        <v>2148</v>
      </c>
      <c r="C41" s="1" t="s">
        <v>229</v>
      </c>
      <c r="D41" s="1" t="s">
        <v>230</v>
      </c>
      <c r="E41" s="1" t="s">
        <v>21</v>
      </c>
      <c r="F41" s="1" t="s">
        <v>2149</v>
      </c>
      <c r="G41" s="1" t="s">
        <v>2150</v>
      </c>
      <c r="H41" s="1" t="s">
        <v>38</v>
      </c>
      <c r="I41" s="1" t="s">
        <v>25</v>
      </c>
      <c r="J41" s="1" t="s">
        <v>2151</v>
      </c>
      <c r="K41" s="1" t="s">
        <v>40</v>
      </c>
      <c r="L41">
        <v>93905</v>
      </c>
      <c r="M41" s="1" t="s">
        <v>41</v>
      </c>
      <c r="N41" s="1" t="s">
        <v>2152</v>
      </c>
      <c r="O41" s="1" t="s">
        <v>43</v>
      </c>
      <c r="P41" s="1" t="s">
        <v>123</v>
      </c>
      <c r="Q41" s="1" t="s">
        <v>2153</v>
      </c>
      <c r="R41">
        <v>5.16</v>
      </c>
      <c r="S41" s="1"/>
      <c r="T41" s="1" t="str">
        <f>IF(O41="Furniture","Cardbaord",O41)</f>
        <v>Office Supplies</v>
      </c>
      <c r="U41" s="1" t="str">
        <f>IF(O41="furniture","cardbaord",IF(O41="office supplies","OS",O41))</f>
        <v>OS</v>
      </c>
    </row>
    <row r="42" spans="1:21" x14ac:dyDescent="0.3">
      <c r="A42">
        <v>3455</v>
      </c>
      <c r="B42" s="1" t="s">
        <v>3805</v>
      </c>
      <c r="C42" s="1" t="s">
        <v>1670</v>
      </c>
      <c r="D42" s="1" t="s">
        <v>3806</v>
      </c>
      <c r="E42" s="1" t="s">
        <v>49</v>
      </c>
      <c r="F42" s="1" t="s">
        <v>3807</v>
      </c>
      <c r="G42" s="1" t="s">
        <v>3808</v>
      </c>
      <c r="H42" s="1" t="s">
        <v>24</v>
      </c>
      <c r="I42" s="1" t="s">
        <v>25</v>
      </c>
      <c r="J42" s="1" t="s">
        <v>3809</v>
      </c>
      <c r="K42" s="1" t="s">
        <v>310</v>
      </c>
      <c r="L42">
        <v>37211</v>
      </c>
      <c r="M42" s="1" t="s">
        <v>28</v>
      </c>
      <c r="N42" s="1" t="s">
        <v>3810</v>
      </c>
      <c r="O42" s="1" t="s">
        <v>43</v>
      </c>
      <c r="P42" s="1" t="s">
        <v>123</v>
      </c>
      <c r="Q42" s="1" t="s">
        <v>3811</v>
      </c>
      <c r="R42">
        <v>5.16</v>
      </c>
      <c r="S42" s="1"/>
      <c r="T42" s="1" t="str">
        <f>IF(O42="Furniture","Cardbaord",O42)</f>
        <v>Office Supplies</v>
      </c>
      <c r="U42" s="1" t="str">
        <f>IF(O42="furniture","cardbaord",IF(O42="office supplies","OS",O42))</f>
        <v>OS</v>
      </c>
    </row>
    <row r="43" spans="1:21" x14ac:dyDescent="0.3">
      <c r="A43">
        <v>3161</v>
      </c>
      <c r="B43" s="1" t="s">
        <v>3745</v>
      </c>
      <c r="C43" s="1" t="s">
        <v>627</v>
      </c>
      <c r="D43" s="1" t="s">
        <v>2265</v>
      </c>
      <c r="E43" s="1" t="s">
        <v>21</v>
      </c>
      <c r="F43" s="1" t="s">
        <v>3746</v>
      </c>
      <c r="G43" s="1" t="s">
        <v>3747</v>
      </c>
      <c r="H43" s="1" t="s">
        <v>24</v>
      </c>
      <c r="I43" s="1" t="s">
        <v>25</v>
      </c>
      <c r="J43" s="1" t="s">
        <v>164</v>
      </c>
      <c r="K43" s="1" t="s">
        <v>92</v>
      </c>
      <c r="L43">
        <v>77070</v>
      </c>
      <c r="M43" s="1" t="s">
        <v>93</v>
      </c>
      <c r="N43" s="1" t="s">
        <v>3748</v>
      </c>
      <c r="O43" s="1" t="s">
        <v>43</v>
      </c>
      <c r="P43" s="1" t="s">
        <v>83</v>
      </c>
      <c r="Q43" s="1" t="s">
        <v>3749</v>
      </c>
      <c r="R43">
        <v>5.18</v>
      </c>
      <c r="S43" s="1"/>
      <c r="T43" s="1" t="str">
        <f>IF(O43="Furniture","Cardbaord",O43)</f>
        <v>Office Supplies</v>
      </c>
      <c r="U43" s="1" t="str">
        <f>IF(O43="furniture","cardbaord",IF(O43="office supplies","OS",O43))</f>
        <v>OS</v>
      </c>
    </row>
    <row r="44" spans="1:21" x14ac:dyDescent="0.3">
      <c r="A44">
        <v>3932</v>
      </c>
      <c r="B44" s="1" t="s">
        <v>3909</v>
      </c>
      <c r="C44" s="1" t="s">
        <v>3910</v>
      </c>
      <c r="D44" s="1" t="s">
        <v>413</v>
      </c>
      <c r="E44" s="1" t="s">
        <v>49</v>
      </c>
      <c r="F44" s="1" t="s">
        <v>3911</v>
      </c>
      <c r="G44" s="1" t="s">
        <v>3912</v>
      </c>
      <c r="H44" s="1" t="s">
        <v>38</v>
      </c>
      <c r="I44" s="1" t="s">
        <v>25</v>
      </c>
      <c r="J44" s="1" t="s">
        <v>139</v>
      </c>
      <c r="K44" s="1" t="s">
        <v>140</v>
      </c>
      <c r="L44">
        <v>19140</v>
      </c>
      <c r="M44" s="1" t="s">
        <v>141</v>
      </c>
      <c r="N44" s="1" t="s">
        <v>3913</v>
      </c>
      <c r="O44" s="1" t="s">
        <v>43</v>
      </c>
      <c r="P44" s="1" t="s">
        <v>123</v>
      </c>
      <c r="Q44" s="1" t="s">
        <v>3914</v>
      </c>
      <c r="R44">
        <v>5.4720000000000004</v>
      </c>
      <c r="S44" s="1"/>
      <c r="T44" s="1" t="str">
        <f>IF(O44="Furniture","Cardbaord",O44)</f>
        <v>Office Supplies</v>
      </c>
      <c r="U44" s="1" t="str">
        <f>IF(O44="furniture","cardbaord",IF(O44="office supplies","OS",O44))</f>
        <v>OS</v>
      </c>
    </row>
    <row r="45" spans="1:21" x14ac:dyDescent="0.3">
      <c r="A45">
        <v>220</v>
      </c>
      <c r="B45" s="1" t="s">
        <v>795</v>
      </c>
      <c r="C45" s="1" t="s">
        <v>796</v>
      </c>
      <c r="D45" s="1" t="s">
        <v>178</v>
      </c>
      <c r="E45" s="1" t="s">
        <v>169</v>
      </c>
      <c r="F45" s="1" t="s">
        <v>797</v>
      </c>
      <c r="G45" s="1" t="s">
        <v>798</v>
      </c>
      <c r="H45" s="1" t="s">
        <v>24</v>
      </c>
      <c r="I45" s="1" t="s">
        <v>25</v>
      </c>
      <c r="J45" s="1" t="s">
        <v>799</v>
      </c>
      <c r="K45" s="1" t="s">
        <v>471</v>
      </c>
      <c r="L45">
        <v>43017</v>
      </c>
      <c r="M45" s="1" t="s">
        <v>141</v>
      </c>
      <c r="N45" s="1" t="s">
        <v>800</v>
      </c>
      <c r="O45" s="1" t="s">
        <v>43</v>
      </c>
      <c r="P45" s="1" t="s">
        <v>254</v>
      </c>
      <c r="Q45" s="1" t="s">
        <v>801</v>
      </c>
      <c r="R45">
        <v>5.5839999999999996</v>
      </c>
      <c r="S45" s="1"/>
      <c r="T45" s="1" t="str">
        <f>IF(O45="Furniture","Cardbaord",O45)</f>
        <v>Office Supplies</v>
      </c>
      <c r="U45" s="1" t="str">
        <f>IF(O45="furniture","cardbaord",IF(O45="office supplies","OS",O45))</f>
        <v>OS</v>
      </c>
    </row>
    <row r="46" spans="1:21" x14ac:dyDescent="0.3">
      <c r="A46">
        <v>96</v>
      </c>
      <c r="B46" s="1" t="s">
        <v>380</v>
      </c>
      <c r="C46" s="1" t="s">
        <v>381</v>
      </c>
      <c r="D46" s="1" t="s">
        <v>382</v>
      </c>
      <c r="E46" s="1" t="s">
        <v>49</v>
      </c>
      <c r="F46" s="1" t="s">
        <v>383</v>
      </c>
      <c r="G46" s="1" t="s">
        <v>384</v>
      </c>
      <c r="H46" s="1" t="s">
        <v>90</v>
      </c>
      <c r="I46" s="1" t="s">
        <v>25</v>
      </c>
      <c r="J46" s="1" t="s">
        <v>385</v>
      </c>
      <c r="K46" s="1" t="s">
        <v>386</v>
      </c>
      <c r="L46">
        <v>97206</v>
      </c>
      <c r="M46" s="1" t="s">
        <v>41</v>
      </c>
      <c r="N46" s="1" t="s">
        <v>387</v>
      </c>
      <c r="O46" s="1" t="s">
        <v>43</v>
      </c>
      <c r="P46" s="1" t="s">
        <v>83</v>
      </c>
      <c r="Q46" s="1" t="s">
        <v>388</v>
      </c>
      <c r="R46">
        <v>5.6820000000000004</v>
      </c>
      <c r="S46" s="1"/>
      <c r="T46" s="1" t="str">
        <f>IF(O46="Furniture","Cardbaord",O46)</f>
        <v>Office Supplies</v>
      </c>
      <c r="U46" s="1" t="str">
        <f>IF(O46="furniture","cardbaord",IF(O46="office supplies","OS",O46))</f>
        <v>OS</v>
      </c>
    </row>
    <row r="47" spans="1:21" x14ac:dyDescent="0.3">
      <c r="A47">
        <v>1492</v>
      </c>
      <c r="B47" s="1" t="s">
        <v>2894</v>
      </c>
      <c r="C47" s="1" t="s">
        <v>1580</v>
      </c>
      <c r="D47" s="1" t="s">
        <v>436</v>
      </c>
      <c r="E47" s="1" t="s">
        <v>49</v>
      </c>
      <c r="F47" s="1" t="s">
        <v>2895</v>
      </c>
      <c r="G47" s="1" t="s">
        <v>2896</v>
      </c>
      <c r="H47" s="1" t="s">
        <v>38</v>
      </c>
      <c r="I47" s="1" t="s">
        <v>25</v>
      </c>
      <c r="J47" s="1" t="s">
        <v>251</v>
      </c>
      <c r="K47" s="1" t="s">
        <v>252</v>
      </c>
      <c r="L47">
        <v>10035</v>
      </c>
      <c r="M47" s="1" t="s">
        <v>141</v>
      </c>
      <c r="N47" s="1" t="s">
        <v>2897</v>
      </c>
      <c r="O47" s="1" t="s">
        <v>43</v>
      </c>
      <c r="P47" s="1" t="s">
        <v>73</v>
      </c>
      <c r="Q47" s="1" t="s">
        <v>2898</v>
      </c>
      <c r="R47">
        <v>5.88</v>
      </c>
      <c r="S47" s="1"/>
      <c r="T47" s="1" t="str">
        <f>IF(O47="Furniture","Cardbaord",O47)</f>
        <v>Office Supplies</v>
      </c>
      <c r="U47" s="1" t="str">
        <f>IF(O47="furniture","cardbaord",IF(O47="office supplies","OS",O47))</f>
        <v>OS</v>
      </c>
    </row>
    <row r="48" spans="1:21" x14ac:dyDescent="0.3">
      <c r="A48">
        <v>879</v>
      </c>
      <c r="B48" s="1" t="s">
        <v>2191</v>
      </c>
      <c r="C48" s="1" t="s">
        <v>820</v>
      </c>
      <c r="D48" s="1" t="s">
        <v>884</v>
      </c>
      <c r="E48" s="1" t="s">
        <v>49</v>
      </c>
      <c r="F48" s="1" t="s">
        <v>2192</v>
      </c>
      <c r="G48" s="1" t="s">
        <v>2193</v>
      </c>
      <c r="H48" s="1" t="s">
        <v>90</v>
      </c>
      <c r="I48" s="1" t="s">
        <v>25</v>
      </c>
      <c r="J48" s="1" t="s">
        <v>139</v>
      </c>
      <c r="K48" s="1" t="s">
        <v>140</v>
      </c>
      <c r="L48">
        <v>19120</v>
      </c>
      <c r="M48" s="1" t="s">
        <v>141</v>
      </c>
      <c r="N48" s="1" t="s">
        <v>2194</v>
      </c>
      <c r="O48" s="1" t="s">
        <v>43</v>
      </c>
      <c r="P48" s="1" t="s">
        <v>83</v>
      </c>
      <c r="Q48" s="1" t="s">
        <v>2195</v>
      </c>
      <c r="R48">
        <v>5.8920000000000003</v>
      </c>
      <c r="S48" s="1"/>
      <c r="T48" s="1" t="str">
        <f>IF(O48="Furniture","Cardbaord",O48)</f>
        <v>Office Supplies</v>
      </c>
      <c r="U48" s="1" t="str">
        <f>IF(O48="furniture","cardbaord",IF(O48="office supplies","OS",O48))</f>
        <v>OS</v>
      </c>
    </row>
    <row r="49" spans="1:21" x14ac:dyDescent="0.3">
      <c r="A49">
        <v>161</v>
      </c>
      <c r="B49" s="1" t="s">
        <v>598</v>
      </c>
      <c r="C49" s="1" t="s">
        <v>599</v>
      </c>
      <c r="D49" s="1" t="s">
        <v>600</v>
      </c>
      <c r="E49" s="1" t="s">
        <v>169</v>
      </c>
      <c r="F49" s="1" t="s">
        <v>601</v>
      </c>
      <c r="G49" s="1" t="s">
        <v>602</v>
      </c>
      <c r="H49" s="1" t="s">
        <v>24</v>
      </c>
      <c r="I49" s="1" t="s">
        <v>25</v>
      </c>
      <c r="J49" s="1" t="s">
        <v>39</v>
      </c>
      <c r="K49" s="1" t="s">
        <v>40</v>
      </c>
      <c r="L49">
        <v>90045</v>
      </c>
      <c r="M49" s="1" t="s">
        <v>41</v>
      </c>
      <c r="N49" s="1" t="s">
        <v>603</v>
      </c>
      <c r="O49" s="1" t="s">
        <v>43</v>
      </c>
      <c r="P49" s="1" t="s">
        <v>73</v>
      </c>
      <c r="Q49" s="1" t="s">
        <v>604</v>
      </c>
      <c r="R49">
        <v>5.98</v>
      </c>
      <c r="S49" s="1"/>
      <c r="T49" s="1" t="str">
        <f>IF(O49="Furniture","Cardbaord",O49)</f>
        <v>Office Supplies</v>
      </c>
      <c r="U49" s="1" t="str">
        <f>IF(O49="furniture","cardbaord",IF(O49="office supplies","OS",O49))</f>
        <v>OS</v>
      </c>
    </row>
    <row r="50" spans="1:21" x14ac:dyDescent="0.3">
      <c r="A50">
        <v>962</v>
      </c>
      <c r="B50" s="1" t="s">
        <v>2315</v>
      </c>
      <c r="C50" s="1" t="s">
        <v>1182</v>
      </c>
      <c r="D50" s="1" t="s">
        <v>2316</v>
      </c>
      <c r="E50" s="1" t="s">
        <v>49</v>
      </c>
      <c r="F50" s="1" t="s">
        <v>2317</v>
      </c>
      <c r="G50" s="1" t="s">
        <v>2318</v>
      </c>
      <c r="H50" s="1" t="s">
        <v>90</v>
      </c>
      <c r="I50" s="1" t="s">
        <v>25</v>
      </c>
      <c r="J50" s="1" t="s">
        <v>1458</v>
      </c>
      <c r="K50" s="1" t="s">
        <v>1459</v>
      </c>
      <c r="L50">
        <v>72701</v>
      </c>
      <c r="M50" s="1" t="s">
        <v>28</v>
      </c>
      <c r="N50" s="1" t="s">
        <v>2319</v>
      </c>
      <c r="O50" s="1" t="s">
        <v>43</v>
      </c>
      <c r="P50" s="1" t="s">
        <v>83</v>
      </c>
      <c r="Q50" s="1" t="s">
        <v>2320</v>
      </c>
      <c r="R50">
        <v>6.24</v>
      </c>
      <c r="S50" s="1"/>
      <c r="T50" s="1" t="str">
        <f>IF(O50="Furniture","Cardbaord",O50)</f>
        <v>Office Supplies</v>
      </c>
      <c r="U50" s="1" t="str">
        <f>IF(O50="furniture","cardbaord",IF(O50="office supplies","OS",O50))</f>
        <v>OS</v>
      </c>
    </row>
    <row r="51" spans="1:21" x14ac:dyDescent="0.3">
      <c r="A51">
        <v>1074</v>
      </c>
      <c r="B51" s="1" t="s">
        <v>2488</v>
      </c>
      <c r="C51" s="1" t="s">
        <v>2221</v>
      </c>
      <c r="D51" s="1" t="s">
        <v>1856</v>
      </c>
      <c r="E51" s="1" t="s">
        <v>49</v>
      </c>
      <c r="F51" s="1" t="s">
        <v>2489</v>
      </c>
      <c r="G51" s="1" t="s">
        <v>2490</v>
      </c>
      <c r="H51" s="1" t="s">
        <v>24</v>
      </c>
      <c r="I51" s="1" t="s">
        <v>25</v>
      </c>
      <c r="J51" s="1" t="s">
        <v>1542</v>
      </c>
      <c r="K51" s="1" t="s">
        <v>285</v>
      </c>
      <c r="L51">
        <v>85204</v>
      </c>
      <c r="M51" s="1" t="s">
        <v>41</v>
      </c>
      <c r="N51" s="1" t="s">
        <v>2491</v>
      </c>
      <c r="O51" s="1" t="s">
        <v>43</v>
      </c>
      <c r="P51" s="1" t="s">
        <v>83</v>
      </c>
      <c r="Q51" s="1" t="s">
        <v>2492</v>
      </c>
      <c r="R51">
        <v>6.27</v>
      </c>
      <c r="S51" s="1"/>
      <c r="T51" s="1" t="str">
        <f>IF(O51="Furniture","Cardbaord",O51)</f>
        <v>Office Supplies</v>
      </c>
      <c r="U51" s="1" t="str">
        <f>IF(O51="furniture","cardbaord",IF(O51="office supplies","OS",O51))</f>
        <v>OS</v>
      </c>
    </row>
    <row r="52" spans="1:21" x14ac:dyDescent="0.3">
      <c r="A52">
        <v>6427</v>
      </c>
      <c r="B52" s="1" t="s">
        <v>4221</v>
      </c>
      <c r="C52" s="1" t="s">
        <v>2753</v>
      </c>
      <c r="D52" s="1" t="s">
        <v>3512</v>
      </c>
      <c r="E52" s="1" t="s">
        <v>49</v>
      </c>
      <c r="F52" s="1" t="s">
        <v>4222</v>
      </c>
      <c r="G52" s="1" t="s">
        <v>4223</v>
      </c>
      <c r="H52" s="1" t="s">
        <v>24</v>
      </c>
      <c r="I52" s="1" t="s">
        <v>25</v>
      </c>
      <c r="J52" s="1" t="s">
        <v>139</v>
      </c>
      <c r="K52" s="1" t="s">
        <v>140</v>
      </c>
      <c r="L52">
        <v>19120</v>
      </c>
      <c r="M52" s="1" t="s">
        <v>141</v>
      </c>
      <c r="N52" s="1" t="s">
        <v>4224</v>
      </c>
      <c r="O52" s="1" t="s">
        <v>43</v>
      </c>
      <c r="P52" s="1" t="s">
        <v>83</v>
      </c>
      <c r="Q52" s="1" t="s">
        <v>4225</v>
      </c>
      <c r="R52">
        <v>6.2939999999999996</v>
      </c>
      <c r="S52" s="1"/>
      <c r="T52" s="1" t="str">
        <f>IF(O52="Furniture","Cardbaord",O52)</f>
        <v>Office Supplies</v>
      </c>
      <c r="U52" s="1" t="str">
        <f>IF(O52="furniture","cardbaord",IF(O52="office supplies","OS",O52))</f>
        <v>OS</v>
      </c>
    </row>
    <row r="53" spans="1:21" x14ac:dyDescent="0.3">
      <c r="A53">
        <v>5442</v>
      </c>
      <c r="B53" s="1" t="s">
        <v>4180</v>
      </c>
      <c r="C53" s="1" t="s">
        <v>2609</v>
      </c>
      <c r="D53" s="1" t="s">
        <v>2610</v>
      </c>
      <c r="E53" s="1" t="s">
        <v>49</v>
      </c>
      <c r="F53" s="1" t="s">
        <v>4181</v>
      </c>
      <c r="G53" s="1" t="s">
        <v>4182</v>
      </c>
      <c r="H53" s="1" t="s">
        <v>24</v>
      </c>
      <c r="I53" s="1" t="s">
        <v>25</v>
      </c>
      <c r="J53" s="1" t="s">
        <v>3657</v>
      </c>
      <c r="K53" s="1" t="s">
        <v>285</v>
      </c>
      <c r="L53">
        <v>85301</v>
      </c>
      <c r="M53" s="1" t="s">
        <v>41</v>
      </c>
      <c r="N53" s="1" t="s">
        <v>4183</v>
      </c>
      <c r="O53" s="1" t="s">
        <v>43</v>
      </c>
      <c r="P53" s="1" t="s">
        <v>73</v>
      </c>
      <c r="Q53" s="1" t="s">
        <v>4184</v>
      </c>
      <c r="R53">
        <v>6.3680000000000003</v>
      </c>
      <c r="S53" s="1"/>
      <c r="T53" s="1" t="str">
        <f>IF(O53="Furniture","Cardbaord",O53)</f>
        <v>Office Supplies</v>
      </c>
      <c r="U53" s="1" t="str">
        <f>IF(O53="furniture","cardbaord",IF(O53="office supplies","OS",O53))</f>
        <v>OS</v>
      </c>
    </row>
    <row r="54" spans="1:21" x14ac:dyDescent="0.3">
      <c r="A54">
        <v>2390</v>
      </c>
      <c r="B54" s="1" t="s">
        <v>3476</v>
      </c>
      <c r="C54" s="1" t="s">
        <v>2925</v>
      </c>
      <c r="D54" s="1" t="s">
        <v>3477</v>
      </c>
      <c r="E54" s="1" t="s">
        <v>49</v>
      </c>
      <c r="F54" s="1" t="s">
        <v>3478</v>
      </c>
      <c r="G54" s="1" t="s">
        <v>3479</v>
      </c>
      <c r="H54" s="1" t="s">
        <v>24</v>
      </c>
      <c r="I54" s="1" t="s">
        <v>25</v>
      </c>
      <c r="J54" s="1" t="s">
        <v>251</v>
      </c>
      <c r="K54" s="1" t="s">
        <v>252</v>
      </c>
      <c r="L54">
        <v>10009</v>
      </c>
      <c r="M54" s="1" t="s">
        <v>141</v>
      </c>
      <c r="N54" s="1" t="s">
        <v>3480</v>
      </c>
      <c r="O54" s="1" t="s">
        <v>43</v>
      </c>
      <c r="P54" s="1" t="s">
        <v>73</v>
      </c>
      <c r="Q54" s="1" t="s">
        <v>3481</v>
      </c>
      <c r="R54">
        <v>6.48</v>
      </c>
      <c r="S54" s="1"/>
      <c r="T54" s="1" t="str">
        <f>IF(O54="Furniture","Cardbaord",O54)</f>
        <v>Office Supplies</v>
      </c>
      <c r="U54" s="1" t="str">
        <f>IF(O54="furniture","cardbaord",IF(O54="office supplies","OS",O54))</f>
        <v>OS</v>
      </c>
    </row>
    <row r="55" spans="1:21" x14ac:dyDescent="0.3">
      <c r="A55">
        <v>1266</v>
      </c>
      <c r="B55" s="1" t="s">
        <v>2674</v>
      </c>
      <c r="C55" s="1" t="s">
        <v>2246</v>
      </c>
      <c r="D55" s="1" t="s">
        <v>1524</v>
      </c>
      <c r="E55" s="1" t="s">
        <v>49</v>
      </c>
      <c r="F55" s="1" t="s">
        <v>2675</v>
      </c>
      <c r="G55" s="1" t="s">
        <v>2676</v>
      </c>
      <c r="H55" s="1" t="s">
        <v>24</v>
      </c>
      <c r="I55" s="1" t="s">
        <v>25</v>
      </c>
      <c r="J55" s="1" t="s">
        <v>121</v>
      </c>
      <c r="K55" s="1" t="s">
        <v>40</v>
      </c>
      <c r="L55">
        <v>94122</v>
      </c>
      <c r="M55" s="1" t="s">
        <v>41</v>
      </c>
      <c r="N55" s="1" t="s">
        <v>2677</v>
      </c>
      <c r="O55" s="1" t="s">
        <v>43</v>
      </c>
      <c r="P55" s="1" t="s">
        <v>123</v>
      </c>
      <c r="Q55" s="1" t="s">
        <v>2678</v>
      </c>
      <c r="R55">
        <v>6.57</v>
      </c>
      <c r="S55" s="1"/>
      <c r="T55" s="1" t="str">
        <f>IF(O55="Furniture","Cardbaord",O55)</f>
        <v>Office Supplies</v>
      </c>
      <c r="U55" s="1" t="str">
        <f>IF(O55="furniture","cardbaord",IF(O55="office supplies","OS",O55))</f>
        <v>OS</v>
      </c>
    </row>
    <row r="56" spans="1:21" x14ac:dyDescent="0.3">
      <c r="A56">
        <v>157</v>
      </c>
      <c r="B56" s="1" t="s">
        <v>582</v>
      </c>
      <c r="C56" s="1" t="s">
        <v>583</v>
      </c>
      <c r="D56" s="1" t="s">
        <v>584</v>
      </c>
      <c r="E56" s="1" t="s">
        <v>49</v>
      </c>
      <c r="F56" s="1" t="s">
        <v>585</v>
      </c>
      <c r="G56" s="1" t="s">
        <v>586</v>
      </c>
      <c r="H56" s="1" t="s">
        <v>90</v>
      </c>
      <c r="I56" s="1" t="s">
        <v>25</v>
      </c>
      <c r="J56" s="1" t="s">
        <v>80</v>
      </c>
      <c r="K56" s="1" t="s">
        <v>81</v>
      </c>
      <c r="L56">
        <v>98105</v>
      </c>
      <c r="M56" s="1" t="s">
        <v>41</v>
      </c>
      <c r="N56" s="1" t="s">
        <v>587</v>
      </c>
      <c r="O56" s="1" t="s">
        <v>43</v>
      </c>
      <c r="P56" s="1" t="s">
        <v>123</v>
      </c>
      <c r="Q56" s="1" t="s">
        <v>588</v>
      </c>
      <c r="R56">
        <v>6.63</v>
      </c>
      <c r="S56" s="1"/>
      <c r="T56" s="1" t="str">
        <f>IF(O56="Furniture","Cardbaord",O56)</f>
        <v>Office Supplies</v>
      </c>
      <c r="U56" s="1" t="str">
        <f>IF(O56="furniture","cardbaord",IF(O56="office supplies","OS",O56))</f>
        <v>OS</v>
      </c>
    </row>
    <row r="57" spans="1:21" x14ac:dyDescent="0.3">
      <c r="A57">
        <v>514</v>
      </c>
      <c r="B57" s="1" t="s">
        <v>1485</v>
      </c>
      <c r="C57" s="1" t="s">
        <v>745</v>
      </c>
      <c r="D57" s="1" t="s">
        <v>451</v>
      </c>
      <c r="E57" s="1" t="s">
        <v>49</v>
      </c>
      <c r="F57" s="1" t="s">
        <v>1486</v>
      </c>
      <c r="G57" s="1" t="s">
        <v>1487</v>
      </c>
      <c r="H57" s="1" t="s">
        <v>24</v>
      </c>
      <c r="I57" s="1" t="s">
        <v>25</v>
      </c>
      <c r="J57" s="1" t="s">
        <v>39</v>
      </c>
      <c r="K57" s="1" t="s">
        <v>40</v>
      </c>
      <c r="L57">
        <v>90049</v>
      </c>
      <c r="M57" s="1" t="s">
        <v>41</v>
      </c>
      <c r="N57" s="1" t="s">
        <v>1488</v>
      </c>
      <c r="O57" s="1" t="s">
        <v>43</v>
      </c>
      <c r="P57" s="1" t="s">
        <v>123</v>
      </c>
      <c r="Q57" s="1" t="s">
        <v>1489</v>
      </c>
      <c r="R57">
        <v>6.63</v>
      </c>
      <c r="S57" s="1"/>
      <c r="T57" s="1" t="str">
        <f>IF(O57="Furniture","Cardbaord",O57)</f>
        <v>Office Supplies</v>
      </c>
      <c r="U57" s="1" t="str">
        <f>IF(O57="furniture","cardbaord",IF(O57="office supplies","OS",O57))</f>
        <v>OS</v>
      </c>
    </row>
    <row r="58" spans="1:21" x14ac:dyDescent="0.3">
      <c r="A58">
        <v>429</v>
      </c>
      <c r="B58" s="1" t="s">
        <v>1309</v>
      </c>
      <c r="C58" s="1" t="s">
        <v>1117</v>
      </c>
      <c r="D58" s="1" t="s">
        <v>1310</v>
      </c>
      <c r="E58" s="1" t="s">
        <v>49</v>
      </c>
      <c r="F58" s="1" t="s">
        <v>1311</v>
      </c>
      <c r="G58" s="1" t="s">
        <v>1312</v>
      </c>
      <c r="H58" s="1" t="s">
        <v>38</v>
      </c>
      <c r="I58" s="1" t="s">
        <v>25</v>
      </c>
      <c r="J58" s="1" t="s">
        <v>630</v>
      </c>
      <c r="K58" s="1" t="s">
        <v>92</v>
      </c>
      <c r="L58">
        <v>78207</v>
      </c>
      <c r="M58" s="1" t="s">
        <v>93</v>
      </c>
      <c r="N58" s="1" t="s">
        <v>1313</v>
      </c>
      <c r="O58" s="1" t="s">
        <v>43</v>
      </c>
      <c r="P58" s="1" t="s">
        <v>123</v>
      </c>
      <c r="Q58" s="1" t="s">
        <v>1314</v>
      </c>
      <c r="R58">
        <v>6.6719999999999997</v>
      </c>
      <c r="S58" s="1"/>
      <c r="T58" s="1" t="str">
        <f>IF(O58="Furniture","Cardbaord",O58)</f>
        <v>Office Supplies</v>
      </c>
      <c r="U58" s="1" t="str">
        <f>IF(O58="furniture","cardbaord",IF(O58="office supplies","OS",O58))</f>
        <v>OS</v>
      </c>
    </row>
    <row r="59" spans="1:21" x14ac:dyDescent="0.3">
      <c r="A59">
        <v>1256</v>
      </c>
      <c r="B59" s="1" t="s">
        <v>2654</v>
      </c>
      <c r="C59" s="1" t="s">
        <v>2655</v>
      </c>
      <c r="D59" s="1" t="s">
        <v>2656</v>
      </c>
      <c r="E59" s="1" t="s">
        <v>49</v>
      </c>
      <c r="F59" s="1" t="s">
        <v>2657</v>
      </c>
      <c r="G59" s="1" t="s">
        <v>2658</v>
      </c>
      <c r="H59" s="1" t="s">
        <v>90</v>
      </c>
      <c r="I59" s="1" t="s">
        <v>25</v>
      </c>
      <c r="J59" s="1" t="s">
        <v>1900</v>
      </c>
      <c r="K59" s="1" t="s">
        <v>140</v>
      </c>
      <c r="L59">
        <v>19013</v>
      </c>
      <c r="M59" s="1" t="s">
        <v>141</v>
      </c>
      <c r="N59" s="1" t="s">
        <v>2659</v>
      </c>
      <c r="O59" s="1" t="s">
        <v>30</v>
      </c>
      <c r="P59" s="1" t="s">
        <v>63</v>
      </c>
      <c r="Q59" s="1" t="s">
        <v>2660</v>
      </c>
      <c r="R59">
        <v>6.6959999999999997</v>
      </c>
      <c r="S59" s="1"/>
      <c r="T59" s="1" t="str">
        <f>IF(O59="Furniture","Cardbaord",O59)</f>
        <v>Cardbaord</v>
      </c>
      <c r="U59" s="1" t="str">
        <f>IF(O59="furniture","cardbaord",IF(O59="office supplies","OS",O59))</f>
        <v>cardbaord</v>
      </c>
    </row>
    <row r="60" spans="1:21" x14ac:dyDescent="0.3">
      <c r="A60">
        <v>1099</v>
      </c>
      <c r="B60" s="1" t="s">
        <v>2533</v>
      </c>
      <c r="C60" s="1" t="s">
        <v>1338</v>
      </c>
      <c r="D60" s="1" t="s">
        <v>257</v>
      </c>
      <c r="E60" s="1" t="s">
        <v>169</v>
      </c>
      <c r="F60" s="1" t="s">
        <v>2534</v>
      </c>
      <c r="G60" s="1" t="s">
        <v>2535</v>
      </c>
      <c r="H60" s="1" t="s">
        <v>90</v>
      </c>
      <c r="I60" s="1" t="s">
        <v>25</v>
      </c>
      <c r="J60" s="1" t="s">
        <v>121</v>
      </c>
      <c r="K60" s="1" t="s">
        <v>40</v>
      </c>
      <c r="L60">
        <v>94122</v>
      </c>
      <c r="M60" s="1" t="s">
        <v>41</v>
      </c>
      <c r="N60" s="1" t="s">
        <v>2536</v>
      </c>
      <c r="O60" s="1" t="s">
        <v>43</v>
      </c>
      <c r="P60" s="1" t="s">
        <v>123</v>
      </c>
      <c r="Q60" s="1" t="s">
        <v>2537</v>
      </c>
      <c r="R60">
        <v>7.04</v>
      </c>
      <c r="S60" s="1"/>
      <c r="T60" s="1" t="str">
        <f>IF(O60="Furniture","Cardbaord",O60)</f>
        <v>Office Supplies</v>
      </c>
      <c r="U60" s="1" t="str">
        <f>IF(O60="furniture","cardbaord",IF(O60="office supplies","OS",O60))</f>
        <v>OS</v>
      </c>
    </row>
    <row r="61" spans="1:21" x14ac:dyDescent="0.3">
      <c r="A61">
        <v>9379</v>
      </c>
      <c r="B61" s="1" t="s">
        <v>4294</v>
      </c>
      <c r="C61" s="1" t="s">
        <v>3461</v>
      </c>
      <c r="D61" s="1" t="s">
        <v>2938</v>
      </c>
      <c r="E61" s="1" t="s">
        <v>49</v>
      </c>
      <c r="F61" s="1" t="s">
        <v>4295</v>
      </c>
      <c r="G61" s="1" t="s">
        <v>4296</v>
      </c>
      <c r="H61" s="1" t="s">
        <v>24</v>
      </c>
      <c r="I61" s="1" t="s">
        <v>25</v>
      </c>
      <c r="J61" s="1" t="s">
        <v>276</v>
      </c>
      <c r="K61" s="1" t="s">
        <v>191</v>
      </c>
      <c r="L61">
        <v>60610</v>
      </c>
      <c r="M61" s="1" t="s">
        <v>93</v>
      </c>
      <c r="N61" s="1" t="s">
        <v>4297</v>
      </c>
      <c r="O61" s="1" t="s">
        <v>43</v>
      </c>
      <c r="P61" s="1" t="s">
        <v>183</v>
      </c>
      <c r="Q61" s="1" t="s">
        <v>4298</v>
      </c>
      <c r="R61">
        <v>7.0720000000000001</v>
      </c>
      <c r="S61" s="1"/>
      <c r="T61" s="1" t="str">
        <f>IF(O61="Furniture","Cardbaord",O61)</f>
        <v>Office Supplies</v>
      </c>
      <c r="U61" s="1" t="str">
        <f>IF(O61="furniture","cardbaord",IF(O61="office supplies","OS",O61))</f>
        <v>OS</v>
      </c>
    </row>
    <row r="62" spans="1:21" x14ac:dyDescent="0.3">
      <c r="A62">
        <v>186</v>
      </c>
      <c r="B62" s="1" t="s">
        <v>676</v>
      </c>
      <c r="C62" s="1" t="s">
        <v>677</v>
      </c>
      <c r="D62" s="1" t="s">
        <v>678</v>
      </c>
      <c r="E62" s="1" t="s">
        <v>49</v>
      </c>
      <c r="F62" s="1" t="s">
        <v>679</v>
      </c>
      <c r="G62" s="1" t="s">
        <v>680</v>
      </c>
      <c r="H62" s="1" t="s">
        <v>24</v>
      </c>
      <c r="I62" s="1" t="s">
        <v>25</v>
      </c>
      <c r="J62" s="1" t="s">
        <v>681</v>
      </c>
      <c r="K62" s="1" t="s">
        <v>682</v>
      </c>
      <c r="L62">
        <v>6824</v>
      </c>
      <c r="M62" s="1" t="s">
        <v>141</v>
      </c>
      <c r="N62" s="1" t="s">
        <v>683</v>
      </c>
      <c r="O62" s="1" t="s">
        <v>43</v>
      </c>
      <c r="P62" s="1" t="s">
        <v>83</v>
      </c>
      <c r="Q62" s="1" t="s">
        <v>684</v>
      </c>
      <c r="R62">
        <v>7.16</v>
      </c>
      <c r="S62" s="1"/>
      <c r="T62" s="1" t="str">
        <f>IF(O62="Furniture","Cardbaord",O62)</f>
        <v>Office Supplies</v>
      </c>
      <c r="U62" s="1" t="str">
        <f>IF(O62="furniture","cardbaord",IF(O62="office supplies","OS",O62))</f>
        <v>OS</v>
      </c>
    </row>
    <row r="63" spans="1:21" x14ac:dyDescent="0.3">
      <c r="A63">
        <v>323</v>
      </c>
      <c r="B63" s="1" t="s">
        <v>1035</v>
      </c>
      <c r="C63" s="1" t="s">
        <v>642</v>
      </c>
      <c r="D63" s="1" t="s">
        <v>1036</v>
      </c>
      <c r="E63" s="1" t="s">
        <v>49</v>
      </c>
      <c r="F63" s="1" t="s">
        <v>1037</v>
      </c>
      <c r="G63" s="1" t="s">
        <v>1038</v>
      </c>
      <c r="H63" s="1" t="s">
        <v>38</v>
      </c>
      <c r="I63" s="1" t="s">
        <v>25</v>
      </c>
      <c r="J63" s="1" t="s">
        <v>1039</v>
      </c>
      <c r="K63" s="1" t="s">
        <v>40</v>
      </c>
      <c r="L63">
        <v>90805</v>
      </c>
      <c r="M63" s="1" t="s">
        <v>41</v>
      </c>
      <c r="N63" s="1" t="s">
        <v>1040</v>
      </c>
      <c r="O63" s="1" t="s">
        <v>43</v>
      </c>
      <c r="P63" s="1" t="s">
        <v>254</v>
      </c>
      <c r="Q63" s="1" t="s">
        <v>1041</v>
      </c>
      <c r="R63">
        <v>7.16</v>
      </c>
      <c r="S63" s="1"/>
      <c r="T63" s="1" t="str">
        <f>IF(O63="Furniture","Cardbaord",O63)</f>
        <v>Office Supplies</v>
      </c>
      <c r="U63" s="1" t="str">
        <f>IF(O63="furniture","cardbaord",IF(O63="office supplies","OS",O63))</f>
        <v>OS</v>
      </c>
    </row>
    <row r="64" spans="1:21" x14ac:dyDescent="0.3">
      <c r="A64">
        <v>196</v>
      </c>
      <c r="B64" s="1" t="s">
        <v>706</v>
      </c>
      <c r="C64" s="1" t="s">
        <v>707</v>
      </c>
      <c r="D64" s="1" t="s">
        <v>708</v>
      </c>
      <c r="E64" s="1" t="s">
        <v>49</v>
      </c>
      <c r="F64" s="1" t="s">
        <v>709</v>
      </c>
      <c r="G64" s="1" t="s">
        <v>710</v>
      </c>
      <c r="H64" s="1" t="s">
        <v>24</v>
      </c>
      <c r="I64" s="1" t="s">
        <v>25</v>
      </c>
      <c r="J64" s="1" t="s">
        <v>711</v>
      </c>
      <c r="K64" s="1" t="s">
        <v>471</v>
      </c>
      <c r="L64">
        <v>45011</v>
      </c>
      <c r="M64" s="1" t="s">
        <v>141</v>
      </c>
      <c r="N64" s="1" t="s">
        <v>712</v>
      </c>
      <c r="O64" s="1" t="s">
        <v>43</v>
      </c>
      <c r="P64" s="1" t="s">
        <v>123</v>
      </c>
      <c r="Q64" s="1" t="s">
        <v>713</v>
      </c>
      <c r="R64">
        <v>7.4080000000000004</v>
      </c>
      <c r="S64" s="1"/>
      <c r="T64" s="1" t="str">
        <f>IF(O64="Furniture","Cardbaord",O64)</f>
        <v>Office Supplies</v>
      </c>
      <c r="U64" s="1" t="str">
        <f>IF(O64="furniture","cardbaord",IF(O64="office supplies","OS",O64))</f>
        <v>OS</v>
      </c>
    </row>
    <row r="65" spans="1:21" x14ac:dyDescent="0.3">
      <c r="A65">
        <v>1135</v>
      </c>
      <c r="B65" s="1" t="s">
        <v>2550</v>
      </c>
      <c r="C65" s="1" t="s">
        <v>2551</v>
      </c>
      <c r="D65" s="1" t="s">
        <v>832</v>
      </c>
      <c r="E65" s="1" t="s">
        <v>49</v>
      </c>
      <c r="F65" s="1" t="s">
        <v>2552</v>
      </c>
      <c r="G65" s="1" t="s">
        <v>2553</v>
      </c>
      <c r="H65" s="1" t="s">
        <v>90</v>
      </c>
      <c r="I65" s="1" t="s">
        <v>25</v>
      </c>
      <c r="J65" s="1" t="s">
        <v>139</v>
      </c>
      <c r="K65" s="1" t="s">
        <v>140</v>
      </c>
      <c r="L65">
        <v>19134</v>
      </c>
      <c r="M65" s="1" t="s">
        <v>141</v>
      </c>
      <c r="N65" s="1" t="s">
        <v>2554</v>
      </c>
      <c r="O65" s="1" t="s">
        <v>43</v>
      </c>
      <c r="P65" s="1" t="s">
        <v>44</v>
      </c>
      <c r="Q65" s="1" t="s">
        <v>2555</v>
      </c>
      <c r="R65">
        <v>7.56</v>
      </c>
      <c r="S65" s="1"/>
      <c r="T65" s="1" t="str">
        <f>IF(O65="Furniture","Cardbaord",O65)</f>
        <v>Office Supplies</v>
      </c>
      <c r="U65" s="1" t="str">
        <f>IF(O65="furniture","cardbaord",IF(O65="office supplies","OS",O65))</f>
        <v>OS</v>
      </c>
    </row>
    <row r="66" spans="1:21" x14ac:dyDescent="0.3">
      <c r="A66">
        <v>251</v>
      </c>
      <c r="B66" s="1" t="s">
        <v>851</v>
      </c>
      <c r="C66" s="1" t="s">
        <v>405</v>
      </c>
      <c r="D66" s="1" t="s">
        <v>366</v>
      </c>
      <c r="E66" s="1" t="s">
        <v>49</v>
      </c>
      <c r="F66" s="1" t="s">
        <v>852</v>
      </c>
      <c r="G66" s="1" t="s">
        <v>853</v>
      </c>
      <c r="H66" s="1" t="s">
        <v>24</v>
      </c>
      <c r="I66" s="1" t="s">
        <v>25</v>
      </c>
      <c r="J66" s="1" t="s">
        <v>854</v>
      </c>
      <c r="K66" s="1" t="s">
        <v>40</v>
      </c>
      <c r="L66">
        <v>92037</v>
      </c>
      <c r="M66" s="1" t="s">
        <v>41</v>
      </c>
      <c r="N66" s="1" t="s">
        <v>855</v>
      </c>
      <c r="O66" s="1" t="s">
        <v>43</v>
      </c>
      <c r="P66" s="1" t="s">
        <v>73</v>
      </c>
      <c r="Q66" s="1" t="s">
        <v>856</v>
      </c>
      <c r="R66">
        <v>7.61</v>
      </c>
      <c r="S66" s="1"/>
      <c r="T66" s="1" t="str">
        <f>IF(O66="Furniture","Cardbaord",O66)</f>
        <v>Office Supplies</v>
      </c>
      <c r="U66" s="1" t="str">
        <f>IF(O66="furniture","cardbaord",IF(O66="office supplies","OS",O66))</f>
        <v>OS</v>
      </c>
    </row>
    <row r="67" spans="1:21" x14ac:dyDescent="0.3">
      <c r="A67">
        <v>338</v>
      </c>
      <c r="B67" s="1" t="s">
        <v>1078</v>
      </c>
      <c r="C67" s="1" t="s">
        <v>1079</v>
      </c>
      <c r="D67" s="1" t="s">
        <v>1080</v>
      </c>
      <c r="E67" s="1" t="s">
        <v>49</v>
      </c>
      <c r="F67" s="1" t="s">
        <v>1081</v>
      </c>
      <c r="G67" s="1" t="s">
        <v>1082</v>
      </c>
      <c r="H67" s="1" t="s">
        <v>38</v>
      </c>
      <c r="I67" s="1" t="s">
        <v>25</v>
      </c>
      <c r="J67" s="1" t="s">
        <v>121</v>
      </c>
      <c r="K67" s="1" t="s">
        <v>40</v>
      </c>
      <c r="L67">
        <v>94122</v>
      </c>
      <c r="M67" s="1" t="s">
        <v>41</v>
      </c>
      <c r="N67" s="1" t="s">
        <v>1083</v>
      </c>
      <c r="O67" s="1" t="s">
        <v>43</v>
      </c>
      <c r="P67" s="1" t="s">
        <v>83</v>
      </c>
      <c r="Q67" s="1" t="s">
        <v>1084</v>
      </c>
      <c r="R67">
        <v>7.7119999999999997</v>
      </c>
      <c r="S67" s="1"/>
      <c r="T67" s="1" t="str">
        <f>IF(O67="Furniture","Cardbaord",O67)</f>
        <v>Office Supplies</v>
      </c>
      <c r="U67" s="1" t="str">
        <f>IF(O67="furniture","cardbaord",IF(O67="office supplies","OS",O67))</f>
        <v>OS</v>
      </c>
    </row>
    <row r="68" spans="1:21" x14ac:dyDescent="0.3">
      <c r="A68">
        <v>2388</v>
      </c>
      <c r="B68" s="1" t="s">
        <v>3472</v>
      </c>
      <c r="C68" s="1" t="s">
        <v>2050</v>
      </c>
      <c r="D68" s="1" t="s">
        <v>655</v>
      </c>
      <c r="E68" s="1" t="s">
        <v>169</v>
      </c>
      <c r="F68" s="1" t="s">
        <v>3473</v>
      </c>
      <c r="G68" s="1" t="s">
        <v>3474</v>
      </c>
      <c r="H68" s="1" t="s">
        <v>24</v>
      </c>
      <c r="I68" s="1" t="s">
        <v>25</v>
      </c>
      <c r="J68" s="1" t="s">
        <v>854</v>
      </c>
      <c r="K68" s="1" t="s">
        <v>40</v>
      </c>
      <c r="L68">
        <v>92105</v>
      </c>
      <c r="M68" s="1" t="s">
        <v>41</v>
      </c>
      <c r="N68" s="1" t="s">
        <v>3475</v>
      </c>
      <c r="O68" s="1" t="s">
        <v>43</v>
      </c>
      <c r="P68" s="1" t="s">
        <v>254</v>
      </c>
      <c r="Q68" s="1" t="s">
        <v>1502</v>
      </c>
      <c r="R68">
        <v>7.86</v>
      </c>
      <c r="S68" s="1"/>
      <c r="T68" s="1" t="str">
        <f>IF(O68="Furniture","Cardbaord",O68)</f>
        <v>Office Supplies</v>
      </c>
      <c r="U68" s="1" t="str">
        <f>IF(O68="furniture","cardbaord",IF(O68="office supplies","OS",O68))</f>
        <v>OS</v>
      </c>
    </row>
    <row r="69" spans="1:21" x14ac:dyDescent="0.3">
      <c r="A69">
        <v>1334</v>
      </c>
      <c r="B69" s="1" t="s">
        <v>2744</v>
      </c>
      <c r="C69" s="1" t="s">
        <v>2745</v>
      </c>
      <c r="D69" s="1" t="s">
        <v>2746</v>
      </c>
      <c r="E69" s="1" t="s">
        <v>49</v>
      </c>
      <c r="F69" s="1" t="s">
        <v>2747</v>
      </c>
      <c r="G69" s="1" t="s">
        <v>2748</v>
      </c>
      <c r="H69" s="1" t="s">
        <v>24</v>
      </c>
      <c r="I69" s="1" t="s">
        <v>25</v>
      </c>
      <c r="J69" s="1" t="s">
        <v>748</v>
      </c>
      <c r="K69" s="1" t="s">
        <v>92</v>
      </c>
      <c r="L69">
        <v>75220</v>
      </c>
      <c r="M69" s="1" t="s">
        <v>93</v>
      </c>
      <c r="N69" s="1" t="s">
        <v>2749</v>
      </c>
      <c r="O69" s="1" t="s">
        <v>43</v>
      </c>
      <c r="P69" s="1" t="s">
        <v>95</v>
      </c>
      <c r="Q69" s="1" t="s">
        <v>2750</v>
      </c>
      <c r="R69">
        <v>7.96</v>
      </c>
      <c r="S69" s="1"/>
      <c r="T69" s="1" t="str">
        <f>IF(O69="Furniture","Cardbaord",O69)</f>
        <v>Office Supplies</v>
      </c>
      <c r="U69" s="1" t="str">
        <f>IF(O69="furniture","cardbaord",IF(O69="office supplies","OS",O69))</f>
        <v>OS</v>
      </c>
    </row>
    <row r="70" spans="1:21" x14ac:dyDescent="0.3">
      <c r="A70">
        <v>2267</v>
      </c>
      <c r="B70" s="1" t="s">
        <v>3398</v>
      </c>
      <c r="C70" s="1" t="s">
        <v>3399</v>
      </c>
      <c r="D70" s="1" t="s">
        <v>3399</v>
      </c>
      <c r="E70" s="1" t="s">
        <v>1124</v>
      </c>
      <c r="F70" s="1" t="s">
        <v>3400</v>
      </c>
      <c r="G70" s="1" t="s">
        <v>3401</v>
      </c>
      <c r="H70" s="1" t="s">
        <v>90</v>
      </c>
      <c r="I70" s="1" t="s">
        <v>25</v>
      </c>
      <c r="J70" s="1" t="s">
        <v>672</v>
      </c>
      <c r="K70" s="1" t="s">
        <v>71</v>
      </c>
      <c r="L70">
        <v>28110</v>
      </c>
      <c r="M70" s="1" t="s">
        <v>28</v>
      </c>
      <c r="N70" s="1" t="s">
        <v>3402</v>
      </c>
      <c r="O70" s="1" t="s">
        <v>43</v>
      </c>
      <c r="P70" s="1" t="s">
        <v>73</v>
      </c>
      <c r="Q70" s="1" t="s">
        <v>3403</v>
      </c>
      <c r="R70">
        <v>7.968</v>
      </c>
      <c r="S70" s="1"/>
      <c r="T70" s="1" t="str">
        <f>IF(O70="Furniture","Cardbaord",O70)</f>
        <v>Office Supplies</v>
      </c>
      <c r="U70" s="1" t="str">
        <f>IF(O70="furniture","cardbaord",IF(O70="office supplies","OS",O70))</f>
        <v>OS</v>
      </c>
    </row>
    <row r="71" spans="1:21" x14ac:dyDescent="0.3">
      <c r="A71">
        <v>489</v>
      </c>
      <c r="B71" s="1" t="s">
        <v>1429</v>
      </c>
      <c r="C71" s="1" t="s">
        <v>58</v>
      </c>
      <c r="D71" s="1" t="s">
        <v>1430</v>
      </c>
      <c r="E71" s="1" t="s">
        <v>21</v>
      </c>
      <c r="F71" s="1" t="s">
        <v>1431</v>
      </c>
      <c r="G71" s="1" t="s">
        <v>1432</v>
      </c>
      <c r="H71" s="1" t="s">
        <v>90</v>
      </c>
      <c r="I71" s="1" t="s">
        <v>25</v>
      </c>
      <c r="J71" s="1" t="s">
        <v>1433</v>
      </c>
      <c r="K71" s="1" t="s">
        <v>92</v>
      </c>
      <c r="L71">
        <v>77340</v>
      </c>
      <c r="M71" s="1" t="s">
        <v>93</v>
      </c>
      <c r="N71" s="1" t="s">
        <v>1434</v>
      </c>
      <c r="O71" s="1" t="s">
        <v>174</v>
      </c>
      <c r="P71" s="1" t="s">
        <v>175</v>
      </c>
      <c r="Q71" s="1" t="s">
        <v>1435</v>
      </c>
      <c r="R71">
        <v>7.992</v>
      </c>
      <c r="S71" s="1"/>
      <c r="T71" s="1" t="str">
        <f>IF(O71="Furniture","Cardbaord",O71)</f>
        <v>Technology</v>
      </c>
      <c r="U71" s="1" t="str">
        <f>IF(O71="furniture","cardbaord",IF(O71="office supplies","OS",O71))</f>
        <v>Technology</v>
      </c>
    </row>
    <row r="72" spans="1:21" x14ac:dyDescent="0.3">
      <c r="A72">
        <v>5356</v>
      </c>
      <c r="B72" s="1" t="s">
        <v>4156</v>
      </c>
      <c r="C72" s="1" t="s">
        <v>108</v>
      </c>
      <c r="D72" s="1" t="s">
        <v>4157</v>
      </c>
      <c r="E72" s="1" t="s">
        <v>49</v>
      </c>
      <c r="F72" s="1" t="s">
        <v>4158</v>
      </c>
      <c r="G72" s="1" t="s">
        <v>4159</v>
      </c>
      <c r="H72" s="1" t="s">
        <v>38</v>
      </c>
      <c r="I72" s="1" t="s">
        <v>25</v>
      </c>
      <c r="J72" s="1" t="s">
        <v>39</v>
      </c>
      <c r="K72" s="1" t="s">
        <v>40</v>
      </c>
      <c r="L72">
        <v>90004</v>
      </c>
      <c r="M72" s="1" t="s">
        <v>41</v>
      </c>
      <c r="N72" s="1" t="s">
        <v>4160</v>
      </c>
      <c r="O72" s="1" t="s">
        <v>43</v>
      </c>
      <c r="P72" s="1" t="s">
        <v>73</v>
      </c>
      <c r="Q72" s="1" t="s">
        <v>4161</v>
      </c>
      <c r="R72">
        <v>8</v>
      </c>
      <c r="S72" s="1"/>
      <c r="T72" s="1" t="str">
        <f>IF(O72="Furniture","Cardbaord",O72)</f>
        <v>Office Supplies</v>
      </c>
      <c r="U72" s="1" t="str">
        <f>IF(O72="furniture","cardbaord",IF(O72="office supplies","OS",O72))</f>
        <v>OS</v>
      </c>
    </row>
    <row r="73" spans="1:21" x14ac:dyDescent="0.3">
      <c r="A73">
        <v>3028</v>
      </c>
      <c r="B73" s="1" t="s">
        <v>3684</v>
      </c>
      <c r="C73" s="1" t="s">
        <v>3685</v>
      </c>
      <c r="D73" s="1" t="s">
        <v>3685</v>
      </c>
      <c r="E73" s="1" t="s">
        <v>1124</v>
      </c>
      <c r="F73" s="1" t="s">
        <v>3686</v>
      </c>
      <c r="G73" s="1" t="s">
        <v>3687</v>
      </c>
      <c r="H73" s="1" t="s">
        <v>38</v>
      </c>
      <c r="I73" s="1" t="s">
        <v>25</v>
      </c>
      <c r="J73" s="1" t="s">
        <v>3688</v>
      </c>
      <c r="K73" s="1" t="s">
        <v>3689</v>
      </c>
      <c r="L73">
        <v>59102</v>
      </c>
      <c r="M73" s="1" t="s">
        <v>41</v>
      </c>
      <c r="N73" s="1" t="s">
        <v>3690</v>
      </c>
      <c r="O73" s="1" t="s">
        <v>43</v>
      </c>
      <c r="P73" s="1" t="s">
        <v>83</v>
      </c>
      <c r="Q73" s="1" t="s">
        <v>3691</v>
      </c>
      <c r="R73">
        <v>8.2880000000000003</v>
      </c>
      <c r="S73" s="1"/>
      <c r="T73" s="1" t="str">
        <f>IF(O73="Furniture","Cardbaord",O73)</f>
        <v>Office Supplies</v>
      </c>
      <c r="U73" s="1" t="str">
        <f>IF(O73="furniture","cardbaord",IF(O73="office supplies","OS",O73))</f>
        <v>OS</v>
      </c>
    </row>
    <row r="74" spans="1:21" x14ac:dyDescent="0.3">
      <c r="A74">
        <v>613</v>
      </c>
      <c r="B74" s="1" t="s">
        <v>1732</v>
      </c>
      <c r="C74" s="1" t="s">
        <v>405</v>
      </c>
      <c r="D74" s="1" t="s">
        <v>1733</v>
      </c>
      <c r="E74" s="1" t="s">
        <v>21</v>
      </c>
      <c r="F74" s="1" t="s">
        <v>1734</v>
      </c>
      <c r="G74" s="1" t="s">
        <v>1735</v>
      </c>
      <c r="H74" s="1" t="s">
        <v>38</v>
      </c>
      <c r="I74" s="1" t="s">
        <v>25</v>
      </c>
      <c r="J74" s="1" t="s">
        <v>139</v>
      </c>
      <c r="K74" s="1" t="s">
        <v>140</v>
      </c>
      <c r="L74">
        <v>19143</v>
      </c>
      <c r="M74" s="1" t="s">
        <v>141</v>
      </c>
      <c r="N74" s="1" t="s">
        <v>1736</v>
      </c>
      <c r="O74" s="1" t="s">
        <v>43</v>
      </c>
      <c r="P74" s="1" t="s">
        <v>73</v>
      </c>
      <c r="Q74" s="1" t="s">
        <v>1737</v>
      </c>
      <c r="R74">
        <v>8.4480000000000004</v>
      </c>
      <c r="S74" s="1"/>
      <c r="T74" s="1" t="str">
        <f>IF(O74="Furniture","Cardbaord",O74)</f>
        <v>Office Supplies</v>
      </c>
      <c r="U74" s="1" t="str">
        <f>IF(O74="furniture","cardbaord",IF(O74="office supplies","OS",O74))</f>
        <v>OS</v>
      </c>
    </row>
    <row r="75" spans="1:21" x14ac:dyDescent="0.3">
      <c r="A75">
        <v>19</v>
      </c>
      <c r="B75" s="1" t="s">
        <v>116</v>
      </c>
      <c r="C75" s="1" t="s">
        <v>117</v>
      </c>
      <c r="D75" s="1" t="s">
        <v>118</v>
      </c>
      <c r="E75" s="1" t="s">
        <v>21</v>
      </c>
      <c r="F75" s="1" t="s">
        <v>119</v>
      </c>
      <c r="G75" s="1" t="s">
        <v>120</v>
      </c>
      <c r="H75" s="1" t="s">
        <v>24</v>
      </c>
      <c r="I75" s="1" t="s">
        <v>25</v>
      </c>
      <c r="J75" s="1" t="s">
        <v>121</v>
      </c>
      <c r="K75" s="1" t="s">
        <v>40</v>
      </c>
      <c r="L75">
        <v>94109</v>
      </c>
      <c r="M75" s="1" t="s">
        <v>41</v>
      </c>
      <c r="N75" s="1" t="s">
        <v>122</v>
      </c>
      <c r="O75" s="1" t="s">
        <v>43</v>
      </c>
      <c r="P75" s="1" t="s">
        <v>123</v>
      </c>
      <c r="Q75" s="1" t="s">
        <v>124</v>
      </c>
      <c r="R75">
        <v>8.56</v>
      </c>
      <c r="S75" s="1"/>
      <c r="T75" s="1" t="str">
        <f>IF(O75="Furniture","Cardbaord",O75)</f>
        <v>Office Supplies</v>
      </c>
      <c r="U75" s="1" t="str">
        <f>IF(O75="furniture","cardbaord",IF(O75="office supplies","OS",O75))</f>
        <v>OS</v>
      </c>
    </row>
    <row r="76" spans="1:21" x14ac:dyDescent="0.3">
      <c r="A76">
        <v>1073</v>
      </c>
      <c r="B76" s="1" t="s">
        <v>2483</v>
      </c>
      <c r="C76" s="1" t="s">
        <v>1739</v>
      </c>
      <c r="D76" s="1" t="s">
        <v>1567</v>
      </c>
      <c r="E76" s="1" t="s">
        <v>49</v>
      </c>
      <c r="F76" s="1" t="s">
        <v>2484</v>
      </c>
      <c r="G76" s="1" t="s">
        <v>2485</v>
      </c>
      <c r="H76" s="1" t="s">
        <v>24</v>
      </c>
      <c r="I76" s="1" t="s">
        <v>25</v>
      </c>
      <c r="J76" s="1" t="s">
        <v>251</v>
      </c>
      <c r="K76" s="1" t="s">
        <v>252</v>
      </c>
      <c r="L76">
        <v>10035</v>
      </c>
      <c r="M76" s="1" t="s">
        <v>141</v>
      </c>
      <c r="N76" s="1" t="s">
        <v>2486</v>
      </c>
      <c r="O76" s="1" t="s">
        <v>43</v>
      </c>
      <c r="P76" s="1" t="s">
        <v>83</v>
      </c>
      <c r="Q76" s="1" t="s">
        <v>2487</v>
      </c>
      <c r="R76">
        <v>8.64</v>
      </c>
      <c r="S76" s="1"/>
      <c r="T76" s="1" t="str">
        <f>IF(O76="Furniture","Cardbaord",O76)</f>
        <v>Office Supplies</v>
      </c>
      <c r="U76" s="1" t="str">
        <f>IF(O76="furniture","cardbaord",IF(O76="office supplies","OS",O76))</f>
        <v>OS</v>
      </c>
    </row>
    <row r="77" spans="1:21" x14ac:dyDescent="0.3">
      <c r="A77">
        <v>379</v>
      </c>
      <c r="B77" s="1" t="s">
        <v>1161</v>
      </c>
      <c r="C77" s="1" t="s">
        <v>1162</v>
      </c>
      <c r="D77" s="1" t="s">
        <v>273</v>
      </c>
      <c r="E77" s="1" t="s">
        <v>49</v>
      </c>
      <c r="F77" s="1" t="s">
        <v>1163</v>
      </c>
      <c r="G77" s="1" t="s">
        <v>1164</v>
      </c>
      <c r="H77" s="1" t="s">
        <v>24</v>
      </c>
      <c r="I77" s="1" t="s">
        <v>25</v>
      </c>
      <c r="J77" s="1" t="s">
        <v>164</v>
      </c>
      <c r="K77" s="1" t="s">
        <v>92</v>
      </c>
      <c r="L77">
        <v>77095</v>
      </c>
      <c r="M77" s="1" t="s">
        <v>93</v>
      </c>
      <c r="N77" s="1" t="s">
        <v>1165</v>
      </c>
      <c r="O77" s="1" t="s">
        <v>43</v>
      </c>
      <c r="P77" s="1" t="s">
        <v>95</v>
      </c>
      <c r="Q77" s="1" t="s">
        <v>1166</v>
      </c>
      <c r="R77">
        <v>8.6519999999999992</v>
      </c>
      <c r="S77" s="1"/>
      <c r="T77" s="1" t="str">
        <f>IF(O77="Furniture","Cardbaord",O77)</f>
        <v>Office Supplies</v>
      </c>
      <c r="U77" s="1" t="str">
        <f>IF(O77="furniture","cardbaord",IF(O77="office supplies","OS",O77))</f>
        <v>OS</v>
      </c>
    </row>
    <row r="78" spans="1:21" x14ac:dyDescent="0.3">
      <c r="A78">
        <v>622</v>
      </c>
      <c r="B78" s="1" t="s">
        <v>1752</v>
      </c>
      <c r="C78" s="1" t="s">
        <v>496</v>
      </c>
      <c r="D78" s="1" t="s">
        <v>1753</v>
      </c>
      <c r="E78" s="1" t="s">
        <v>49</v>
      </c>
      <c r="F78" s="1" t="s">
        <v>1754</v>
      </c>
      <c r="G78" s="1" t="s">
        <v>1755</v>
      </c>
      <c r="H78" s="1" t="s">
        <v>24</v>
      </c>
      <c r="I78" s="1" t="s">
        <v>25</v>
      </c>
      <c r="J78" s="1" t="s">
        <v>276</v>
      </c>
      <c r="K78" s="1" t="s">
        <v>191</v>
      </c>
      <c r="L78">
        <v>60610</v>
      </c>
      <c r="M78" s="1" t="s">
        <v>93</v>
      </c>
      <c r="N78" s="1" t="s">
        <v>1756</v>
      </c>
      <c r="O78" s="1" t="s">
        <v>43</v>
      </c>
      <c r="P78" s="1" t="s">
        <v>83</v>
      </c>
      <c r="Q78" s="1" t="s">
        <v>1757</v>
      </c>
      <c r="R78">
        <v>8.69</v>
      </c>
      <c r="S78" s="1"/>
      <c r="T78" s="1" t="str">
        <f>IF(O78="Furniture","Cardbaord",O78)</f>
        <v>Office Supplies</v>
      </c>
      <c r="U78" s="1" t="str">
        <f>IF(O78="furniture","cardbaord",IF(O78="office supplies","OS",O78))</f>
        <v>OS</v>
      </c>
    </row>
    <row r="79" spans="1:21" x14ac:dyDescent="0.3">
      <c r="A79">
        <v>580</v>
      </c>
      <c r="B79" s="1" t="s">
        <v>1647</v>
      </c>
      <c r="C79" s="1" t="s">
        <v>1648</v>
      </c>
      <c r="D79" s="1" t="s">
        <v>1649</v>
      </c>
      <c r="E79" s="1" t="s">
        <v>49</v>
      </c>
      <c r="F79" s="1" t="s">
        <v>1650</v>
      </c>
      <c r="G79" s="1" t="s">
        <v>1651</v>
      </c>
      <c r="H79" s="1" t="s">
        <v>24</v>
      </c>
      <c r="I79" s="1" t="s">
        <v>25</v>
      </c>
      <c r="J79" s="1" t="s">
        <v>276</v>
      </c>
      <c r="K79" s="1" t="s">
        <v>191</v>
      </c>
      <c r="L79">
        <v>60610</v>
      </c>
      <c r="M79" s="1" t="s">
        <v>93</v>
      </c>
      <c r="N79" s="1" t="s">
        <v>1652</v>
      </c>
      <c r="O79" s="1" t="s">
        <v>30</v>
      </c>
      <c r="P79" s="1" t="s">
        <v>63</v>
      </c>
      <c r="Q79" s="1" t="s">
        <v>1653</v>
      </c>
      <c r="R79">
        <v>8.7919999999999998</v>
      </c>
      <c r="S79" s="1"/>
      <c r="T79" s="1" t="str">
        <f>IF(O79="Furniture","Cardbaord",O79)</f>
        <v>Cardbaord</v>
      </c>
      <c r="U79" s="1" t="str">
        <f>IF(O79="furniture","cardbaord",IF(O79="office supplies","OS",O79))</f>
        <v>cardbaord</v>
      </c>
    </row>
    <row r="80" spans="1:21" x14ac:dyDescent="0.3">
      <c r="A80">
        <v>142</v>
      </c>
      <c r="B80" s="1" t="s">
        <v>538</v>
      </c>
      <c r="C80" s="1" t="s">
        <v>539</v>
      </c>
      <c r="D80" s="1" t="s">
        <v>203</v>
      </c>
      <c r="E80" s="1" t="s">
        <v>49</v>
      </c>
      <c r="F80" s="1" t="s">
        <v>540</v>
      </c>
      <c r="G80" s="1" t="s">
        <v>541</v>
      </c>
      <c r="H80" s="1" t="s">
        <v>38</v>
      </c>
      <c r="I80" s="1" t="s">
        <v>25</v>
      </c>
      <c r="J80" s="1" t="s">
        <v>121</v>
      </c>
      <c r="K80" s="1" t="s">
        <v>40</v>
      </c>
      <c r="L80">
        <v>94122</v>
      </c>
      <c r="M80" s="1" t="s">
        <v>41</v>
      </c>
      <c r="N80" s="1" t="s">
        <v>542</v>
      </c>
      <c r="O80" s="1" t="s">
        <v>43</v>
      </c>
      <c r="P80" s="1" t="s">
        <v>123</v>
      </c>
      <c r="Q80" s="1" t="s">
        <v>543</v>
      </c>
      <c r="R80">
        <v>8.82</v>
      </c>
      <c r="S80" s="1"/>
      <c r="T80" s="1" t="str">
        <f>IF(O80="Furniture","Cardbaord",O80)</f>
        <v>Office Supplies</v>
      </c>
      <c r="U80" s="1" t="str">
        <f>IF(O80="furniture","cardbaord",IF(O80="office supplies","OS",O80))</f>
        <v>OS</v>
      </c>
    </row>
    <row r="81" spans="1:21" x14ac:dyDescent="0.3">
      <c r="A81">
        <v>275</v>
      </c>
      <c r="B81" s="1" t="s">
        <v>932</v>
      </c>
      <c r="C81" s="1" t="s">
        <v>933</v>
      </c>
      <c r="D81" s="1" t="s">
        <v>934</v>
      </c>
      <c r="E81" s="1" t="s">
        <v>169</v>
      </c>
      <c r="F81" s="1" t="s">
        <v>935</v>
      </c>
      <c r="G81" s="1" t="s">
        <v>936</v>
      </c>
      <c r="H81" s="1" t="s">
        <v>38</v>
      </c>
      <c r="I81" s="1" t="s">
        <v>25</v>
      </c>
      <c r="J81" s="1" t="s">
        <v>937</v>
      </c>
      <c r="K81" s="1" t="s">
        <v>40</v>
      </c>
      <c r="L81">
        <v>90301</v>
      </c>
      <c r="M81" s="1" t="s">
        <v>41</v>
      </c>
      <c r="N81" s="1" t="s">
        <v>938</v>
      </c>
      <c r="O81" s="1" t="s">
        <v>43</v>
      </c>
      <c r="P81" s="1" t="s">
        <v>73</v>
      </c>
      <c r="Q81" s="1" t="s">
        <v>939</v>
      </c>
      <c r="R81">
        <v>8.82</v>
      </c>
      <c r="S81" s="1"/>
      <c r="T81" s="1" t="str">
        <f>IF(O81="Furniture","Cardbaord",O81)</f>
        <v>Office Supplies</v>
      </c>
      <c r="U81" s="1" t="str">
        <f>IF(O81="furniture","cardbaord",IF(O81="office supplies","OS",O81))</f>
        <v>OS</v>
      </c>
    </row>
    <row r="82" spans="1:21" x14ac:dyDescent="0.3">
      <c r="A82">
        <v>575</v>
      </c>
      <c r="B82" s="1" t="s">
        <v>1634</v>
      </c>
      <c r="C82" s="1" t="s">
        <v>458</v>
      </c>
      <c r="D82" s="1" t="s">
        <v>620</v>
      </c>
      <c r="E82" s="1" t="s">
        <v>49</v>
      </c>
      <c r="F82" s="1" t="s">
        <v>1635</v>
      </c>
      <c r="G82" s="1" t="s">
        <v>1636</v>
      </c>
      <c r="H82" s="1" t="s">
        <v>24</v>
      </c>
      <c r="I82" s="1" t="s">
        <v>25</v>
      </c>
      <c r="J82" s="1" t="s">
        <v>1637</v>
      </c>
      <c r="K82" s="1" t="s">
        <v>81</v>
      </c>
      <c r="L82">
        <v>98270</v>
      </c>
      <c r="M82" s="1" t="s">
        <v>41</v>
      </c>
      <c r="N82" s="1" t="s">
        <v>1638</v>
      </c>
      <c r="O82" s="1" t="s">
        <v>43</v>
      </c>
      <c r="P82" s="1" t="s">
        <v>123</v>
      </c>
      <c r="Q82" s="1" t="s">
        <v>1639</v>
      </c>
      <c r="R82">
        <v>8.82</v>
      </c>
      <c r="S82" s="1"/>
      <c r="T82" s="1" t="str">
        <f>IF(O82="Furniture","Cardbaord",O82)</f>
        <v>Office Supplies</v>
      </c>
      <c r="U82" s="1" t="str">
        <f>IF(O82="furniture","cardbaord",IF(O82="office supplies","OS",O82))</f>
        <v>OS</v>
      </c>
    </row>
    <row r="83" spans="1:21" x14ac:dyDescent="0.3">
      <c r="A83">
        <v>4145</v>
      </c>
      <c r="B83" s="1" t="s">
        <v>3982</v>
      </c>
      <c r="C83" s="1" t="s">
        <v>2030</v>
      </c>
      <c r="D83" s="1" t="s">
        <v>3983</v>
      </c>
      <c r="E83" s="1" t="s">
        <v>49</v>
      </c>
      <c r="F83" s="1" t="s">
        <v>3984</v>
      </c>
      <c r="G83" s="1" t="s">
        <v>3985</v>
      </c>
      <c r="H83" s="1" t="s">
        <v>90</v>
      </c>
      <c r="I83" s="1" t="s">
        <v>25</v>
      </c>
      <c r="J83" s="1" t="s">
        <v>121</v>
      </c>
      <c r="K83" s="1" t="s">
        <v>40</v>
      </c>
      <c r="L83">
        <v>94110</v>
      </c>
      <c r="M83" s="1" t="s">
        <v>41</v>
      </c>
      <c r="N83" s="1" t="s">
        <v>3986</v>
      </c>
      <c r="O83" s="1" t="s">
        <v>43</v>
      </c>
      <c r="P83" s="1" t="s">
        <v>123</v>
      </c>
      <c r="Q83" s="1" t="s">
        <v>3987</v>
      </c>
      <c r="R83">
        <v>8.82</v>
      </c>
      <c r="S83" s="1"/>
      <c r="T83" s="1" t="str">
        <f>IF(O83="Furniture","Cardbaord",O83)</f>
        <v>Office Supplies</v>
      </c>
      <c r="U83" s="1" t="str">
        <f>IF(O83="furniture","cardbaord",IF(O83="office supplies","OS",O83))</f>
        <v>OS</v>
      </c>
    </row>
    <row r="84" spans="1:21" x14ac:dyDescent="0.3">
      <c r="A84">
        <v>1044</v>
      </c>
      <c r="B84" s="1" t="s">
        <v>2451</v>
      </c>
      <c r="C84" s="1" t="s">
        <v>2452</v>
      </c>
      <c r="D84" s="1" t="s">
        <v>1087</v>
      </c>
      <c r="E84" s="1" t="s">
        <v>169</v>
      </c>
      <c r="F84" s="1" t="s">
        <v>2453</v>
      </c>
      <c r="G84" s="1" t="s">
        <v>2454</v>
      </c>
      <c r="H84" s="1" t="s">
        <v>38</v>
      </c>
      <c r="I84" s="1" t="s">
        <v>25</v>
      </c>
      <c r="J84" s="1" t="s">
        <v>276</v>
      </c>
      <c r="K84" s="1" t="s">
        <v>191</v>
      </c>
      <c r="L84">
        <v>60610</v>
      </c>
      <c r="M84" s="1" t="s">
        <v>93</v>
      </c>
      <c r="N84" s="1" t="s">
        <v>2455</v>
      </c>
      <c r="O84" s="1" t="s">
        <v>43</v>
      </c>
      <c r="P84" s="1" t="s">
        <v>123</v>
      </c>
      <c r="Q84" s="1" t="s">
        <v>2456</v>
      </c>
      <c r="R84">
        <v>8.84</v>
      </c>
      <c r="S84" s="1"/>
      <c r="T84" s="1" t="str">
        <f>IF(O84="Furniture","Cardbaord",O84)</f>
        <v>Office Supplies</v>
      </c>
      <c r="U84" s="1" t="str">
        <f>IF(O84="furniture","cardbaord",IF(O84="office supplies","OS",O84))</f>
        <v>OS</v>
      </c>
    </row>
    <row r="85" spans="1:21" x14ac:dyDescent="0.3">
      <c r="A85">
        <v>900</v>
      </c>
      <c r="B85" s="1" t="s">
        <v>2239</v>
      </c>
      <c r="C85" s="1" t="s">
        <v>360</v>
      </c>
      <c r="D85" s="1" t="s">
        <v>2240</v>
      </c>
      <c r="E85" s="1" t="s">
        <v>169</v>
      </c>
      <c r="F85" s="1" t="s">
        <v>2241</v>
      </c>
      <c r="G85" s="1" t="s">
        <v>2242</v>
      </c>
      <c r="H85" s="1" t="s">
        <v>38</v>
      </c>
      <c r="I85" s="1" t="s">
        <v>25</v>
      </c>
      <c r="J85" s="1" t="s">
        <v>293</v>
      </c>
      <c r="K85" s="1" t="s">
        <v>471</v>
      </c>
      <c r="L85">
        <v>45503</v>
      </c>
      <c r="M85" s="1" t="s">
        <v>141</v>
      </c>
      <c r="N85" s="1" t="s">
        <v>2243</v>
      </c>
      <c r="O85" s="1" t="s">
        <v>43</v>
      </c>
      <c r="P85" s="1" t="s">
        <v>83</v>
      </c>
      <c r="Q85" s="1" t="s">
        <v>2244</v>
      </c>
      <c r="R85">
        <v>8.9039999999999999</v>
      </c>
      <c r="S85" s="1"/>
      <c r="T85" s="1" t="str">
        <f>IF(O85="Furniture","Cardbaord",O85)</f>
        <v>Office Supplies</v>
      </c>
      <c r="U85" s="1" t="str">
        <f>IF(O85="furniture","cardbaord",IF(O85="office supplies","OS",O85))</f>
        <v>OS</v>
      </c>
    </row>
    <row r="86" spans="1:21" x14ac:dyDescent="0.3">
      <c r="A86">
        <v>482</v>
      </c>
      <c r="B86" s="1" t="s">
        <v>1402</v>
      </c>
      <c r="C86" s="1" t="s">
        <v>1403</v>
      </c>
      <c r="D86" s="1" t="s">
        <v>1404</v>
      </c>
      <c r="E86" s="1" t="s">
        <v>49</v>
      </c>
      <c r="F86" s="1" t="s">
        <v>1405</v>
      </c>
      <c r="G86" s="1" t="s">
        <v>1406</v>
      </c>
      <c r="H86" s="1" t="s">
        <v>24</v>
      </c>
      <c r="I86" s="1" t="s">
        <v>25</v>
      </c>
      <c r="J86" s="1" t="s">
        <v>854</v>
      </c>
      <c r="K86" s="1" t="s">
        <v>40</v>
      </c>
      <c r="L86">
        <v>92024</v>
      </c>
      <c r="M86" s="1" t="s">
        <v>41</v>
      </c>
      <c r="N86" s="1" t="s">
        <v>1407</v>
      </c>
      <c r="O86" s="1" t="s">
        <v>174</v>
      </c>
      <c r="P86" s="1" t="s">
        <v>217</v>
      </c>
      <c r="Q86" s="1" t="s">
        <v>1408</v>
      </c>
      <c r="R86">
        <v>9.09</v>
      </c>
      <c r="S86" s="1"/>
      <c r="T86" s="1" t="str">
        <f>IF(O86="Furniture","Cardbaord",O86)</f>
        <v>Technology</v>
      </c>
      <c r="U86" s="1" t="str">
        <f>IF(O86="furniture","cardbaord",IF(O86="office supplies","OS",O86))</f>
        <v>Technology</v>
      </c>
    </row>
    <row r="87" spans="1:21" x14ac:dyDescent="0.3">
      <c r="A87">
        <v>593</v>
      </c>
      <c r="B87" s="1" t="s">
        <v>1684</v>
      </c>
      <c r="C87" s="1" t="s">
        <v>1685</v>
      </c>
      <c r="D87" s="1" t="s">
        <v>1686</v>
      </c>
      <c r="E87" s="1" t="s">
        <v>49</v>
      </c>
      <c r="F87" s="1" t="s">
        <v>1687</v>
      </c>
      <c r="G87" s="1" t="s">
        <v>1688</v>
      </c>
      <c r="H87" s="1" t="s">
        <v>24</v>
      </c>
      <c r="I87" s="1" t="s">
        <v>25</v>
      </c>
      <c r="J87" s="1" t="s">
        <v>1689</v>
      </c>
      <c r="K87" s="1" t="s">
        <v>92</v>
      </c>
      <c r="L87">
        <v>78041</v>
      </c>
      <c r="M87" s="1" t="s">
        <v>93</v>
      </c>
      <c r="N87" s="1" t="s">
        <v>1690</v>
      </c>
      <c r="O87" s="1" t="s">
        <v>43</v>
      </c>
      <c r="P87" s="1" t="s">
        <v>123</v>
      </c>
      <c r="Q87" s="1" t="s">
        <v>1691</v>
      </c>
      <c r="R87">
        <v>9.3439999999999994</v>
      </c>
      <c r="S87" s="1"/>
      <c r="T87" s="1" t="str">
        <f>IF(O87="Furniture","Cardbaord",O87)</f>
        <v>Office Supplies</v>
      </c>
      <c r="U87" s="1" t="str">
        <f>IF(O87="furniture","cardbaord",IF(O87="office supplies","OS",O87))</f>
        <v>OS</v>
      </c>
    </row>
    <row r="88" spans="1:21" x14ac:dyDescent="0.3">
      <c r="A88">
        <v>1557</v>
      </c>
      <c r="B88" s="1" t="s">
        <v>2937</v>
      </c>
      <c r="C88" s="1" t="s">
        <v>1442</v>
      </c>
      <c r="D88" s="1" t="s">
        <v>2938</v>
      </c>
      <c r="E88" s="1" t="s">
        <v>49</v>
      </c>
      <c r="F88" s="1" t="s">
        <v>2939</v>
      </c>
      <c r="G88" s="1" t="s">
        <v>2940</v>
      </c>
      <c r="H88" s="1" t="s">
        <v>24</v>
      </c>
      <c r="I88" s="1" t="s">
        <v>25</v>
      </c>
      <c r="J88" s="1" t="s">
        <v>139</v>
      </c>
      <c r="K88" s="1" t="s">
        <v>140</v>
      </c>
      <c r="L88">
        <v>19140</v>
      </c>
      <c r="M88" s="1" t="s">
        <v>141</v>
      </c>
      <c r="N88" s="1" t="s">
        <v>2941</v>
      </c>
      <c r="O88" s="1" t="s">
        <v>43</v>
      </c>
      <c r="P88" s="1" t="s">
        <v>183</v>
      </c>
      <c r="Q88" s="1" t="s">
        <v>618</v>
      </c>
      <c r="R88">
        <v>9.3439999999999994</v>
      </c>
      <c r="S88" s="1"/>
      <c r="T88" s="1" t="str">
        <f>IF(O88="Furniture","Cardbaord",O88)</f>
        <v>Office Supplies</v>
      </c>
      <c r="U88" s="1" t="str">
        <f>IF(O88="furniture","cardbaord",IF(O88="office supplies","OS",O88))</f>
        <v>OS</v>
      </c>
    </row>
    <row r="89" spans="1:21" x14ac:dyDescent="0.3">
      <c r="A89">
        <v>4238</v>
      </c>
      <c r="B89" s="1" t="s">
        <v>4006</v>
      </c>
      <c r="C89" s="1" t="s">
        <v>4007</v>
      </c>
      <c r="D89" s="1" t="s">
        <v>1546</v>
      </c>
      <c r="E89" s="1" t="s">
        <v>21</v>
      </c>
      <c r="F89" s="1" t="s">
        <v>4008</v>
      </c>
      <c r="G89" s="1" t="s">
        <v>4009</v>
      </c>
      <c r="H89" s="1" t="s">
        <v>38</v>
      </c>
      <c r="I89" s="1" t="s">
        <v>25</v>
      </c>
      <c r="J89" s="1" t="s">
        <v>139</v>
      </c>
      <c r="K89" s="1" t="s">
        <v>140</v>
      </c>
      <c r="L89">
        <v>19134</v>
      </c>
      <c r="M89" s="1" t="s">
        <v>141</v>
      </c>
      <c r="N89" s="1" t="s">
        <v>4010</v>
      </c>
      <c r="O89" s="1" t="s">
        <v>43</v>
      </c>
      <c r="P89" s="1" t="s">
        <v>123</v>
      </c>
      <c r="Q89" s="1" t="s">
        <v>4011</v>
      </c>
      <c r="R89">
        <v>9.4079999999999995</v>
      </c>
      <c r="S89" s="1"/>
      <c r="T89" s="1" t="str">
        <f>IF(O89="Furniture","Cardbaord",O89)</f>
        <v>Office Supplies</v>
      </c>
      <c r="U89" s="1" t="str">
        <f>IF(O89="furniture","cardbaord",IF(O89="office supplies","OS",O89))</f>
        <v>OS</v>
      </c>
    </row>
    <row r="90" spans="1:21" x14ac:dyDescent="0.3">
      <c r="A90">
        <v>403</v>
      </c>
      <c r="B90" s="1" t="s">
        <v>1246</v>
      </c>
      <c r="C90" s="1" t="s">
        <v>1247</v>
      </c>
      <c r="D90" s="1" t="s">
        <v>496</v>
      </c>
      <c r="E90" s="1" t="s">
        <v>169</v>
      </c>
      <c r="F90" s="1" t="s">
        <v>1248</v>
      </c>
      <c r="G90" s="1" t="s">
        <v>1249</v>
      </c>
      <c r="H90" s="1" t="s">
        <v>24</v>
      </c>
      <c r="I90" s="1" t="s">
        <v>25</v>
      </c>
      <c r="J90" s="1" t="s">
        <v>1250</v>
      </c>
      <c r="K90" s="1" t="s">
        <v>53</v>
      </c>
      <c r="L90">
        <v>33180</v>
      </c>
      <c r="M90" s="1" t="s">
        <v>28</v>
      </c>
      <c r="N90" s="1" t="s">
        <v>1251</v>
      </c>
      <c r="O90" s="1" t="s">
        <v>43</v>
      </c>
      <c r="P90" s="1" t="s">
        <v>73</v>
      </c>
      <c r="Q90" s="1" t="s">
        <v>1252</v>
      </c>
      <c r="R90">
        <v>9.5679999999999996</v>
      </c>
      <c r="S90" s="1"/>
      <c r="T90" s="1" t="str">
        <f>IF(O90="Furniture","Cardbaord",O90)</f>
        <v>Office Supplies</v>
      </c>
      <c r="U90" s="1" t="str">
        <f>IF(O90="furniture","cardbaord",IF(O90="office supplies","OS",O90))</f>
        <v>OS</v>
      </c>
    </row>
    <row r="91" spans="1:21" x14ac:dyDescent="0.3">
      <c r="A91">
        <v>4909</v>
      </c>
      <c r="B91" s="1" t="s">
        <v>4104</v>
      </c>
      <c r="C91" s="1" t="s">
        <v>99</v>
      </c>
      <c r="D91" s="1" t="s">
        <v>4105</v>
      </c>
      <c r="E91" s="1" t="s">
        <v>21</v>
      </c>
      <c r="F91" s="1" t="s">
        <v>4106</v>
      </c>
      <c r="G91" s="1" t="s">
        <v>4107</v>
      </c>
      <c r="H91" s="1" t="s">
        <v>24</v>
      </c>
      <c r="I91" s="1" t="s">
        <v>25</v>
      </c>
      <c r="J91" s="1" t="s">
        <v>681</v>
      </c>
      <c r="K91" s="1" t="s">
        <v>471</v>
      </c>
      <c r="L91">
        <v>45014</v>
      </c>
      <c r="M91" s="1" t="s">
        <v>141</v>
      </c>
      <c r="N91" s="1" t="s">
        <v>4108</v>
      </c>
      <c r="O91" s="1" t="s">
        <v>174</v>
      </c>
      <c r="P91" s="1" t="s">
        <v>175</v>
      </c>
      <c r="Q91" s="1" t="s">
        <v>4109</v>
      </c>
      <c r="R91">
        <v>9.5879999999999992</v>
      </c>
      <c r="S91" s="1"/>
      <c r="T91" s="1" t="str">
        <f>IF(O91="Furniture","Cardbaord",O91)</f>
        <v>Technology</v>
      </c>
      <c r="U91" s="1" t="str">
        <f>IF(O91="furniture","cardbaord",IF(O91="office supplies","OS",O91))</f>
        <v>Technology</v>
      </c>
    </row>
    <row r="92" spans="1:21" x14ac:dyDescent="0.3">
      <c r="A92">
        <v>838</v>
      </c>
      <c r="B92" s="1" t="s">
        <v>2115</v>
      </c>
      <c r="C92" s="1" t="s">
        <v>1862</v>
      </c>
      <c r="D92" s="1" t="s">
        <v>391</v>
      </c>
      <c r="E92" s="1" t="s">
        <v>49</v>
      </c>
      <c r="F92" s="1" t="s">
        <v>2116</v>
      </c>
      <c r="G92" s="1" t="s">
        <v>2117</v>
      </c>
      <c r="H92" s="1" t="s">
        <v>90</v>
      </c>
      <c r="I92" s="1" t="s">
        <v>25</v>
      </c>
      <c r="J92" s="1" t="s">
        <v>815</v>
      </c>
      <c r="K92" s="1" t="s">
        <v>310</v>
      </c>
      <c r="L92">
        <v>38401</v>
      </c>
      <c r="M92" s="1" t="s">
        <v>28</v>
      </c>
      <c r="N92" s="1" t="s">
        <v>2118</v>
      </c>
      <c r="O92" s="1" t="s">
        <v>43</v>
      </c>
      <c r="P92" s="1" t="s">
        <v>73</v>
      </c>
      <c r="Q92" s="1" t="s">
        <v>2119</v>
      </c>
      <c r="R92">
        <v>9.6639999999999997</v>
      </c>
      <c r="S92" s="1"/>
      <c r="T92" s="1" t="str">
        <f>IF(O92="Furniture","Cardbaord",O92)</f>
        <v>Office Supplies</v>
      </c>
      <c r="U92" s="1" t="str">
        <f>IF(O92="furniture","cardbaord",IF(O92="office supplies","OS",O92))</f>
        <v>OS</v>
      </c>
    </row>
    <row r="93" spans="1:21" x14ac:dyDescent="0.3">
      <c r="A93">
        <v>965</v>
      </c>
      <c r="B93" s="1" t="s">
        <v>2328</v>
      </c>
      <c r="C93" s="1" t="s">
        <v>2329</v>
      </c>
      <c r="D93" s="1" t="s">
        <v>2330</v>
      </c>
      <c r="E93" s="1" t="s">
        <v>169</v>
      </c>
      <c r="F93" s="1" t="s">
        <v>2331</v>
      </c>
      <c r="G93" s="1" t="s">
        <v>2332</v>
      </c>
      <c r="H93" s="1" t="s">
        <v>90</v>
      </c>
      <c r="I93" s="1" t="s">
        <v>25</v>
      </c>
      <c r="J93" s="1" t="s">
        <v>251</v>
      </c>
      <c r="K93" s="1" t="s">
        <v>252</v>
      </c>
      <c r="L93">
        <v>10011</v>
      </c>
      <c r="M93" s="1" t="s">
        <v>141</v>
      </c>
      <c r="N93" s="1" t="s">
        <v>2333</v>
      </c>
      <c r="O93" s="1" t="s">
        <v>43</v>
      </c>
      <c r="P93" s="1" t="s">
        <v>44</v>
      </c>
      <c r="Q93" s="1" t="s">
        <v>2334</v>
      </c>
      <c r="R93">
        <v>9.82</v>
      </c>
      <c r="S93" s="1"/>
      <c r="T93" s="1" t="str">
        <f>IF(O93="Furniture","Cardbaord",O93)</f>
        <v>Office Supplies</v>
      </c>
      <c r="U93" s="1" t="str">
        <f>IF(O93="furniture","cardbaord",IF(O93="office supplies","OS",O93))</f>
        <v>OS</v>
      </c>
    </row>
    <row r="94" spans="1:21" x14ac:dyDescent="0.3">
      <c r="A94">
        <v>165</v>
      </c>
      <c r="B94" s="1" t="s">
        <v>625</v>
      </c>
      <c r="C94" s="1" t="s">
        <v>626</v>
      </c>
      <c r="D94" s="1" t="s">
        <v>627</v>
      </c>
      <c r="E94" s="1" t="s">
        <v>49</v>
      </c>
      <c r="F94" s="1" t="s">
        <v>628</v>
      </c>
      <c r="G94" s="1" t="s">
        <v>629</v>
      </c>
      <c r="H94" s="1" t="s">
        <v>24</v>
      </c>
      <c r="I94" s="1" t="s">
        <v>25</v>
      </c>
      <c r="J94" s="1" t="s">
        <v>630</v>
      </c>
      <c r="K94" s="1" t="s">
        <v>92</v>
      </c>
      <c r="L94">
        <v>78207</v>
      </c>
      <c r="M94" s="1" t="s">
        <v>93</v>
      </c>
      <c r="N94" s="1" t="s">
        <v>631</v>
      </c>
      <c r="O94" s="1" t="s">
        <v>43</v>
      </c>
      <c r="P94" s="1" t="s">
        <v>123</v>
      </c>
      <c r="Q94" s="1" t="s">
        <v>632</v>
      </c>
      <c r="R94">
        <v>9.9359999999999999</v>
      </c>
      <c r="S94" s="1"/>
      <c r="T94" s="1" t="str">
        <f>IF(O94="Furniture","Cardbaord",O94)</f>
        <v>Office Supplies</v>
      </c>
      <c r="U94" s="1" t="str">
        <f>IF(O94="furniture","cardbaord",IF(O94="office supplies","OS",O94))</f>
        <v>OS</v>
      </c>
    </row>
    <row r="95" spans="1:21" x14ac:dyDescent="0.3">
      <c r="A95">
        <v>794</v>
      </c>
      <c r="B95" s="1" t="s">
        <v>2064</v>
      </c>
      <c r="C95" s="1" t="s">
        <v>503</v>
      </c>
      <c r="D95" s="1" t="s">
        <v>2065</v>
      </c>
      <c r="E95" s="1" t="s">
        <v>49</v>
      </c>
      <c r="F95" s="1" t="s">
        <v>2066</v>
      </c>
      <c r="G95" s="1" t="s">
        <v>2067</v>
      </c>
      <c r="H95" s="1" t="s">
        <v>24</v>
      </c>
      <c r="I95" s="1" t="s">
        <v>25</v>
      </c>
      <c r="J95" s="1" t="s">
        <v>121</v>
      </c>
      <c r="K95" s="1" t="s">
        <v>40</v>
      </c>
      <c r="L95">
        <v>94110</v>
      </c>
      <c r="M95" s="1" t="s">
        <v>41</v>
      </c>
      <c r="N95" s="1" t="s">
        <v>2068</v>
      </c>
      <c r="O95" s="1" t="s">
        <v>43</v>
      </c>
      <c r="P95" s="1" t="s">
        <v>44</v>
      </c>
      <c r="Q95" s="1" t="s">
        <v>2069</v>
      </c>
      <c r="R95">
        <v>9.9600000000000009</v>
      </c>
      <c r="S95" s="1"/>
      <c r="T95" s="1" t="str">
        <f>IF(O95="Furniture","Cardbaord",O95)</f>
        <v>Office Supplies</v>
      </c>
      <c r="U95" s="1" t="str">
        <f>IF(O95="furniture","cardbaord",IF(O95="office supplies","OS",O95))</f>
        <v>OS</v>
      </c>
    </row>
    <row r="96" spans="1:21" x14ac:dyDescent="0.3">
      <c r="A96">
        <v>1818</v>
      </c>
      <c r="B96" s="1" t="s">
        <v>3134</v>
      </c>
      <c r="C96" s="1" t="s">
        <v>2283</v>
      </c>
      <c r="D96" s="1" t="s">
        <v>655</v>
      </c>
      <c r="E96" s="1" t="s">
        <v>21</v>
      </c>
      <c r="F96" s="1" t="s">
        <v>3135</v>
      </c>
      <c r="G96" s="1" t="s">
        <v>3136</v>
      </c>
      <c r="H96" s="1" t="s">
        <v>24</v>
      </c>
      <c r="I96" s="1" t="s">
        <v>25</v>
      </c>
      <c r="J96" s="1" t="s">
        <v>39</v>
      </c>
      <c r="K96" s="1" t="s">
        <v>40</v>
      </c>
      <c r="L96">
        <v>90036</v>
      </c>
      <c r="M96" s="1" t="s">
        <v>41</v>
      </c>
      <c r="N96" s="1" t="s">
        <v>3137</v>
      </c>
      <c r="O96" s="1" t="s">
        <v>43</v>
      </c>
      <c r="P96" s="1" t="s">
        <v>44</v>
      </c>
      <c r="Q96" s="1" t="s">
        <v>3138</v>
      </c>
      <c r="R96">
        <v>9.9600000000000009</v>
      </c>
      <c r="S96" s="1"/>
      <c r="T96" s="1" t="str">
        <f>IF(O96="Furniture","Cardbaord",O96)</f>
        <v>Office Supplies</v>
      </c>
      <c r="U96" s="1" t="str">
        <f>IF(O96="furniture","cardbaord",IF(O96="office supplies","OS",O96))</f>
        <v>OS</v>
      </c>
    </row>
    <row r="97" spans="1:21" x14ac:dyDescent="0.3">
      <c r="A97">
        <v>1163</v>
      </c>
      <c r="B97" s="1" t="s">
        <v>2569</v>
      </c>
      <c r="C97" s="1" t="s">
        <v>1586</v>
      </c>
      <c r="D97" s="1" t="s">
        <v>2570</v>
      </c>
      <c r="E97" s="1" t="s">
        <v>49</v>
      </c>
      <c r="F97" s="1" t="s">
        <v>2571</v>
      </c>
      <c r="G97" s="1" t="s">
        <v>2572</v>
      </c>
      <c r="H97" s="1" t="s">
        <v>90</v>
      </c>
      <c r="I97" s="1" t="s">
        <v>25</v>
      </c>
      <c r="J97" s="1" t="s">
        <v>251</v>
      </c>
      <c r="K97" s="1" t="s">
        <v>252</v>
      </c>
      <c r="L97">
        <v>10035</v>
      </c>
      <c r="M97" s="1" t="s">
        <v>141</v>
      </c>
      <c r="N97" s="1" t="s">
        <v>2573</v>
      </c>
      <c r="O97" s="1" t="s">
        <v>174</v>
      </c>
      <c r="P97" s="1" t="s">
        <v>175</v>
      </c>
      <c r="Q97" s="1" t="s">
        <v>2574</v>
      </c>
      <c r="R97">
        <v>9.99</v>
      </c>
      <c r="S97" s="1"/>
      <c r="T97" s="1" t="str">
        <f>IF(O97="Furniture","Cardbaord",O97)</f>
        <v>Technology</v>
      </c>
      <c r="U97" s="1" t="str">
        <f>IF(O97="furniture","cardbaord",IF(O97="office supplies","OS",O97))</f>
        <v>Technology</v>
      </c>
    </row>
    <row r="98" spans="1:21" x14ac:dyDescent="0.3">
      <c r="A98">
        <v>705</v>
      </c>
      <c r="B98" s="1" t="s">
        <v>1910</v>
      </c>
      <c r="C98" s="1" t="s">
        <v>627</v>
      </c>
      <c r="D98" s="1" t="s">
        <v>820</v>
      </c>
      <c r="E98" s="1" t="s">
        <v>49</v>
      </c>
      <c r="F98" s="1" t="s">
        <v>1911</v>
      </c>
      <c r="G98" s="1" t="s">
        <v>1912</v>
      </c>
      <c r="H98" s="1" t="s">
        <v>38</v>
      </c>
      <c r="I98" s="1" t="s">
        <v>25</v>
      </c>
      <c r="J98" s="1" t="s">
        <v>1913</v>
      </c>
      <c r="K98" s="1" t="s">
        <v>71</v>
      </c>
      <c r="L98">
        <v>27511</v>
      </c>
      <c r="M98" s="1" t="s">
        <v>28</v>
      </c>
      <c r="N98" s="1" t="s">
        <v>1914</v>
      </c>
      <c r="O98" s="1" t="s">
        <v>43</v>
      </c>
      <c r="P98" s="1" t="s">
        <v>73</v>
      </c>
      <c r="Q98" s="1" t="s">
        <v>1915</v>
      </c>
      <c r="R98">
        <v>10.368</v>
      </c>
      <c r="S98" s="1"/>
      <c r="T98" s="1" t="str">
        <f>IF(O98="Furniture","Cardbaord",O98)</f>
        <v>Office Supplies</v>
      </c>
      <c r="U98" s="1" t="str">
        <f>IF(O98="furniture","cardbaord",IF(O98="office supplies","OS",O98))</f>
        <v>OS</v>
      </c>
    </row>
    <row r="99" spans="1:21" x14ac:dyDescent="0.3">
      <c r="A99">
        <v>1063</v>
      </c>
      <c r="B99" s="1" t="s">
        <v>2475</v>
      </c>
      <c r="C99" s="1" t="s">
        <v>2476</v>
      </c>
      <c r="D99" s="1" t="s">
        <v>2477</v>
      </c>
      <c r="E99" s="1" t="s">
        <v>49</v>
      </c>
      <c r="F99" s="1" t="s">
        <v>2478</v>
      </c>
      <c r="G99" s="1" t="s">
        <v>2479</v>
      </c>
      <c r="H99" s="1" t="s">
        <v>38</v>
      </c>
      <c r="I99" s="1" t="s">
        <v>25</v>
      </c>
      <c r="J99" s="1" t="s">
        <v>2480</v>
      </c>
      <c r="K99" s="1" t="s">
        <v>471</v>
      </c>
      <c r="L99">
        <v>43615</v>
      </c>
      <c r="M99" s="1" t="s">
        <v>141</v>
      </c>
      <c r="N99" s="1" t="s">
        <v>2481</v>
      </c>
      <c r="O99" s="1" t="s">
        <v>43</v>
      </c>
      <c r="P99" s="1" t="s">
        <v>254</v>
      </c>
      <c r="Q99" s="1" t="s">
        <v>2482</v>
      </c>
      <c r="R99">
        <v>10.416</v>
      </c>
      <c r="S99" s="1"/>
      <c r="T99" s="1" t="str">
        <f>IF(O99="Furniture","Cardbaord",O99)</f>
        <v>Office Supplies</v>
      </c>
      <c r="U99" s="1" t="str">
        <f>IF(O99="furniture","cardbaord",IF(O99="office supplies","OS",O99))</f>
        <v>OS</v>
      </c>
    </row>
    <row r="100" spans="1:21" x14ac:dyDescent="0.3">
      <c r="A100">
        <v>237</v>
      </c>
      <c r="B100" s="1" t="s">
        <v>825</v>
      </c>
      <c r="C100" s="1" t="s">
        <v>382</v>
      </c>
      <c r="D100" s="1" t="s">
        <v>345</v>
      </c>
      <c r="E100" s="1" t="s">
        <v>49</v>
      </c>
      <c r="F100" s="1" t="s">
        <v>826</v>
      </c>
      <c r="G100" s="1" t="s">
        <v>827</v>
      </c>
      <c r="H100" s="1" t="s">
        <v>38</v>
      </c>
      <c r="I100" s="1" t="s">
        <v>25</v>
      </c>
      <c r="J100" s="1" t="s">
        <v>828</v>
      </c>
      <c r="K100" s="1" t="s">
        <v>40</v>
      </c>
      <c r="L100">
        <v>95051</v>
      </c>
      <c r="M100" s="1" t="s">
        <v>41</v>
      </c>
      <c r="N100" s="1" t="s">
        <v>829</v>
      </c>
      <c r="O100" s="1" t="s">
        <v>43</v>
      </c>
      <c r="P100" s="1" t="s">
        <v>73</v>
      </c>
      <c r="Q100" s="1" t="s">
        <v>830</v>
      </c>
      <c r="R100">
        <v>10.56</v>
      </c>
      <c r="S100" s="1"/>
      <c r="T100" s="1" t="str">
        <f>IF(O100="Furniture","Cardbaord",O100)</f>
        <v>Office Supplies</v>
      </c>
      <c r="U100" s="1" t="str">
        <f>IF(O100="furniture","cardbaord",IF(O100="office supplies","OS",O100))</f>
        <v>OS</v>
      </c>
    </row>
    <row r="101" spans="1:21" x14ac:dyDescent="0.3">
      <c r="A101">
        <v>5004</v>
      </c>
      <c r="B101" s="1" t="s">
        <v>4124</v>
      </c>
      <c r="C101" s="1" t="s">
        <v>4125</v>
      </c>
      <c r="D101" s="1" t="s">
        <v>4126</v>
      </c>
      <c r="E101" s="1" t="s">
        <v>49</v>
      </c>
      <c r="F101" s="1" t="s">
        <v>4127</v>
      </c>
      <c r="G101" s="1" t="s">
        <v>4128</v>
      </c>
      <c r="H101" s="1" t="s">
        <v>24</v>
      </c>
      <c r="I101" s="1" t="s">
        <v>25</v>
      </c>
      <c r="J101" s="1" t="s">
        <v>39</v>
      </c>
      <c r="K101" s="1" t="s">
        <v>40</v>
      </c>
      <c r="L101">
        <v>90032</v>
      </c>
      <c r="M101" s="1" t="s">
        <v>41</v>
      </c>
      <c r="N101" s="1" t="s">
        <v>4129</v>
      </c>
      <c r="O101" s="1" t="s">
        <v>43</v>
      </c>
      <c r="P101" s="1" t="s">
        <v>73</v>
      </c>
      <c r="Q101" s="1" t="s">
        <v>4130</v>
      </c>
      <c r="R101">
        <v>10.56</v>
      </c>
      <c r="S101" s="1"/>
      <c r="T101" s="1" t="str">
        <f>IF(O101="Furniture","Cardbaord",O101)</f>
        <v>Office Supplies</v>
      </c>
      <c r="U101" s="1" t="str">
        <f>IF(O101="furniture","cardbaord",IF(O101="office supplies","OS",O101))</f>
        <v>OS</v>
      </c>
    </row>
    <row r="102" spans="1:21" x14ac:dyDescent="0.3">
      <c r="A102">
        <v>997</v>
      </c>
      <c r="B102" s="1" t="s">
        <v>2363</v>
      </c>
      <c r="C102" s="1" t="s">
        <v>2364</v>
      </c>
      <c r="D102" s="1" t="s">
        <v>2365</v>
      </c>
      <c r="E102" s="1" t="s">
        <v>49</v>
      </c>
      <c r="F102" s="1" t="s">
        <v>2366</v>
      </c>
      <c r="G102" s="1" t="s">
        <v>2367</v>
      </c>
      <c r="H102" s="1" t="s">
        <v>24</v>
      </c>
      <c r="I102" s="1" t="s">
        <v>25</v>
      </c>
      <c r="J102" s="1" t="s">
        <v>26</v>
      </c>
      <c r="K102" s="1" t="s">
        <v>27</v>
      </c>
      <c r="L102">
        <v>42420</v>
      </c>
      <c r="M102" s="1" t="s">
        <v>28</v>
      </c>
      <c r="N102" s="1" t="s">
        <v>2368</v>
      </c>
      <c r="O102" s="1" t="s">
        <v>43</v>
      </c>
      <c r="P102" s="1" t="s">
        <v>183</v>
      </c>
      <c r="Q102" s="1" t="s">
        <v>2369</v>
      </c>
      <c r="R102">
        <v>10.67</v>
      </c>
      <c r="S102" s="1"/>
      <c r="T102" s="1" t="str">
        <f>IF(O102="Furniture","Cardbaord",O102)</f>
        <v>Office Supplies</v>
      </c>
      <c r="U102" s="1" t="str">
        <f>IF(O102="furniture","cardbaord",IF(O102="office supplies","OS",O102))</f>
        <v>OS</v>
      </c>
    </row>
    <row r="103" spans="1:21" x14ac:dyDescent="0.3">
      <c r="A103">
        <v>1324</v>
      </c>
      <c r="B103" s="1" t="s">
        <v>2730</v>
      </c>
      <c r="C103" s="1" t="s">
        <v>2731</v>
      </c>
      <c r="D103" s="1" t="s">
        <v>2732</v>
      </c>
      <c r="E103" s="1" t="s">
        <v>169</v>
      </c>
      <c r="F103" s="1" t="s">
        <v>2733</v>
      </c>
      <c r="G103" s="1" t="s">
        <v>2734</v>
      </c>
      <c r="H103" s="1" t="s">
        <v>24</v>
      </c>
      <c r="I103" s="1" t="s">
        <v>25</v>
      </c>
      <c r="J103" s="1" t="s">
        <v>492</v>
      </c>
      <c r="K103" s="1" t="s">
        <v>71</v>
      </c>
      <c r="L103">
        <v>28403</v>
      </c>
      <c r="M103" s="1" t="s">
        <v>28</v>
      </c>
      <c r="N103" s="1" t="s">
        <v>2735</v>
      </c>
      <c r="O103" s="1" t="s">
        <v>43</v>
      </c>
      <c r="P103" s="1" t="s">
        <v>73</v>
      </c>
      <c r="Q103" s="1" t="s">
        <v>2736</v>
      </c>
      <c r="R103">
        <v>10.816000000000001</v>
      </c>
      <c r="S103" s="1"/>
      <c r="T103" s="1" t="str">
        <f>IF(O103="Furniture","Cardbaord",O103)</f>
        <v>Office Supplies</v>
      </c>
      <c r="U103" s="1" t="str">
        <f>IF(O103="furniture","cardbaord",IF(O103="office supplies","OS",O103))</f>
        <v>OS</v>
      </c>
    </row>
    <row r="104" spans="1:21" x14ac:dyDescent="0.3">
      <c r="A104">
        <v>554</v>
      </c>
      <c r="B104" s="1" t="s">
        <v>1579</v>
      </c>
      <c r="C104" s="1" t="s">
        <v>1580</v>
      </c>
      <c r="D104" s="1" t="s">
        <v>436</v>
      </c>
      <c r="E104" s="1" t="s">
        <v>49</v>
      </c>
      <c r="F104" s="1" t="s">
        <v>1581</v>
      </c>
      <c r="G104" s="1" t="s">
        <v>1582</v>
      </c>
      <c r="H104" s="1" t="s">
        <v>24</v>
      </c>
      <c r="I104" s="1" t="s">
        <v>25</v>
      </c>
      <c r="J104" s="1" t="s">
        <v>164</v>
      </c>
      <c r="K104" s="1" t="s">
        <v>92</v>
      </c>
      <c r="L104">
        <v>77070</v>
      </c>
      <c r="M104" s="1" t="s">
        <v>93</v>
      </c>
      <c r="N104" s="1" t="s">
        <v>1583</v>
      </c>
      <c r="O104" s="1" t="s">
        <v>43</v>
      </c>
      <c r="P104" s="1" t="s">
        <v>254</v>
      </c>
      <c r="Q104" s="1" t="s">
        <v>1584</v>
      </c>
      <c r="R104">
        <v>10.824</v>
      </c>
      <c r="S104" s="1"/>
      <c r="T104" s="1" t="str">
        <f>IF(O104="Furniture","Cardbaord",O104)</f>
        <v>Office Supplies</v>
      </c>
      <c r="U104" s="1" t="str">
        <f>IF(O104="furniture","cardbaord",IF(O104="office supplies","OS",O104))</f>
        <v>OS</v>
      </c>
    </row>
    <row r="105" spans="1:21" x14ac:dyDescent="0.3">
      <c r="A105">
        <v>1054</v>
      </c>
      <c r="B105" s="1" t="s">
        <v>2463</v>
      </c>
      <c r="C105" s="1" t="s">
        <v>2464</v>
      </c>
      <c r="D105" s="1" t="s">
        <v>2465</v>
      </c>
      <c r="E105" s="1" t="s">
        <v>49</v>
      </c>
      <c r="F105" s="1" t="s">
        <v>2466</v>
      </c>
      <c r="G105" s="1" t="s">
        <v>2467</v>
      </c>
      <c r="H105" s="1" t="s">
        <v>90</v>
      </c>
      <c r="I105" s="1" t="s">
        <v>25</v>
      </c>
      <c r="J105" s="1" t="s">
        <v>251</v>
      </c>
      <c r="K105" s="1" t="s">
        <v>252</v>
      </c>
      <c r="L105">
        <v>10009</v>
      </c>
      <c r="M105" s="1" t="s">
        <v>141</v>
      </c>
      <c r="N105" s="1" t="s">
        <v>2468</v>
      </c>
      <c r="O105" s="1" t="s">
        <v>43</v>
      </c>
      <c r="P105" s="1" t="s">
        <v>123</v>
      </c>
      <c r="Q105" s="1" t="s">
        <v>2469</v>
      </c>
      <c r="R105">
        <v>11.16</v>
      </c>
      <c r="S105" s="1"/>
      <c r="T105" s="1" t="str">
        <f>IF(O105="Furniture","Cardbaord",O105)</f>
        <v>Office Supplies</v>
      </c>
      <c r="U105" s="1" t="str">
        <f>IF(O105="furniture","cardbaord",IF(O105="office supplies","OS",O105))</f>
        <v>OS</v>
      </c>
    </row>
    <row r="106" spans="1:21" x14ac:dyDescent="0.3">
      <c r="A106">
        <v>841</v>
      </c>
      <c r="B106" s="1" t="s">
        <v>2120</v>
      </c>
      <c r="C106" s="1" t="s">
        <v>2121</v>
      </c>
      <c r="D106" s="1" t="s">
        <v>2122</v>
      </c>
      <c r="E106" s="1" t="s">
        <v>49</v>
      </c>
      <c r="F106" s="1" t="s">
        <v>2123</v>
      </c>
      <c r="G106" s="1" t="s">
        <v>2124</v>
      </c>
      <c r="H106" s="1" t="s">
        <v>38</v>
      </c>
      <c r="I106" s="1" t="s">
        <v>25</v>
      </c>
      <c r="J106" s="1" t="s">
        <v>251</v>
      </c>
      <c r="K106" s="1" t="s">
        <v>252</v>
      </c>
      <c r="L106">
        <v>10035</v>
      </c>
      <c r="M106" s="1" t="s">
        <v>141</v>
      </c>
      <c r="N106" s="1" t="s">
        <v>2125</v>
      </c>
      <c r="O106" s="1" t="s">
        <v>43</v>
      </c>
      <c r="P106" s="1" t="s">
        <v>123</v>
      </c>
      <c r="Q106" s="1" t="s">
        <v>2126</v>
      </c>
      <c r="R106">
        <v>11.52</v>
      </c>
      <c r="S106" s="1"/>
      <c r="T106" s="1" t="str">
        <f>IF(O106="Furniture","Cardbaord",O106)</f>
        <v>Office Supplies</v>
      </c>
      <c r="U106" s="1" t="str">
        <f>IF(O106="furniture","cardbaord",IF(O106="office supplies","OS",O106))</f>
        <v>OS</v>
      </c>
    </row>
    <row r="107" spans="1:21" x14ac:dyDescent="0.3">
      <c r="A107">
        <v>1177</v>
      </c>
      <c r="B107" s="1" t="s">
        <v>2583</v>
      </c>
      <c r="C107" s="1" t="s">
        <v>2584</v>
      </c>
      <c r="D107" s="1" t="s">
        <v>1023</v>
      </c>
      <c r="E107" s="1" t="s">
        <v>21</v>
      </c>
      <c r="F107" s="1" t="s">
        <v>2585</v>
      </c>
      <c r="G107" s="1" t="s">
        <v>2586</v>
      </c>
      <c r="H107" s="1" t="s">
        <v>90</v>
      </c>
      <c r="I107" s="1" t="s">
        <v>25</v>
      </c>
      <c r="J107" s="1" t="s">
        <v>39</v>
      </c>
      <c r="K107" s="1" t="s">
        <v>40</v>
      </c>
      <c r="L107">
        <v>90004</v>
      </c>
      <c r="M107" s="1" t="s">
        <v>41</v>
      </c>
      <c r="N107" s="1" t="s">
        <v>2587</v>
      </c>
      <c r="O107" s="1" t="s">
        <v>43</v>
      </c>
      <c r="P107" s="1" t="s">
        <v>44</v>
      </c>
      <c r="Q107" s="1" t="s">
        <v>2588</v>
      </c>
      <c r="R107">
        <v>11.56</v>
      </c>
      <c r="S107" s="1"/>
      <c r="T107" s="1" t="str">
        <f>IF(O107="Furniture","Cardbaord",O107)</f>
        <v>Office Supplies</v>
      </c>
      <c r="U107" s="1" t="str">
        <f>IF(O107="furniture","cardbaord",IF(O107="office supplies","OS",O107))</f>
        <v>OS</v>
      </c>
    </row>
    <row r="108" spans="1:21" x14ac:dyDescent="0.3">
      <c r="A108">
        <v>599</v>
      </c>
      <c r="B108" s="1" t="s">
        <v>1699</v>
      </c>
      <c r="C108" s="1" t="s">
        <v>1700</v>
      </c>
      <c r="D108" s="1" t="s">
        <v>693</v>
      </c>
      <c r="E108" s="1" t="s">
        <v>169</v>
      </c>
      <c r="F108" s="1" t="s">
        <v>1701</v>
      </c>
      <c r="G108" s="1" t="s">
        <v>1702</v>
      </c>
      <c r="H108" s="1" t="s">
        <v>24</v>
      </c>
      <c r="I108" s="1" t="s">
        <v>25</v>
      </c>
      <c r="J108" s="1" t="s">
        <v>139</v>
      </c>
      <c r="K108" s="1" t="s">
        <v>140</v>
      </c>
      <c r="L108">
        <v>19134</v>
      </c>
      <c r="M108" s="1" t="s">
        <v>141</v>
      </c>
      <c r="N108" s="1" t="s">
        <v>1703</v>
      </c>
      <c r="O108" s="1" t="s">
        <v>43</v>
      </c>
      <c r="P108" s="1" t="s">
        <v>1660</v>
      </c>
      <c r="Q108" s="1" t="s">
        <v>1704</v>
      </c>
      <c r="R108">
        <v>11.632</v>
      </c>
      <c r="S108" s="1"/>
      <c r="T108" s="1" t="str">
        <f>IF(O108="Furniture","Cardbaord",O108)</f>
        <v>Office Supplies</v>
      </c>
      <c r="U108" s="1" t="str">
        <f>IF(O108="furniture","cardbaord",IF(O108="office supplies","OS",O108))</f>
        <v>OS</v>
      </c>
    </row>
    <row r="109" spans="1:21" x14ac:dyDescent="0.3">
      <c r="A109">
        <v>26</v>
      </c>
      <c r="B109" s="1" t="s">
        <v>145</v>
      </c>
      <c r="C109" s="1" t="s">
        <v>146</v>
      </c>
      <c r="D109" s="1" t="s">
        <v>147</v>
      </c>
      <c r="E109" s="1" t="s">
        <v>21</v>
      </c>
      <c r="F109" s="1" t="s">
        <v>148</v>
      </c>
      <c r="G109" s="1" t="s">
        <v>149</v>
      </c>
      <c r="H109" s="1" t="s">
        <v>24</v>
      </c>
      <c r="I109" s="1" t="s">
        <v>25</v>
      </c>
      <c r="J109" s="1" t="s">
        <v>39</v>
      </c>
      <c r="K109" s="1" t="s">
        <v>40</v>
      </c>
      <c r="L109">
        <v>90049</v>
      </c>
      <c r="M109" s="1" t="s">
        <v>41</v>
      </c>
      <c r="N109" s="1" t="s">
        <v>150</v>
      </c>
      <c r="O109" s="1" t="s">
        <v>43</v>
      </c>
      <c r="P109" s="1" t="s">
        <v>83</v>
      </c>
      <c r="Q109" s="1" t="s">
        <v>151</v>
      </c>
      <c r="R109">
        <v>11.648</v>
      </c>
      <c r="S109" s="1"/>
      <c r="T109" s="1" t="str">
        <f>IF(O109="Furniture","Cardbaord",O109)</f>
        <v>Office Supplies</v>
      </c>
      <c r="U109" s="1" t="str">
        <f>IF(O109="furniture","cardbaord",IF(O109="office supplies","OS",O109))</f>
        <v>OS</v>
      </c>
    </row>
    <row r="110" spans="1:21" x14ac:dyDescent="0.3">
      <c r="A110">
        <v>277</v>
      </c>
      <c r="B110" s="1" t="s">
        <v>940</v>
      </c>
      <c r="C110" s="1" t="s">
        <v>941</v>
      </c>
      <c r="D110" s="1" t="s">
        <v>942</v>
      </c>
      <c r="E110" s="1" t="s">
        <v>49</v>
      </c>
      <c r="F110" s="1" t="s">
        <v>943</v>
      </c>
      <c r="G110" s="1" t="s">
        <v>944</v>
      </c>
      <c r="H110" s="1" t="s">
        <v>38</v>
      </c>
      <c r="I110" s="1" t="s">
        <v>25</v>
      </c>
      <c r="J110" s="1" t="s">
        <v>139</v>
      </c>
      <c r="K110" s="1" t="s">
        <v>140</v>
      </c>
      <c r="L110">
        <v>19140</v>
      </c>
      <c r="M110" s="1" t="s">
        <v>141</v>
      </c>
      <c r="N110" s="1" t="s">
        <v>945</v>
      </c>
      <c r="O110" s="1" t="s">
        <v>43</v>
      </c>
      <c r="P110" s="1" t="s">
        <v>73</v>
      </c>
      <c r="Q110" s="1" t="s">
        <v>946</v>
      </c>
      <c r="R110">
        <v>11.648</v>
      </c>
      <c r="S110" s="1"/>
      <c r="T110" s="1" t="str">
        <f>IF(O110="Furniture","Cardbaord",O110)</f>
        <v>Office Supplies</v>
      </c>
      <c r="U110" s="1" t="str">
        <f>IF(O110="furniture","cardbaord",IF(O110="office supplies","OS",O110))</f>
        <v>OS</v>
      </c>
    </row>
    <row r="111" spans="1:21" x14ac:dyDescent="0.3">
      <c r="A111">
        <v>740</v>
      </c>
      <c r="B111" s="1" t="s">
        <v>1980</v>
      </c>
      <c r="C111" s="1" t="s">
        <v>1981</v>
      </c>
      <c r="D111" s="1" t="s">
        <v>1982</v>
      </c>
      <c r="E111" s="1" t="s">
        <v>49</v>
      </c>
      <c r="F111" s="1" t="s">
        <v>1983</v>
      </c>
      <c r="G111" s="1" t="s">
        <v>1984</v>
      </c>
      <c r="H111" s="1" t="s">
        <v>90</v>
      </c>
      <c r="I111" s="1" t="s">
        <v>25</v>
      </c>
      <c r="J111" s="1" t="s">
        <v>190</v>
      </c>
      <c r="K111" s="1" t="s">
        <v>191</v>
      </c>
      <c r="L111">
        <v>60540</v>
      </c>
      <c r="M111" s="1" t="s">
        <v>93</v>
      </c>
      <c r="N111" s="1" t="s">
        <v>1985</v>
      </c>
      <c r="O111" s="1" t="s">
        <v>43</v>
      </c>
      <c r="P111" s="1" t="s">
        <v>44</v>
      </c>
      <c r="Q111" s="1" t="s">
        <v>1986</v>
      </c>
      <c r="R111">
        <v>11.784000000000001</v>
      </c>
      <c r="S111" s="1"/>
      <c r="T111" s="1" t="str">
        <f>IF(O111="Furniture","Cardbaord",O111)</f>
        <v>Office Supplies</v>
      </c>
      <c r="U111" s="1" t="str">
        <f>IF(O111="furniture","cardbaord",IF(O111="office supplies","OS",O111))</f>
        <v>OS</v>
      </c>
    </row>
    <row r="112" spans="1:21" x14ac:dyDescent="0.3">
      <c r="A112">
        <v>1025</v>
      </c>
      <c r="B112" s="1" t="s">
        <v>2406</v>
      </c>
      <c r="C112" s="1" t="s">
        <v>744</v>
      </c>
      <c r="D112" s="1" t="s">
        <v>2407</v>
      </c>
      <c r="E112" s="1" t="s">
        <v>169</v>
      </c>
      <c r="F112" s="1" t="s">
        <v>2408</v>
      </c>
      <c r="G112" s="1" t="s">
        <v>2409</v>
      </c>
      <c r="H112" s="1" t="s">
        <v>90</v>
      </c>
      <c r="I112" s="1" t="s">
        <v>25</v>
      </c>
      <c r="J112" s="1" t="s">
        <v>39</v>
      </c>
      <c r="K112" s="1" t="s">
        <v>40</v>
      </c>
      <c r="L112">
        <v>90045</v>
      </c>
      <c r="M112" s="1" t="s">
        <v>41</v>
      </c>
      <c r="N112" s="1" t="s">
        <v>2410</v>
      </c>
      <c r="O112" s="1" t="s">
        <v>43</v>
      </c>
      <c r="P112" s="1" t="s">
        <v>83</v>
      </c>
      <c r="Q112" s="1" t="s">
        <v>2411</v>
      </c>
      <c r="R112">
        <v>11.808</v>
      </c>
      <c r="S112" s="1"/>
      <c r="T112" s="1" t="str">
        <f>IF(O112="Furniture","Cardbaord",O112)</f>
        <v>Office Supplies</v>
      </c>
      <c r="U112" s="1" t="str">
        <f>IF(O112="furniture","cardbaord",IF(O112="office supplies","OS",O112))</f>
        <v>OS</v>
      </c>
    </row>
    <row r="113" spans="1:21" x14ac:dyDescent="0.3">
      <c r="A113">
        <v>2039</v>
      </c>
      <c r="B113" s="1" t="s">
        <v>3289</v>
      </c>
      <c r="C113" s="1" t="s">
        <v>3290</v>
      </c>
      <c r="D113" s="1" t="s">
        <v>2970</v>
      </c>
      <c r="E113" s="1" t="s">
        <v>49</v>
      </c>
      <c r="F113" s="1" t="s">
        <v>3291</v>
      </c>
      <c r="G113" s="1" t="s">
        <v>3292</v>
      </c>
      <c r="H113" s="1" t="s">
        <v>90</v>
      </c>
      <c r="I113" s="1" t="s">
        <v>25</v>
      </c>
      <c r="J113" s="1" t="s">
        <v>1220</v>
      </c>
      <c r="K113" s="1" t="s">
        <v>285</v>
      </c>
      <c r="L113">
        <v>85345</v>
      </c>
      <c r="M113" s="1" t="s">
        <v>41</v>
      </c>
      <c r="N113" s="1" t="s">
        <v>3293</v>
      </c>
      <c r="O113" s="1" t="s">
        <v>43</v>
      </c>
      <c r="P113" s="1" t="s">
        <v>73</v>
      </c>
      <c r="Q113" s="1" t="s">
        <v>3294</v>
      </c>
      <c r="R113">
        <v>11.952</v>
      </c>
      <c r="S113" s="1"/>
      <c r="T113" s="1" t="str">
        <f>IF(O113="Furniture","Cardbaord",O113)</f>
        <v>Office Supplies</v>
      </c>
      <c r="U113" s="1" t="str">
        <f>IF(O113="furniture","cardbaord",IF(O113="office supplies","OS",O113))</f>
        <v>OS</v>
      </c>
    </row>
    <row r="114" spans="1:21" x14ac:dyDescent="0.3">
      <c r="A114">
        <v>749</v>
      </c>
      <c r="B114" s="1" t="s">
        <v>1993</v>
      </c>
      <c r="C114" s="1" t="s">
        <v>1677</v>
      </c>
      <c r="D114" s="1" t="s">
        <v>1994</v>
      </c>
      <c r="E114" s="1" t="s">
        <v>21</v>
      </c>
      <c r="F114" s="1" t="s">
        <v>1995</v>
      </c>
      <c r="G114" s="1" t="s">
        <v>1996</v>
      </c>
      <c r="H114" s="1" t="s">
        <v>24</v>
      </c>
      <c r="I114" s="1" t="s">
        <v>25</v>
      </c>
      <c r="J114" s="1" t="s">
        <v>1997</v>
      </c>
      <c r="K114" s="1" t="s">
        <v>191</v>
      </c>
      <c r="L114">
        <v>60201</v>
      </c>
      <c r="M114" s="1" t="s">
        <v>93</v>
      </c>
      <c r="N114" s="1" t="s">
        <v>1998</v>
      </c>
      <c r="O114" s="1" t="s">
        <v>174</v>
      </c>
      <c r="P114" s="1" t="s">
        <v>175</v>
      </c>
      <c r="Q114" s="1" t="s">
        <v>1999</v>
      </c>
      <c r="R114">
        <v>11.992000000000001</v>
      </c>
      <c r="S114" s="1"/>
      <c r="T114" s="1" t="str">
        <f>IF(O114="Furniture","Cardbaord",O114)</f>
        <v>Technology</v>
      </c>
      <c r="U114" s="1" t="str">
        <f>IF(O114="furniture","cardbaord",IF(O114="office supplies","OS",O114))</f>
        <v>Technology</v>
      </c>
    </row>
    <row r="115" spans="1:21" x14ac:dyDescent="0.3">
      <c r="A115">
        <v>1185</v>
      </c>
      <c r="B115" s="1" t="s">
        <v>2589</v>
      </c>
      <c r="C115" s="1" t="s">
        <v>669</v>
      </c>
      <c r="D115" s="1" t="s">
        <v>2590</v>
      </c>
      <c r="E115" s="1" t="s">
        <v>49</v>
      </c>
      <c r="F115" s="1" t="s">
        <v>2591</v>
      </c>
      <c r="G115" s="1" t="s">
        <v>2592</v>
      </c>
      <c r="H115" s="1" t="s">
        <v>38</v>
      </c>
      <c r="I115" s="1" t="s">
        <v>25</v>
      </c>
      <c r="J115" s="1" t="s">
        <v>80</v>
      </c>
      <c r="K115" s="1" t="s">
        <v>81</v>
      </c>
      <c r="L115">
        <v>98103</v>
      </c>
      <c r="M115" s="1" t="s">
        <v>41</v>
      </c>
      <c r="N115" s="1" t="s">
        <v>2593</v>
      </c>
      <c r="O115" s="1" t="s">
        <v>43</v>
      </c>
      <c r="P115" s="1" t="s">
        <v>83</v>
      </c>
      <c r="Q115" s="1" t="s">
        <v>2594</v>
      </c>
      <c r="R115">
        <v>12.096</v>
      </c>
      <c r="S115" s="1"/>
      <c r="T115" s="1" t="str">
        <f>IF(O115="Furniture","Cardbaord",O115)</f>
        <v>Office Supplies</v>
      </c>
      <c r="U115" s="1" t="str">
        <f>IF(O115="furniture","cardbaord",IF(O115="office supplies","OS",O115))</f>
        <v>OS</v>
      </c>
    </row>
    <row r="116" spans="1:21" x14ac:dyDescent="0.3">
      <c r="A116">
        <v>933</v>
      </c>
      <c r="B116" s="1" t="s">
        <v>2270</v>
      </c>
      <c r="C116" s="1" t="s">
        <v>2246</v>
      </c>
      <c r="D116" s="1" t="s">
        <v>2271</v>
      </c>
      <c r="E116" s="1" t="s">
        <v>49</v>
      </c>
      <c r="F116" s="1" t="s">
        <v>2272</v>
      </c>
      <c r="G116" s="1" t="s">
        <v>2273</v>
      </c>
      <c r="H116" s="1" t="s">
        <v>24</v>
      </c>
      <c r="I116" s="1" t="s">
        <v>25</v>
      </c>
      <c r="J116" s="1" t="s">
        <v>139</v>
      </c>
      <c r="K116" s="1" t="s">
        <v>140</v>
      </c>
      <c r="L116">
        <v>19140</v>
      </c>
      <c r="M116" s="1" t="s">
        <v>141</v>
      </c>
      <c r="N116" s="1" t="s">
        <v>2274</v>
      </c>
      <c r="O116" s="1" t="s">
        <v>43</v>
      </c>
      <c r="P116" s="1" t="s">
        <v>73</v>
      </c>
      <c r="Q116" s="1" t="s">
        <v>2275</v>
      </c>
      <c r="R116">
        <v>12.192</v>
      </c>
      <c r="S116" s="1"/>
      <c r="T116" s="1" t="str">
        <f>IF(O116="Furniture","Cardbaord",O116)</f>
        <v>Office Supplies</v>
      </c>
      <c r="U116" s="1" t="str">
        <f>IF(O116="furniture","cardbaord",IF(O116="office supplies","OS",O116))</f>
        <v>OS</v>
      </c>
    </row>
    <row r="117" spans="1:21" x14ac:dyDescent="0.3">
      <c r="A117">
        <v>1239</v>
      </c>
      <c r="B117" s="1" t="s">
        <v>2633</v>
      </c>
      <c r="C117" s="1" t="s">
        <v>2634</v>
      </c>
      <c r="D117" s="1" t="s">
        <v>1694</v>
      </c>
      <c r="E117" s="1" t="s">
        <v>49</v>
      </c>
      <c r="F117" s="1" t="s">
        <v>2635</v>
      </c>
      <c r="G117" s="1" t="s">
        <v>2636</v>
      </c>
      <c r="H117" s="1" t="s">
        <v>24</v>
      </c>
      <c r="I117" s="1" t="s">
        <v>25</v>
      </c>
      <c r="J117" s="1" t="s">
        <v>80</v>
      </c>
      <c r="K117" s="1" t="s">
        <v>81</v>
      </c>
      <c r="L117">
        <v>98105</v>
      </c>
      <c r="M117" s="1" t="s">
        <v>41</v>
      </c>
      <c r="N117" s="1" t="s">
        <v>2637</v>
      </c>
      <c r="O117" s="1" t="s">
        <v>30</v>
      </c>
      <c r="P117" s="1" t="s">
        <v>63</v>
      </c>
      <c r="Q117" s="1" t="s">
        <v>2638</v>
      </c>
      <c r="R117">
        <v>12.35</v>
      </c>
      <c r="S117" s="1"/>
      <c r="T117" s="1" t="str">
        <f>IF(O117="Furniture","Cardbaord",O117)</f>
        <v>Cardbaord</v>
      </c>
      <c r="U117" s="1" t="str">
        <f>IF(O117="furniture","cardbaord",IF(O117="office supplies","OS",O117))</f>
        <v>cardbaord</v>
      </c>
    </row>
    <row r="118" spans="1:21" x14ac:dyDescent="0.3">
      <c r="A118">
        <v>1704</v>
      </c>
      <c r="B118" s="1" t="s">
        <v>3060</v>
      </c>
      <c r="C118" s="1" t="s">
        <v>3061</v>
      </c>
      <c r="D118" s="1" t="s">
        <v>3062</v>
      </c>
      <c r="E118" s="1" t="s">
        <v>49</v>
      </c>
      <c r="F118" s="1" t="s">
        <v>3063</v>
      </c>
      <c r="G118" s="1" t="s">
        <v>3064</v>
      </c>
      <c r="H118" s="1" t="s">
        <v>90</v>
      </c>
      <c r="I118" s="1" t="s">
        <v>25</v>
      </c>
      <c r="J118" s="1" t="s">
        <v>854</v>
      </c>
      <c r="K118" s="1" t="s">
        <v>40</v>
      </c>
      <c r="L118">
        <v>92037</v>
      </c>
      <c r="M118" s="1" t="s">
        <v>41</v>
      </c>
      <c r="N118" s="1" t="s">
        <v>3065</v>
      </c>
      <c r="O118" s="1" t="s">
        <v>43</v>
      </c>
      <c r="P118" s="1" t="s">
        <v>254</v>
      </c>
      <c r="Q118" s="1" t="s">
        <v>1502</v>
      </c>
      <c r="R118">
        <v>12.35</v>
      </c>
      <c r="S118" s="1"/>
      <c r="T118" s="1" t="str">
        <f>IF(O118="Furniture","Cardbaord",O118)</f>
        <v>Office Supplies</v>
      </c>
      <c r="U118" s="1" t="str">
        <f>IF(O118="furniture","cardbaord",IF(O118="office supplies","OS",O118))</f>
        <v>OS</v>
      </c>
    </row>
    <row r="119" spans="1:21" x14ac:dyDescent="0.3">
      <c r="A119">
        <v>3681</v>
      </c>
      <c r="B119" s="1" t="s">
        <v>3847</v>
      </c>
      <c r="C119" s="1" t="s">
        <v>1670</v>
      </c>
      <c r="D119" s="1" t="s">
        <v>3806</v>
      </c>
      <c r="E119" s="1" t="s">
        <v>49</v>
      </c>
      <c r="F119" s="1" t="s">
        <v>3848</v>
      </c>
      <c r="G119" s="1" t="s">
        <v>3849</v>
      </c>
      <c r="H119" s="1" t="s">
        <v>24</v>
      </c>
      <c r="I119" s="1" t="s">
        <v>25</v>
      </c>
      <c r="J119" s="1" t="s">
        <v>2523</v>
      </c>
      <c r="K119" s="1" t="s">
        <v>2524</v>
      </c>
      <c r="L119">
        <v>20735</v>
      </c>
      <c r="M119" s="1" t="s">
        <v>141</v>
      </c>
      <c r="N119" s="1" t="s">
        <v>3850</v>
      </c>
      <c r="O119" s="1" t="s">
        <v>43</v>
      </c>
      <c r="P119" s="1" t="s">
        <v>44</v>
      </c>
      <c r="Q119" s="1" t="s">
        <v>3851</v>
      </c>
      <c r="R119">
        <v>12.39</v>
      </c>
      <c r="S119" s="1"/>
      <c r="T119" s="1" t="str">
        <f>IF(O119="Furniture","Cardbaord",O119)</f>
        <v>Office Supplies</v>
      </c>
      <c r="U119" s="1" t="str">
        <f>IF(O119="furniture","cardbaord",IF(O119="office supplies","OS",O119))</f>
        <v>OS</v>
      </c>
    </row>
    <row r="120" spans="1:21" x14ac:dyDescent="0.3">
      <c r="A120">
        <v>394</v>
      </c>
      <c r="B120" s="1" t="s">
        <v>1215</v>
      </c>
      <c r="C120" s="1" t="s">
        <v>1216</v>
      </c>
      <c r="D120" s="1" t="s">
        <v>1217</v>
      </c>
      <c r="E120" s="1" t="s">
        <v>21</v>
      </c>
      <c r="F120" s="1" t="s">
        <v>1218</v>
      </c>
      <c r="G120" s="1" t="s">
        <v>1219</v>
      </c>
      <c r="H120" s="1" t="s">
        <v>38</v>
      </c>
      <c r="I120" s="1" t="s">
        <v>25</v>
      </c>
      <c r="J120" s="1" t="s">
        <v>1220</v>
      </c>
      <c r="K120" s="1" t="s">
        <v>191</v>
      </c>
      <c r="L120">
        <v>61604</v>
      </c>
      <c r="M120" s="1" t="s">
        <v>93</v>
      </c>
      <c r="N120" s="1" t="s">
        <v>1221</v>
      </c>
      <c r="O120" s="1" t="s">
        <v>43</v>
      </c>
      <c r="P120" s="1" t="s">
        <v>83</v>
      </c>
      <c r="Q120" s="1" t="s">
        <v>1222</v>
      </c>
      <c r="R120">
        <v>12.462</v>
      </c>
      <c r="S120" s="1"/>
      <c r="T120" s="1" t="str">
        <f>IF(O120="Furniture","Cardbaord",O120)</f>
        <v>Office Supplies</v>
      </c>
      <c r="U120" s="1" t="str">
        <f>IF(O120="furniture","cardbaord",IF(O120="office supplies","OS",O120))</f>
        <v>OS</v>
      </c>
    </row>
    <row r="121" spans="1:21" x14ac:dyDescent="0.3">
      <c r="A121">
        <v>1270</v>
      </c>
      <c r="B121" s="1" t="s">
        <v>2679</v>
      </c>
      <c r="C121" s="1" t="s">
        <v>1132</v>
      </c>
      <c r="D121" s="1" t="s">
        <v>876</v>
      </c>
      <c r="E121" s="1" t="s">
        <v>49</v>
      </c>
      <c r="F121" s="1" t="s">
        <v>2680</v>
      </c>
      <c r="G121" s="1" t="s">
        <v>2681</v>
      </c>
      <c r="H121" s="1" t="s">
        <v>24</v>
      </c>
      <c r="I121" s="1" t="s">
        <v>25</v>
      </c>
      <c r="J121" s="1" t="s">
        <v>2682</v>
      </c>
      <c r="K121" s="1" t="s">
        <v>325</v>
      </c>
      <c r="L121">
        <v>35630</v>
      </c>
      <c r="M121" s="1" t="s">
        <v>28</v>
      </c>
      <c r="N121" s="1" t="s">
        <v>2683</v>
      </c>
      <c r="O121" s="1" t="s">
        <v>43</v>
      </c>
      <c r="P121" s="1" t="s">
        <v>73</v>
      </c>
      <c r="Q121" s="1" t="s">
        <v>2684</v>
      </c>
      <c r="R121">
        <v>12.48</v>
      </c>
      <c r="S121" s="1"/>
      <c r="T121" s="1" t="str">
        <f>IF(O121="Furniture","Cardbaord",O121)</f>
        <v>Office Supplies</v>
      </c>
      <c r="U121" s="1" t="str">
        <f>IF(O121="furniture","cardbaord",IF(O121="office supplies","OS",O121))</f>
        <v>OS</v>
      </c>
    </row>
    <row r="122" spans="1:21" x14ac:dyDescent="0.3">
      <c r="A122">
        <v>3191</v>
      </c>
      <c r="B122" s="1" t="s">
        <v>3760</v>
      </c>
      <c r="C122" s="1" t="s">
        <v>178</v>
      </c>
      <c r="D122" s="1" t="s">
        <v>3761</v>
      </c>
      <c r="E122" s="1" t="s">
        <v>49</v>
      </c>
      <c r="F122" s="1" t="s">
        <v>3762</v>
      </c>
      <c r="G122" s="1" t="s">
        <v>3763</v>
      </c>
      <c r="H122" s="1" t="s">
        <v>90</v>
      </c>
      <c r="I122" s="1" t="s">
        <v>25</v>
      </c>
      <c r="J122" s="1" t="s">
        <v>276</v>
      </c>
      <c r="K122" s="1" t="s">
        <v>191</v>
      </c>
      <c r="L122">
        <v>60610</v>
      </c>
      <c r="M122" s="1" t="s">
        <v>93</v>
      </c>
      <c r="N122" s="1" t="s">
        <v>3764</v>
      </c>
      <c r="O122" s="1" t="s">
        <v>43</v>
      </c>
      <c r="P122" s="1" t="s">
        <v>105</v>
      </c>
      <c r="Q122" s="1" t="s">
        <v>3765</v>
      </c>
      <c r="R122">
        <v>12.672000000000001</v>
      </c>
      <c r="S122" s="1"/>
      <c r="T122" s="1" t="str">
        <f>IF(O122="Furniture","Cardbaord",O122)</f>
        <v>Office Supplies</v>
      </c>
      <c r="U122" s="1" t="str">
        <f>IF(O122="furniture","cardbaord",IF(O122="office supplies","OS",O122))</f>
        <v>OS</v>
      </c>
    </row>
    <row r="123" spans="1:21" x14ac:dyDescent="0.3">
      <c r="A123">
        <v>1570</v>
      </c>
      <c r="B123" s="1" t="s">
        <v>2948</v>
      </c>
      <c r="C123" s="1" t="s">
        <v>1478</v>
      </c>
      <c r="D123" s="1" t="s">
        <v>2949</v>
      </c>
      <c r="E123" s="1" t="s">
        <v>49</v>
      </c>
      <c r="F123" s="1" t="s">
        <v>2950</v>
      </c>
      <c r="G123" s="1" t="s">
        <v>2951</v>
      </c>
      <c r="H123" s="1" t="s">
        <v>38</v>
      </c>
      <c r="I123" s="1" t="s">
        <v>25</v>
      </c>
      <c r="J123" s="1" t="s">
        <v>1474</v>
      </c>
      <c r="K123" s="1" t="s">
        <v>1112</v>
      </c>
      <c r="L123">
        <v>30318</v>
      </c>
      <c r="M123" s="1" t="s">
        <v>28</v>
      </c>
      <c r="N123" s="1" t="s">
        <v>2952</v>
      </c>
      <c r="O123" s="1" t="s">
        <v>43</v>
      </c>
      <c r="P123" s="1" t="s">
        <v>123</v>
      </c>
      <c r="Q123" s="1" t="s">
        <v>2953</v>
      </c>
      <c r="R123">
        <v>12.84</v>
      </c>
      <c r="S123" s="1"/>
      <c r="T123" s="1" t="str">
        <f>IF(O123="Furniture","Cardbaord",O123)</f>
        <v>Office Supplies</v>
      </c>
      <c r="U123" s="1" t="str">
        <f>IF(O123="furniture","cardbaord",IF(O123="office supplies","OS",O123))</f>
        <v>OS</v>
      </c>
    </row>
    <row r="124" spans="1:21" x14ac:dyDescent="0.3">
      <c r="A124">
        <v>3104</v>
      </c>
      <c r="B124" s="1" t="s">
        <v>3716</v>
      </c>
      <c r="C124" s="1" t="s">
        <v>168</v>
      </c>
      <c r="D124" s="1" t="s">
        <v>3717</v>
      </c>
      <c r="E124" s="1" t="s">
        <v>49</v>
      </c>
      <c r="F124" s="1" t="s">
        <v>3718</v>
      </c>
      <c r="G124" s="1" t="s">
        <v>3719</v>
      </c>
      <c r="H124" s="1" t="s">
        <v>90</v>
      </c>
      <c r="I124" s="1" t="s">
        <v>25</v>
      </c>
      <c r="J124" s="1" t="s">
        <v>470</v>
      </c>
      <c r="K124" s="1" t="s">
        <v>471</v>
      </c>
      <c r="L124">
        <v>43229</v>
      </c>
      <c r="M124" s="1" t="s">
        <v>141</v>
      </c>
      <c r="N124" s="1" t="s">
        <v>3720</v>
      </c>
      <c r="O124" s="1" t="s">
        <v>43</v>
      </c>
      <c r="P124" s="1" t="s">
        <v>83</v>
      </c>
      <c r="Q124" s="1" t="s">
        <v>3721</v>
      </c>
      <c r="R124">
        <v>12.957000000000001</v>
      </c>
      <c r="S124" s="1"/>
      <c r="T124" s="1" t="str">
        <f>IF(O124="Furniture","Cardbaord",O124)</f>
        <v>Office Supplies</v>
      </c>
      <c r="U124" s="1" t="str">
        <f>IF(O124="furniture","cardbaord",IF(O124="office supplies","OS",O124))</f>
        <v>OS</v>
      </c>
    </row>
    <row r="125" spans="1:21" x14ac:dyDescent="0.3">
      <c r="A125">
        <v>93</v>
      </c>
      <c r="B125" s="1" t="s">
        <v>372</v>
      </c>
      <c r="C125" s="1" t="s">
        <v>373</v>
      </c>
      <c r="D125" s="1" t="s">
        <v>374</v>
      </c>
      <c r="E125" s="1" t="s">
        <v>21</v>
      </c>
      <c r="F125" s="1" t="s">
        <v>375</v>
      </c>
      <c r="G125" s="1" t="s">
        <v>376</v>
      </c>
      <c r="H125" s="1" t="s">
        <v>24</v>
      </c>
      <c r="I125" s="1" t="s">
        <v>25</v>
      </c>
      <c r="J125" s="1" t="s">
        <v>377</v>
      </c>
      <c r="K125" s="1" t="s">
        <v>215</v>
      </c>
      <c r="L125">
        <v>55407</v>
      </c>
      <c r="M125" s="1" t="s">
        <v>93</v>
      </c>
      <c r="N125" s="1" t="s">
        <v>378</v>
      </c>
      <c r="O125" s="1" t="s">
        <v>43</v>
      </c>
      <c r="P125" s="1" t="s">
        <v>73</v>
      </c>
      <c r="Q125" s="1" t="s">
        <v>379</v>
      </c>
      <c r="R125">
        <v>12.96</v>
      </c>
      <c r="S125" s="1"/>
      <c r="T125" s="1" t="str">
        <f>IF(O125="Furniture","Cardbaord",O125)</f>
        <v>Office Supplies</v>
      </c>
      <c r="U125" s="1" t="str">
        <f>IF(O125="furniture","cardbaord",IF(O125="office supplies","OS",O125))</f>
        <v>OS</v>
      </c>
    </row>
    <row r="126" spans="1:21" x14ac:dyDescent="0.3">
      <c r="A126">
        <v>349</v>
      </c>
      <c r="B126" s="1" t="s">
        <v>1085</v>
      </c>
      <c r="C126" s="1" t="s">
        <v>1086</v>
      </c>
      <c r="D126" s="1" t="s">
        <v>1087</v>
      </c>
      <c r="E126" s="1" t="s">
        <v>49</v>
      </c>
      <c r="F126" s="1" t="s">
        <v>1088</v>
      </c>
      <c r="G126" s="1" t="s">
        <v>1089</v>
      </c>
      <c r="H126" s="1" t="s">
        <v>24</v>
      </c>
      <c r="I126" s="1" t="s">
        <v>25</v>
      </c>
      <c r="J126" s="1" t="s">
        <v>1090</v>
      </c>
      <c r="K126" s="1" t="s">
        <v>1091</v>
      </c>
      <c r="L126">
        <v>1852</v>
      </c>
      <c r="M126" s="1" t="s">
        <v>141</v>
      </c>
      <c r="N126" s="1" t="s">
        <v>1092</v>
      </c>
      <c r="O126" s="1" t="s">
        <v>43</v>
      </c>
      <c r="P126" s="1" t="s">
        <v>123</v>
      </c>
      <c r="Q126" s="1" t="s">
        <v>1093</v>
      </c>
      <c r="R126">
        <v>12.96</v>
      </c>
      <c r="S126" s="1"/>
      <c r="T126" s="1" t="str">
        <f>IF(O126="Furniture","Cardbaord",O126)</f>
        <v>Office Supplies</v>
      </c>
      <c r="U126" s="1" t="str">
        <f>IF(O126="furniture","cardbaord",IF(O126="office supplies","OS",O126))</f>
        <v>OS</v>
      </c>
    </row>
    <row r="127" spans="1:21" x14ac:dyDescent="0.3">
      <c r="A127">
        <v>804</v>
      </c>
      <c r="B127" s="1" t="s">
        <v>2077</v>
      </c>
      <c r="C127" s="1" t="s">
        <v>2078</v>
      </c>
      <c r="D127" s="1" t="s">
        <v>2079</v>
      </c>
      <c r="E127" s="1" t="s">
        <v>49</v>
      </c>
      <c r="F127" s="1" t="s">
        <v>2080</v>
      </c>
      <c r="G127" s="1" t="s">
        <v>2081</v>
      </c>
      <c r="H127" s="1" t="s">
        <v>38</v>
      </c>
      <c r="I127" s="1" t="s">
        <v>25</v>
      </c>
      <c r="J127" s="1" t="s">
        <v>672</v>
      </c>
      <c r="K127" s="1" t="s">
        <v>673</v>
      </c>
      <c r="L127">
        <v>71203</v>
      </c>
      <c r="M127" s="1" t="s">
        <v>28</v>
      </c>
      <c r="N127" s="1" t="s">
        <v>2082</v>
      </c>
      <c r="O127" s="1" t="s">
        <v>43</v>
      </c>
      <c r="P127" s="1" t="s">
        <v>73</v>
      </c>
      <c r="Q127" s="1" t="s">
        <v>2083</v>
      </c>
      <c r="R127">
        <v>12.96</v>
      </c>
      <c r="S127" s="1"/>
      <c r="T127" s="1" t="str">
        <f>IF(O127="Furniture","Cardbaord",O127)</f>
        <v>Office Supplies</v>
      </c>
      <c r="U127" s="1" t="str">
        <f>IF(O127="furniture","cardbaord",IF(O127="office supplies","OS",O127))</f>
        <v>OS</v>
      </c>
    </row>
    <row r="128" spans="1:21" x14ac:dyDescent="0.3">
      <c r="A128">
        <v>939</v>
      </c>
      <c r="B128" s="1" t="s">
        <v>2282</v>
      </c>
      <c r="C128" s="1" t="s">
        <v>2283</v>
      </c>
      <c r="D128" s="1" t="s">
        <v>2284</v>
      </c>
      <c r="E128" s="1" t="s">
        <v>49</v>
      </c>
      <c r="F128" s="1" t="s">
        <v>2285</v>
      </c>
      <c r="G128" s="1" t="s">
        <v>2286</v>
      </c>
      <c r="H128" s="1" t="s">
        <v>38</v>
      </c>
      <c r="I128" s="1" t="s">
        <v>25</v>
      </c>
      <c r="J128" s="1" t="s">
        <v>2287</v>
      </c>
      <c r="K128" s="1" t="s">
        <v>40</v>
      </c>
      <c r="L128">
        <v>92503</v>
      </c>
      <c r="M128" s="1" t="s">
        <v>41</v>
      </c>
      <c r="N128" s="1" t="s">
        <v>2288</v>
      </c>
      <c r="O128" s="1" t="s">
        <v>43</v>
      </c>
      <c r="P128" s="1" t="s">
        <v>73</v>
      </c>
      <c r="Q128" s="1" t="s">
        <v>2289</v>
      </c>
      <c r="R128">
        <v>12.96</v>
      </c>
      <c r="S128" s="1"/>
      <c r="T128" s="1" t="str">
        <f>IF(O128="Furniture","Cardbaord",O128)</f>
        <v>Office Supplies</v>
      </c>
      <c r="U128" s="1" t="str">
        <f>IF(O128="furniture","cardbaord",IF(O128="office supplies","OS",O128))</f>
        <v>OS</v>
      </c>
    </row>
    <row r="129" spans="1:21" x14ac:dyDescent="0.3">
      <c r="A129">
        <v>2268</v>
      </c>
      <c r="B129" s="1" t="s">
        <v>3404</v>
      </c>
      <c r="C129" s="1" t="s">
        <v>934</v>
      </c>
      <c r="D129" s="1" t="s">
        <v>934</v>
      </c>
      <c r="E129" s="1" t="s">
        <v>1124</v>
      </c>
      <c r="F129" s="1" t="s">
        <v>3405</v>
      </c>
      <c r="G129" s="1" t="s">
        <v>3406</v>
      </c>
      <c r="H129" s="1" t="s">
        <v>24</v>
      </c>
      <c r="I129" s="1" t="s">
        <v>25</v>
      </c>
      <c r="J129" s="1" t="s">
        <v>80</v>
      </c>
      <c r="K129" s="1" t="s">
        <v>81</v>
      </c>
      <c r="L129">
        <v>98115</v>
      </c>
      <c r="M129" s="1" t="s">
        <v>41</v>
      </c>
      <c r="N129" s="1" t="s">
        <v>3407</v>
      </c>
      <c r="O129" s="1" t="s">
        <v>43</v>
      </c>
      <c r="P129" s="1" t="s">
        <v>73</v>
      </c>
      <c r="Q129" s="1" t="s">
        <v>3408</v>
      </c>
      <c r="R129">
        <v>12.96</v>
      </c>
      <c r="S129" s="1"/>
      <c r="T129" s="1" t="str">
        <f>IF(O129="Furniture","Cardbaord",O129)</f>
        <v>Office Supplies</v>
      </c>
      <c r="U129" s="1" t="str">
        <f>IF(O129="furniture","cardbaord",IF(O129="office supplies","OS",O129))</f>
        <v>OS</v>
      </c>
    </row>
    <row r="130" spans="1:21" x14ac:dyDescent="0.3">
      <c r="A130">
        <v>2808</v>
      </c>
      <c r="B130" s="1" t="s">
        <v>3629</v>
      </c>
      <c r="C130" s="1" t="s">
        <v>3630</v>
      </c>
      <c r="D130" s="1" t="s">
        <v>3631</v>
      </c>
      <c r="E130" s="1" t="s">
        <v>21</v>
      </c>
      <c r="F130" s="1" t="s">
        <v>3632</v>
      </c>
      <c r="G130" s="1" t="s">
        <v>3633</v>
      </c>
      <c r="H130" s="1" t="s">
        <v>24</v>
      </c>
      <c r="I130" s="1" t="s">
        <v>25</v>
      </c>
      <c r="J130" s="1" t="s">
        <v>80</v>
      </c>
      <c r="K130" s="1" t="s">
        <v>81</v>
      </c>
      <c r="L130">
        <v>98115</v>
      </c>
      <c r="M130" s="1" t="s">
        <v>41</v>
      </c>
      <c r="N130" s="1" t="s">
        <v>3634</v>
      </c>
      <c r="O130" s="1" t="s">
        <v>43</v>
      </c>
      <c r="P130" s="1" t="s">
        <v>73</v>
      </c>
      <c r="Q130" s="1" t="s">
        <v>3635</v>
      </c>
      <c r="R130">
        <v>12.96</v>
      </c>
      <c r="S130" s="1"/>
      <c r="T130" s="1" t="str">
        <f>IF(O130="Furniture","Cardbaord",O130)</f>
        <v>Office Supplies</v>
      </c>
      <c r="U130" s="1" t="str">
        <f>IF(O130="furniture","cardbaord",IF(O130="office supplies","OS",O130))</f>
        <v>OS</v>
      </c>
    </row>
    <row r="131" spans="1:21" x14ac:dyDescent="0.3">
      <c r="A131">
        <v>920</v>
      </c>
      <c r="B131" s="1" t="s">
        <v>2251</v>
      </c>
      <c r="C131" s="1" t="s">
        <v>2252</v>
      </c>
      <c r="D131" s="1" t="s">
        <v>210</v>
      </c>
      <c r="E131" s="1" t="s">
        <v>49</v>
      </c>
      <c r="F131" s="1" t="s">
        <v>2253</v>
      </c>
      <c r="G131" s="1" t="s">
        <v>2254</v>
      </c>
      <c r="H131" s="1" t="s">
        <v>38</v>
      </c>
      <c r="I131" s="1" t="s">
        <v>25</v>
      </c>
      <c r="J131" s="1" t="s">
        <v>748</v>
      </c>
      <c r="K131" s="1" t="s">
        <v>92</v>
      </c>
      <c r="L131">
        <v>75220</v>
      </c>
      <c r="M131" s="1" t="s">
        <v>93</v>
      </c>
      <c r="N131" s="1" t="s">
        <v>2255</v>
      </c>
      <c r="O131" s="1" t="s">
        <v>43</v>
      </c>
      <c r="P131" s="1" t="s">
        <v>105</v>
      </c>
      <c r="Q131" s="1" t="s">
        <v>2256</v>
      </c>
      <c r="R131">
        <v>12.992000000000001</v>
      </c>
      <c r="S131" s="1"/>
      <c r="T131" s="1" t="str">
        <f>IF(O131="Furniture","Cardbaord",O131)</f>
        <v>Office Supplies</v>
      </c>
      <c r="U131" s="1" t="str">
        <f>IF(O131="furniture","cardbaord",IF(O131="office supplies","OS",O131))</f>
        <v>OS</v>
      </c>
    </row>
    <row r="132" spans="1:21" x14ac:dyDescent="0.3">
      <c r="A132">
        <v>562</v>
      </c>
      <c r="B132" s="1" t="s">
        <v>1604</v>
      </c>
      <c r="C132" s="1" t="s">
        <v>641</v>
      </c>
      <c r="D132" s="1" t="s">
        <v>1605</v>
      </c>
      <c r="E132" s="1" t="s">
        <v>21</v>
      </c>
      <c r="F132" s="1" t="s">
        <v>1606</v>
      </c>
      <c r="G132" s="1" t="s">
        <v>1607</v>
      </c>
      <c r="H132" s="1" t="s">
        <v>24</v>
      </c>
      <c r="I132" s="1" t="s">
        <v>25</v>
      </c>
      <c r="J132" s="1" t="s">
        <v>1608</v>
      </c>
      <c r="K132" s="1" t="s">
        <v>53</v>
      </c>
      <c r="L132">
        <v>33614</v>
      </c>
      <c r="M132" s="1" t="s">
        <v>28</v>
      </c>
      <c r="N132" s="1" t="s">
        <v>1609</v>
      </c>
      <c r="O132" s="1" t="s">
        <v>43</v>
      </c>
      <c r="P132" s="1" t="s">
        <v>95</v>
      </c>
      <c r="Q132" s="1" t="s">
        <v>1610</v>
      </c>
      <c r="R132">
        <v>13</v>
      </c>
      <c r="S132" s="1"/>
      <c r="T132" s="1" t="str">
        <f>IF(O132="Furniture","Cardbaord",O132)</f>
        <v>Office Supplies</v>
      </c>
      <c r="U132" s="1" t="str">
        <f>IF(O132="furniture","cardbaord",IF(O132="office supplies","OS",O132))</f>
        <v>OS</v>
      </c>
    </row>
    <row r="133" spans="1:21" x14ac:dyDescent="0.3">
      <c r="A133">
        <v>2015</v>
      </c>
      <c r="B133" s="1" t="s">
        <v>3284</v>
      </c>
      <c r="C133" s="1" t="s">
        <v>298</v>
      </c>
      <c r="D133" s="1" t="s">
        <v>299</v>
      </c>
      <c r="E133" s="1" t="s">
        <v>49</v>
      </c>
      <c r="F133" s="1" t="s">
        <v>3285</v>
      </c>
      <c r="G133" s="1" t="s">
        <v>3286</v>
      </c>
      <c r="H133" s="1" t="s">
        <v>24</v>
      </c>
      <c r="I133" s="1" t="s">
        <v>25</v>
      </c>
      <c r="J133" s="1" t="s">
        <v>1360</v>
      </c>
      <c r="K133" s="1" t="s">
        <v>325</v>
      </c>
      <c r="L133">
        <v>36830</v>
      </c>
      <c r="M133" s="1" t="s">
        <v>28</v>
      </c>
      <c r="N133" s="1" t="s">
        <v>3287</v>
      </c>
      <c r="O133" s="1" t="s">
        <v>43</v>
      </c>
      <c r="P133" s="1" t="s">
        <v>73</v>
      </c>
      <c r="Q133" s="1" t="s">
        <v>3288</v>
      </c>
      <c r="R133">
        <v>13.08</v>
      </c>
      <c r="S133" s="1"/>
      <c r="T133" s="1" t="str">
        <f>IF(O133="Furniture","Cardbaord",O133)</f>
        <v>Office Supplies</v>
      </c>
      <c r="U133" s="1" t="str">
        <f>IF(O133="furniture","cardbaord",IF(O133="office supplies","OS",O133))</f>
        <v>OS</v>
      </c>
    </row>
    <row r="134" spans="1:21" x14ac:dyDescent="0.3">
      <c r="A134">
        <v>3133</v>
      </c>
      <c r="B134" s="1" t="s">
        <v>3733</v>
      </c>
      <c r="C134" s="1" t="s">
        <v>3685</v>
      </c>
      <c r="D134" s="1" t="s">
        <v>686</v>
      </c>
      <c r="E134" s="1" t="s">
        <v>169</v>
      </c>
      <c r="F134" s="1" t="s">
        <v>3734</v>
      </c>
      <c r="G134" s="1" t="s">
        <v>3735</v>
      </c>
      <c r="H134" s="1" t="s">
        <v>38</v>
      </c>
      <c r="I134" s="1" t="s">
        <v>25</v>
      </c>
      <c r="J134" s="1" t="s">
        <v>1970</v>
      </c>
      <c r="K134" s="1" t="s">
        <v>252</v>
      </c>
      <c r="L134">
        <v>11572</v>
      </c>
      <c r="M134" s="1" t="s">
        <v>141</v>
      </c>
      <c r="N134" s="1" t="s">
        <v>3736</v>
      </c>
      <c r="O134" s="1" t="s">
        <v>30</v>
      </c>
      <c r="P134" s="1" t="s">
        <v>63</v>
      </c>
      <c r="Q134" s="1" t="s">
        <v>3737</v>
      </c>
      <c r="R134">
        <v>13.28</v>
      </c>
      <c r="S134" s="1"/>
      <c r="T134" s="1" t="str">
        <f>IF(O134="Furniture","Cardbaord",O134)</f>
        <v>Cardbaord</v>
      </c>
      <c r="U134" s="1" t="str">
        <f>IF(O134="furniture","cardbaord",IF(O134="office supplies","OS",O134))</f>
        <v>cardbaord</v>
      </c>
    </row>
    <row r="135" spans="1:21" x14ac:dyDescent="0.3">
      <c r="A135">
        <v>2248</v>
      </c>
      <c r="B135" s="1" t="s">
        <v>3392</v>
      </c>
      <c r="C135" s="1" t="s">
        <v>3114</v>
      </c>
      <c r="D135" s="1" t="s">
        <v>3393</v>
      </c>
      <c r="E135" s="1" t="s">
        <v>21</v>
      </c>
      <c r="F135" s="1" t="s">
        <v>3394</v>
      </c>
      <c r="G135" s="1" t="s">
        <v>3395</v>
      </c>
      <c r="H135" s="1" t="s">
        <v>24</v>
      </c>
      <c r="I135" s="1" t="s">
        <v>25</v>
      </c>
      <c r="J135" s="1" t="s">
        <v>39</v>
      </c>
      <c r="K135" s="1" t="s">
        <v>40</v>
      </c>
      <c r="L135">
        <v>90004</v>
      </c>
      <c r="M135" s="1" t="s">
        <v>41</v>
      </c>
      <c r="N135" s="1" t="s">
        <v>3396</v>
      </c>
      <c r="O135" s="1" t="s">
        <v>43</v>
      </c>
      <c r="P135" s="1" t="s">
        <v>73</v>
      </c>
      <c r="Q135" s="1" t="s">
        <v>3397</v>
      </c>
      <c r="R135">
        <v>13.36</v>
      </c>
      <c r="S135" s="1"/>
      <c r="T135" s="1" t="str">
        <f>IF(O135="Furniture","Cardbaord",O135)</f>
        <v>Office Supplies</v>
      </c>
      <c r="U135" s="1" t="str">
        <f>IF(O135="furniture","cardbaord",IF(O135="office supplies","OS",O135))</f>
        <v>OS</v>
      </c>
    </row>
    <row r="136" spans="1:21" x14ac:dyDescent="0.3">
      <c r="A136">
        <v>1694</v>
      </c>
      <c r="B136" s="1" t="s">
        <v>3053</v>
      </c>
      <c r="C136" s="1" t="s">
        <v>1396</v>
      </c>
      <c r="D136" s="1" t="s">
        <v>3054</v>
      </c>
      <c r="E136" s="1" t="s">
        <v>21</v>
      </c>
      <c r="F136" s="1" t="s">
        <v>3055</v>
      </c>
      <c r="G136" s="1" t="s">
        <v>3056</v>
      </c>
      <c r="H136" s="1" t="s">
        <v>90</v>
      </c>
      <c r="I136" s="1" t="s">
        <v>25</v>
      </c>
      <c r="J136" s="1" t="s">
        <v>3057</v>
      </c>
      <c r="K136" s="1" t="s">
        <v>92</v>
      </c>
      <c r="L136">
        <v>75023</v>
      </c>
      <c r="M136" s="1" t="s">
        <v>93</v>
      </c>
      <c r="N136" s="1" t="s">
        <v>3058</v>
      </c>
      <c r="O136" s="1" t="s">
        <v>174</v>
      </c>
      <c r="P136" s="1" t="s">
        <v>217</v>
      </c>
      <c r="Q136" s="1" t="s">
        <v>3059</v>
      </c>
      <c r="R136">
        <v>13.616</v>
      </c>
      <c r="S136" s="1"/>
      <c r="T136" s="1" t="str">
        <f>IF(O136="Furniture","Cardbaord",O136)</f>
        <v>Technology</v>
      </c>
      <c r="U136" s="1" t="str">
        <f>IF(O136="furniture","cardbaord",IF(O136="office supplies","OS",O136))</f>
        <v>Technology</v>
      </c>
    </row>
    <row r="137" spans="1:21" x14ac:dyDescent="0.3">
      <c r="A137">
        <v>1663</v>
      </c>
      <c r="B137" s="1" t="s">
        <v>3041</v>
      </c>
      <c r="C137" s="1" t="s">
        <v>3042</v>
      </c>
      <c r="D137" s="1" t="s">
        <v>3043</v>
      </c>
      <c r="E137" s="1" t="s">
        <v>49</v>
      </c>
      <c r="F137" s="1" t="s">
        <v>3044</v>
      </c>
      <c r="G137" s="1" t="s">
        <v>3045</v>
      </c>
      <c r="H137" s="1" t="s">
        <v>38</v>
      </c>
      <c r="I137" s="1" t="s">
        <v>25</v>
      </c>
      <c r="J137" s="1" t="s">
        <v>139</v>
      </c>
      <c r="K137" s="1" t="s">
        <v>140</v>
      </c>
      <c r="L137">
        <v>19143</v>
      </c>
      <c r="M137" s="1" t="s">
        <v>141</v>
      </c>
      <c r="N137" s="1" t="s">
        <v>3046</v>
      </c>
      <c r="O137" s="1" t="s">
        <v>43</v>
      </c>
      <c r="P137" s="1" t="s">
        <v>83</v>
      </c>
      <c r="Q137" s="1" t="s">
        <v>3047</v>
      </c>
      <c r="R137">
        <v>13.896000000000001</v>
      </c>
      <c r="S137" s="1"/>
      <c r="T137" s="1" t="str">
        <f>IF(O137="Furniture","Cardbaord",O137)</f>
        <v>Office Supplies</v>
      </c>
      <c r="U137" s="1" t="str">
        <f>IF(O137="furniture","cardbaord",IF(O137="office supplies","OS",O137))</f>
        <v>OS</v>
      </c>
    </row>
    <row r="138" spans="1:21" x14ac:dyDescent="0.3">
      <c r="A138">
        <v>886</v>
      </c>
      <c r="B138" s="1" t="s">
        <v>2203</v>
      </c>
      <c r="C138" s="1" t="s">
        <v>2204</v>
      </c>
      <c r="D138" s="1" t="s">
        <v>1162</v>
      </c>
      <c r="E138" s="1" t="s">
        <v>21</v>
      </c>
      <c r="F138" s="1" t="s">
        <v>2205</v>
      </c>
      <c r="G138" s="1" t="s">
        <v>2206</v>
      </c>
      <c r="H138" s="1" t="s">
        <v>38</v>
      </c>
      <c r="I138" s="1" t="s">
        <v>25</v>
      </c>
      <c r="J138" s="1" t="s">
        <v>39</v>
      </c>
      <c r="K138" s="1" t="s">
        <v>40</v>
      </c>
      <c r="L138">
        <v>90045</v>
      </c>
      <c r="M138" s="1" t="s">
        <v>41</v>
      </c>
      <c r="N138" s="1" t="s">
        <v>2207</v>
      </c>
      <c r="O138" s="1" t="s">
        <v>43</v>
      </c>
      <c r="P138" s="1" t="s">
        <v>83</v>
      </c>
      <c r="Q138" s="1" t="s">
        <v>2208</v>
      </c>
      <c r="R138">
        <v>13.944000000000001</v>
      </c>
      <c r="S138" s="1"/>
      <c r="T138" s="1" t="str">
        <f>IF(O138="Furniture","Cardbaord",O138)</f>
        <v>Office Supplies</v>
      </c>
      <c r="U138" s="1" t="str">
        <f>IF(O138="furniture","cardbaord",IF(O138="office supplies","OS",O138))</f>
        <v>OS</v>
      </c>
    </row>
    <row r="139" spans="1:21" x14ac:dyDescent="0.3">
      <c r="A139">
        <v>1017</v>
      </c>
      <c r="B139" s="1" t="s">
        <v>2399</v>
      </c>
      <c r="C139" s="1" t="s">
        <v>2400</v>
      </c>
      <c r="D139" s="1" t="s">
        <v>2401</v>
      </c>
      <c r="E139" s="1" t="s">
        <v>49</v>
      </c>
      <c r="F139" s="1" t="s">
        <v>2402</v>
      </c>
      <c r="G139" s="1" t="s">
        <v>2403</v>
      </c>
      <c r="H139" s="1" t="s">
        <v>38</v>
      </c>
      <c r="I139" s="1" t="s">
        <v>25</v>
      </c>
      <c r="J139" s="1" t="s">
        <v>251</v>
      </c>
      <c r="K139" s="1" t="s">
        <v>252</v>
      </c>
      <c r="L139">
        <v>10011</v>
      </c>
      <c r="M139" s="1" t="s">
        <v>141</v>
      </c>
      <c r="N139" s="1" t="s">
        <v>2404</v>
      </c>
      <c r="O139" s="1" t="s">
        <v>30</v>
      </c>
      <c r="P139" s="1" t="s">
        <v>63</v>
      </c>
      <c r="Q139" s="1" t="s">
        <v>2405</v>
      </c>
      <c r="R139">
        <v>13.96</v>
      </c>
      <c r="S139" s="1"/>
      <c r="T139" s="1" t="str">
        <f>IF(O139="Furniture","Cardbaord",O139)</f>
        <v>Cardbaord</v>
      </c>
      <c r="U139" s="1" t="str">
        <f>IF(O139="furniture","cardbaord",IF(O139="office supplies","OS",O139))</f>
        <v>cardbaord</v>
      </c>
    </row>
    <row r="140" spans="1:21" x14ac:dyDescent="0.3">
      <c r="A140">
        <v>63</v>
      </c>
      <c r="B140" s="1" t="s">
        <v>264</v>
      </c>
      <c r="C140" s="1" t="s">
        <v>265</v>
      </c>
      <c r="D140" s="1" t="s">
        <v>266</v>
      </c>
      <c r="E140" s="1" t="s">
        <v>49</v>
      </c>
      <c r="F140" s="1" t="s">
        <v>267</v>
      </c>
      <c r="G140" s="1" t="s">
        <v>268</v>
      </c>
      <c r="H140" s="1" t="s">
        <v>24</v>
      </c>
      <c r="I140" s="1" t="s">
        <v>25</v>
      </c>
      <c r="J140" s="1" t="s">
        <v>39</v>
      </c>
      <c r="K140" s="1" t="s">
        <v>40</v>
      </c>
      <c r="L140">
        <v>90004</v>
      </c>
      <c r="M140" s="1" t="s">
        <v>41</v>
      </c>
      <c r="N140" s="1" t="s">
        <v>269</v>
      </c>
      <c r="O140" s="1" t="s">
        <v>174</v>
      </c>
      <c r="P140" s="1" t="s">
        <v>217</v>
      </c>
      <c r="Q140" s="1" t="s">
        <v>270</v>
      </c>
      <c r="R140">
        <v>13.98</v>
      </c>
      <c r="S140" s="1"/>
      <c r="T140" s="1" t="str">
        <f>IF(O140="Furniture","Cardbaord",O140)</f>
        <v>Technology</v>
      </c>
      <c r="U140" s="1" t="str">
        <f>IF(O140="furniture","cardbaord",IF(O140="office supplies","OS",O140))</f>
        <v>Technology</v>
      </c>
    </row>
    <row r="141" spans="1:21" x14ac:dyDescent="0.3">
      <c r="A141">
        <v>267</v>
      </c>
      <c r="B141" s="1" t="s">
        <v>904</v>
      </c>
      <c r="C141" s="1" t="s">
        <v>905</v>
      </c>
      <c r="D141" s="1" t="s">
        <v>398</v>
      </c>
      <c r="E141" s="1" t="s">
        <v>49</v>
      </c>
      <c r="F141" s="1" t="s">
        <v>906</v>
      </c>
      <c r="G141" s="1" t="s">
        <v>907</v>
      </c>
      <c r="H141" s="1" t="s">
        <v>38</v>
      </c>
      <c r="I141" s="1" t="s">
        <v>25</v>
      </c>
      <c r="J141" s="1" t="s">
        <v>908</v>
      </c>
      <c r="K141" s="1" t="s">
        <v>71</v>
      </c>
      <c r="L141">
        <v>27514</v>
      </c>
      <c r="M141" s="1" t="s">
        <v>28</v>
      </c>
      <c r="N141" s="1" t="s">
        <v>909</v>
      </c>
      <c r="O141" s="1" t="s">
        <v>43</v>
      </c>
      <c r="P141" s="1" t="s">
        <v>123</v>
      </c>
      <c r="Q141" s="1" t="s">
        <v>910</v>
      </c>
      <c r="R141">
        <v>14.016</v>
      </c>
      <c r="S141" s="1"/>
      <c r="T141" s="1" t="str">
        <f>IF(O141="Furniture","Cardbaord",O141)</f>
        <v>Office Supplies</v>
      </c>
      <c r="U141" s="1" t="str">
        <f>IF(O141="furniture","cardbaord",IF(O141="office supplies","OS",O141))</f>
        <v>OS</v>
      </c>
    </row>
    <row r="142" spans="1:21" x14ac:dyDescent="0.3">
      <c r="A142">
        <v>2471</v>
      </c>
      <c r="B142" s="1" t="s">
        <v>3525</v>
      </c>
      <c r="C142" s="1" t="s">
        <v>3526</v>
      </c>
      <c r="D142" s="1" t="s">
        <v>3527</v>
      </c>
      <c r="E142" s="1" t="s">
        <v>49</v>
      </c>
      <c r="F142" s="1" t="s">
        <v>3528</v>
      </c>
      <c r="G142" s="1" t="s">
        <v>3529</v>
      </c>
      <c r="H142" s="1" t="s">
        <v>24</v>
      </c>
      <c r="I142" s="1" t="s">
        <v>25</v>
      </c>
      <c r="J142" s="1" t="s">
        <v>1458</v>
      </c>
      <c r="K142" s="1" t="s">
        <v>71</v>
      </c>
      <c r="L142">
        <v>28314</v>
      </c>
      <c r="M142" s="1" t="s">
        <v>28</v>
      </c>
      <c r="N142" s="1" t="s">
        <v>3530</v>
      </c>
      <c r="O142" s="1" t="s">
        <v>30</v>
      </c>
      <c r="P142" s="1" t="s">
        <v>63</v>
      </c>
      <c r="Q142" s="1" t="s">
        <v>3531</v>
      </c>
      <c r="R142">
        <v>14.272</v>
      </c>
      <c r="S142" s="1"/>
      <c r="T142" s="1" t="str">
        <f>IF(O142="Furniture","Cardbaord",O142)</f>
        <v>Cardbaord</v>
      </c>
      <c r="U142" s="1" t="str">
        <f>IF(O142="furniture","cardbaord",IF(O142="office supplies","OS",O142))</f>
        <v>cardbaord</v>
      </c>
    </row>
    <row r="143" spans="1:21" x14ac:dyDescent="0.3">
      <c r="A143">
        <v>681</v>
      </c>
      <c r="B143" s="1" t="s">
        <v>1855</v>
      </c>
      <c r="C143" s="1" t="s">
        <v>1856</v>
      </c>
      <c r="D143" s="1" t="s">
        <v>591</v>
      </c>
      <c r="E143" s="1" t="s">
        <v>49</v>
      </c>
      <c r="F143" s="1" t="s">
        <v>1857</v>
      </c>
      <c r="G143" s="1" t="s">
        <v>1858</v>
      </c>
      <c r="H143" s="1" t="s">
        <v>24</v>
      </c>
      <c r="I143" s="1" t="s">
        <v>25</v>
      </c>
      <c r="J143" s="1" t="s">
        <v>251</v>
      </c>
      <c r="K143" s="1" t="s">
        <v>252</v>
      </c>
      <c r="L143">
        <v>10024</v>
      </c>
      <c r="M143" s="1" t="s">
        <v>141</v>
      </c>
      <c r="N143" s="1" t="s">
        <v>1859</v>
      </c>
      <c r="O143" s="1" t="s">
        <v>43</v>
      </c>
      <c r="P143" s="1" t="s">
        <v>83</v>
      </c>
      <c r="Q143" s="1" t="s">
        <v>1860</v>
      </c>
      <c r="R143">
        <v>14.352</v>
      </c>
      <c r="S143" s="1"/>
      <c r="T143" s="1" t="str">
        <f>IF(O143="Furniture","Cardbaord",O143)</f>
        <v>Office Supplies</v>
      </c>
      <c r="U143" s="1" t="str">
        <f>IF(O143="furniture","cardbaord",IF(O143="office supplies","OS",O143))</f>
        <v>OS</v>
      </c>
    </row>
    <row r="144" spans="1:21" x14ac:dyDescent="0.3">
      <c r="A144">
        <v>2286</v>
      </c>
      <c r="B144" s="1" t="s">
        <v>3409</v>
      </c>
      <c r="C144" s="1" t="s">
        <v>2774</v>
      </c>
      <c r="D144" s="1" t="s">
        <v>3410</v>
      </c>
      <c r="E144" s="1" t="s">
        <v>169</v>
      </c>
      <c r="F144" s="1" t="s">
        <v>3411</v>
      </c>
      <c r="G144" s="1" t="s">
        <v>3412</v>
      </c>
      <c r="H144" s="1" t="s">
        <v>38</v>
      </c>
      <c r="I144" s="1" t="s">
        <v>25</v>
      </c>
      <c r="J144" s="1" t="s">
        <v>1054</v>
      </c>
      <c r="K144" s="1" t="s">
        <v>310</v>
      </c>
      <c r="L144">
        <v>37130</v>
      </c>
      <c r="M144" s="1" t="s">
        <v>28</v>
      </c>
      <c r="N144" s="1" t="s">
        <v>3413</v>
      </c>
      <c r="O144" s="1" t="s">
        <v>43</v>
      </c>
      <c r="P144" s="1" t="s">
        <v>73</v>
      </c>
      <c r="Q144" s="1" t="s">
        <v>3414</v>
      </c>
      <c r="R144">
        <v>14.352</v>
      </c>
      <c r="S144" s="1"/>
      <c r="T144" s="1" t="str">
        <f>IF(O144="Furniture","Cardbaord",O144)</f>
        <v>Office Supplies</v>
      </c>
      <c r="U144" s="1" t="str">
        <f>IF(O144="furniture","cardbaord",IF(O144="office supplies","OS",O144))</f>
        <v>OS</v>
      </c>
    </row>
    <row r="145" spans="1:21" x14ac:dyDescent="0.3">
      <c r="A145">
        <v>2329</v>
      </c>
      <c r="B145" s="1" t="s">
        <v>3430</v>
      </c>
      <c r="C145" s="1" t="s">
        <v>203</v>
      </c>
      <c r="D145" s="1" t="s">
        <v>3107</v>
      </c>
      <c r="E145" s="1" t="s">
        <v>169</v>
      </c>
      <c r="F145" s="1" t="s">
        <v>3431</v>
      </c>
      <c r="G145" s="1" t="s">
        <v>3432</v>
      </c>
      <c r="H145" s="1" t="s">
        <v>90</v>
      </c>
      <c r="I145" s="1" t="s">
        <v>25</v>
      </c>
      <c r="J145" s="1" t="s">
        <v>3433</v>
      </c>
      <c r="K145" s="1" t="s">
        <v>431</v>
      </c>
      <c r="L145">
        <v>80525</v>
      </c>
      <c r="M145" s="1" t="s">
        <v>41</v>
      </c>
      <c r="N145" s="1" t="s">
        <v>3434</v>
      </c>
      <c r="O145" s="1" t="s">
        <v>43</v>
      </c>
      <c r="P145" s="1" t="s">
        <v>183</v>
      </c>
      <c r="Q145" s="1" t="s">
        <v>3435</v>
      </c>
      <c r="R145">
        <v>14.352</v>
      </c>
      <c r="S145" s="1"/>
      <c r="T145" s="1" t="str">
        <f>IF(O145="Furniture","Cardbaord",O145)</f>
        <v>Office Supplies</v>
      </c>
      <c r="U145" s="1" t="str">
        <f>IF(O145="furniture","cardbaord",IF(O145="office supplies","OS",O145))</f>
        <v>OS</v>
      </c>
    </row>
    <row r="146" spans="1:21" x14ac:dyDescent="0.3">
      <c r="A146">
        <v>3</v>
      </c>
      <c r="B146" s="1" t="s">
        <v>33</v>
      </c>
      <c r="C146" s="1" t="s">
        <v>34</v>
      </c>
      <c r="D146" s="1" t="s">
        <v>35</v>
      </c>
      <c r="E146" s="1" t="s">
        <v>21</v>
      </c>
      <c r="F146" s="1" t="s">
        <v>36</v>
      </c>
      <c r="G146" s="1" t="s">
        <v>37</v>
      </c>
      <c r="H146" s="1" t="s">
        <v>38</v>
      </c>
      <c r="I146" s="1" t="s">
        <v>25</v>
      </c>
      <c r="J146" s="1" t="s">
        <v>39</v>
      </c>
      <c r="K146" s="1" t="s">
        <v>40</v>
      </c>
      <c r="L146">
        <v>90036</v>
      </c>
      <c r="M146" s="1" t="s">
        <v>41</v>
      </c>
      <c r="N146" s="1" t="s">
        <v>42</v>
      </c>
      <c r="O146" s="1" t="s">
        <v>43</v>
      </c>
      <c r="P146" s="1" t="s">
        <v>44</v>
      </c>
      <c r="Q146" s="1" t="s">
        <v>45</v>
      </c>
      <c r="R146">
        <v>14.62</v>
      </c>
      <c r="S146" s="1">
        <f>MAX(R:R)</f>
        <v>11199.968000000001</v>
      </c>
      <c r="T146" s="1" t="str">
        <f>IF(O146="Furniture","Cardbaord",O146)</f>
        <v>Office Supplies</v>
      </c>
      <c r="U146" s="1" t="str">
        <f>IF(O146="furniture","cardbaord",IF(O146="office supplies","OS",O146))</f>
        <v>OS</v>
      </c>
    </row>
    <row r="147" spans="1:21" x14ac:dyDescent="0.3">
      <c r="A147">
        <v>159</v>
      </c>
      <c r="B147" s="1" t="s">
        <v>589</v>
      </c>
      <c r="C147" s="1" t="s">
        <v>590</v>
      </c>
      <c r="D147" s="1" t="s">
        <v>591</v>
      </c>
      <c r="E147" s="1" t="s">
        <v>49</v>
      </c>
      <c r="F147" s="1" t="s">
        <v>592</v>
      </c>
      <c r="G147" s="1" t="s">
        <v>593</v>
      </c>
      <c r="H147" s="1" t="s">
        <v>24</v>
      </c>
      <c r="I147" s="1" t="s">
        <v>25</v>
      </c>
      <c r="J147" s="1" t="s">
        <v>594</v>
      </c>
      <c r="K147" s="1" t="s">
        <v>595</v>
      </c>
      <c r="L147">
        <v>73034</v>
      </c>
      <c r="M147" s="1" t="s">
        <v>93</v>
      </c>
      <c r="N147" s="1" t="s">
        <v>596</v>
      </c>
      <c r="O147" s="1" t="s">
        <v>43</v>
      </c>
      <c r="P147" s="1" t="s">
        <v>44</v>
      </c>
      <c r="Q147" s="1" t="s">
        <v>597</v>
      </c>
      <c r="R147">
        <v>14.62</v>
      </c>
      <c r="S147" s="1"/>
      <c r="T147" s="1" t="str">
        <f>IF(O147="Furniture","Cardbaord",O147)</f>
        <v>Office Supplies</v>
      </c>
      <c r="U147" s="1" t="str">
        <f>IF(O147="furniture","cardbaord",IF(O147="office supplies","OS",O147))</f>
        <v>OS</v>
      </c>
    </row>
    <row r="148" spans="1:21" x14ac:dyDescent="0.3">
      <c r="A148">
        <v>687</v>
      </c>
      <c r="B148" s="1" t="s">
        <v>1868</v>
      </c>
      <c r="C148" s="1" t="s">
        <v>1869</v>
      </c>
      <c r="D148" s="1" t="s">
        <v>1870</v>
      </c>
      <c r="E148" s="1" t="s">
        <v>169</v>
      </c>
      <c r="F148" s="1" t="s">
        <v>1871</v>
      </c>
      <c r="G148" s="1" t="s">
        <v>1872</v>
      </c>
      <c r="H148" s="1" t="s">
        <v>24</v>
      </c>
      <c r="I148" s="1" t="s">
        <v>25</v>
      </c>
      <c r="J148" s="1" t="s">
        <v>1299</v>
      </c>
      <c r="K148" s="1" t="s">
        <v>1300</v>
      </c>
      <c r="L148">
        <v>39212</v>
      </c>
      <c r="M148" s="1" t="s">
        <v>28</v>
      </c>
      <c r="N148" s="1" t="s">
        <v>1873</v>
      </c>
      <c r="O148" s="1" t="s">
        <v>43</v>
      </c>
      <c r="P148" s="1" t="s">
        <v>44</v>
      </c>
      <c r="Q148" s="1" t="s">
        <v>1874</v>
      </c>
      <c r="R148">
        <v>14.62</v>
      </c>
      <c r="S148" s="1"/>
      <c r="T148" s="1" t="str">
        <f>IF(O148="Furniture","Cardbaord",O148)</f>
        <v>Office Supplies</v>
      </c>
      <c r="U148" s="1" t="str">
        <f>IF(O148="furniture","cardbaord",IF(O148="office supplies","OS",O148))</f>
        <v>OS</v>
      </c>
    </row>
    <row r="149" spans="1:21" x14ac:dyDescent="0.3">
      <c r="A149">
        <v>480</v>
      </c>
      <c r="B149" s="1" t="s">
        <v>1395</v>
      </c>
      <c r="C149" s="1" t="s">
        <v>1396</v>
      </c>
      <c r="D149" s="1" t="s">
        <v>1397</v>
      </c>
      <c r="E149" s="1" t="s">
        <v>49</v>
      </c>
      <c r="F149" s="1" t="s">
        <v>1398</v>
      </c>
      <c r="G149" s="1" t="s">
        <v>1399</v>
      </c>
      <c r="H149" s="1" t="s">
        <v>38</v>
      </c>
      <c r="I149" s="1" t="s">
        <v>25</v>
      </c>
      <c r="J149" s="1" t="s">
        <v>251</v>
      </c>
      <c r="K149" s="1" t="s">
        <v>252</v>
      </c>
      <c r="L149">
        <v>10024</v>
      </c>
      <c r="M149" s="1" t="s">
        <v>141</v>
      </c>
      <c r="N149" s="1" t="s">
        <v>1400</v>
      </c>
      <c r="O149" s="1" t="s">
        <v>43</v>
      </c>
      <c r="P149" s="1" t="s">
        <v>123</v>
      </c>
      <c r="Q149" s="1" t="s">
        <v>1401</v>
      </c>
      <c r="R149">
        <v>14.7</v>
      </c>
      <c r="S149" s="1"/>
      <c r="T149" s="1" t="str">
        <f>IF(O149="Furniture","Cardbaord",O149)</f>
        <v>Office Supplies</v>
      </c>
      <c r="U149" s="1" t="str">
        <f>IF(O149="furniture","cardbaord",IF(O149="office supplies","OS",O149))</f>
        <v>OS</v>
      </c>
    </row>
    <row r="150" spans="1:21" x14ac:dyDescent="0.3">
      <c r="A150">
        <v>2137</v>
      </c>
      <c r="B150" s="1" t="s">
        <v>3317</v>
      </c>
      <c r="C150" s="1" t="s">
        <v>179</v>
      </c>
      <c r="D150" s="1" t="s">
        <v>3318</v>
      </c>
      <c r="E150" s="1" t="s">
        <v>49</v>
      </c>
      <c r="F150" s="1" t="s">
        <v>3319</v>
      </c>
      <c r="G150" s="1" t="s">
        <v>3320</v>
      </c>
      <c r="H150" s="1" t="s">
        <v>24</v>
      </c>
      <c r="I150" s="1" t="s">
        <v>25</v>
      </c>
      <c r="J150" s="1" t="s">
        <v>696</v>
      </c>
      <c r="K150" s="1" t="s">
        <v>92</v>
      </c>
      <c r="L150">
        <v>75051</v>
      </c>
      <c r="M150" s="1" t="s">
        <v>93</v>
      </c>
      <c r="N150" s="1" t="s">
        <v>3321</v>
      </c>
      <c r="O150" s="1" t="s">
        <v>30</v>
      </c>
      <c r="P150" s="1" t="s">
        <v>63</v>
      </c>
      <c r="Q150" s="1" t="s">
        <v>3322</v>
      </c>
      <c r="R150">
        <v>14.76</v>
      </c>
      <c r="S150" s="1"/>
      <c r="T150" s="1" t="str">
        <f>IF(O150="Furniture","Cardbaord",O150)</f>
        <v>Cardbaord</v>
      </c>
      <c r="U150" s="1" t="str">
        <f>IF(O150="furniture","cardbaord",IF(O150="office supplies","OS",O150))</f>
        <v>cardbaord</v>
      </c>
    </row>
    <row r="151" spans="1:21" x14ac:dyDescent="0.3">
      <c r="A151">
        <v>574</v>
      </c>
      <c r="B151" s="1" t="s">
        <v>1628</v>
      </c>
      <c r="C151" s="1" t="s">
        <v>919</v>
      </c>
      <c r="D151" s="1" t="s">
        <v>1629</v>
      </c>
      <c r="E151" s="1" t="s">
        <v>49</v>
      </c>
      <c r="F151" s="1" t="s">
        <v>1630</v>
      </c>
      <c r="G151" s="1" t="s">
        <v>1631</v>
      </c>
      <c r="H151" s="1" t="s">
        <v>24</v>
      </c>
      <c r="I151" s="1" t="s">
        <v>25</v>
      </c>
      <c r="J151" s="1" t="s">
        <v>251</v>
      </c>
      <c r="K151" s="1" t="s">
        <v>252</v>
      </c>
      <c r="L151">
        <v>10024</v>
      </c>
      <c r="M151" s="1" t="s">
        <v>141</v>
      </c>
      <c r="N151" s="1" t="s">
        <v>1632</v>
      </c>
      <c r="O151" s="1" t="s">
        <v>174</v>
      </c>
      <c r="P151" s="1" t="s">
        <v>175</v>
      </c>
      <c r="Q151" s="1" t="s">
        <v>1633</v>
      </c>
      <c r="R151">
        <v>14.85</v>
      </c>
      <c r="S151" s="1"/>
      <c r="T151" s="1" t="str">
        <f>IF(O151="Furniture","Cardbaord",O151)</f>
        <v>Technology</v>
      </c>
      <c r="U151" s="1" t="str">
        <f>IF(O151="furniture","cardbaord",IF(O151="office supplies","OS",O151))</f>
        <v>Technology</v>
      </c>
    </row>
    <row r="152" spans="1:21" x14ac:dyDescent="0.3">
      <c r="A152">
        <v>82</v>
      </c>
      <c r="B152" s="1" t="s">
        <v>328</v>
      </c>
      <c r="C152" s="1" t="s">
        <v>329</v>
      </c>
      <c r="D152" s="1" t="s">
        <v>330</v>
      </c>
      <c r="E152" s="1" t="s">
        <v>49</v>
      </c>
      <c r="F152" s="1" t="s">
        <v>331</v>
      </c>
      <c r="G152" s="1" t="s">
        <v>332</v>
      </c>
      <c r="H152" s="1" t="s">
        <v>24</v>
      </c>
      <c r="I152" s="1" t="s">
        <v>25</v>
      </c>
      <c r="J152" s="1" t="s">
        <v>121</v>
      </c>
      <c r="K152" s="1" t="s">
        <v>40</v>
      </c>
      <c r="L152">
        <v>94122</v>
      </c>
      <c r="M152" s="1" t="s">
        <v>41</v>
      </c>
      <c r="N152" s="1" t="s">
        <v>333</v>
      </c>
      <c r="O152" s="1" t="s">
        <v>43</v>
      </c>
      <c r="P152" s="1" t="s">
        <v>123</v>
      </c>
      <c r="Q152" s="1" t="s">
        <v>334</v>
      </c>
      <c r="R152">
        <v>14.9</v>
      </c>
      <c r="S152" s="1"/>
      <c r="T152" s="1" t="str">
        <f>IF(O152="Furniture","Cardbaord",O152)</f>
        <v>Office Supplies</v>
      </c>
      <c r="U152" s="1" t="str">
        <f>IF(O152="furniture","cardbaord",IF(O152="office supplies","OS",O152))</f>
        <v>OS</v>
      </c>
    </row>
    <row r="153" spans="1:21" x14ac:dyDescent="0.3">
      <c r="A153">
        <v>3998</v>
      </c>
      <c r="B153" s="1" t="s">
        <v>3939</v>
      </c>
      <c r="C153" s="1" t="s">
        <v>3940</v>
      </c>
      <c r="D153" s="1" t="s">
        <v>3941</v>
      </c>
      <c r="E153" s="1" t="s">
        <v>49</v>
      </c>
      <c r="F153" s="1" t="s">
        <v>3942</v>
      </c>
      <c r="G153" s="1" t="s">
        <v>3943</v>
      </c>
      <c r="H153" s="1" t="s">
        <v>24</v>
      </c>
      <c r="I153" s="1" t="s">
        <v>25</v>
      </c>
      <c r="J153" s="1" t="s">
        <v>3118</v>
      </c>
      <c r="K153" s="1" t="s">
        <v>103</v>
      </c>
      <c r="L153">
        <v>53142</v>
      </c>
      <c r="M153" s="1" t="s">
        <v>93</v>
      </c>
      <c r="N153" s="1" t="s">
        <v>3944</v>
      </c>
      <c r="O153" s="1" t="s">
        <v>43</v>
      </c>
      <c r="P153" s="1" t="s">
        <v>123</v>
      </c>
      <c r="Q153" s="1" t="s">
        <v>3945</v>
      </c>
      <c r="R153">
        <v>14.98</v>
      </c>
      <c r="S153" s="1"/>
      <c r="T153" s="1" t="str">
        <f>IF(O153="Furniture","Cardbaord",O153)</f>
        <v>Office Supplies</v>
      </c>
      <c r="U153" s="1" t="str">
        <f>IF(O153="furniture","cardbaord",IF(O153="office supplies","OS",O153))</f>
        <v>OS</v>
      </c>
    </row>
    <row r="154" spans="1:21" x14ac:dyDescent="0.3">
      <c r="A154">
        <v>1922</v>
      </c>
      <c r="B154" s="1" t="s">
        <v>3226</v>
      </c>
      <c r="C154" s="1" t="s">
        <v>2043</v>
      </c>
      <c r="D154" s="1" t="s">
        <v>1784</v>
      </c>
      <c r="E154" s="1" t="s">
        <v>49</v>
      </c>
      <c r="F154" s="1" t="s">
        <v>3227</v>
      </c>
      <c r="G154" s="1" t="s">
        <v>3228</v>
      </c>
      <c r="H154" s="1" t="s">
        <v>38</v>
      </c>
      <c r="I154" s="1" t="s">
        <v>25</v>
      </c>
      <c r="J154" s="1" t="s">
        <v>3229</v>
      </c>
      <c r="K154" s="1" t="s">
        <v>140</v>
      </c>
      <c r="L154">
        <v>19601</v>
      </c>
      <c r="M154" s="1" t="s">
        <v>141</v>
      </c>
      <c r="N154" s="1" t="s">
        <v>3230</v>
      </c>
      <c r="O154" s="1" t="s">
        <v>43</v>
      </c>
      <c r="P154" s="1" t="s">
        <v>105</v>
      </c>
      <c r="Q154" s="1" t="s">
        <v>3231</v>
      </c>
      <c r="R154">
        <v>15.007999999999999</v>
      </c>
      <c r="S154" s="1"/>
      <c r="T154" s="1" t="str">
        <f>IF(O154="Furniture","Cardbaord",O154)</f>
        <v>Office Supplies</v>
      </c>
      <c r="U154" s="1" t="str">
        <f>IF(O154="furniture","cardbaord",IF(O154="office supplies","OS",O154))</f>
        <v>OS</v>
      </c>
    </row>
    <row r="155" spans="1:21" x14ac:dyDescent="0.3">
      <c r="A155">
        <v>310</v>
      </c>
      <c r="B155" s="1" t="s">
        <v>999</v>
      </c>
      <c r="C155" s="1" t="s">
        <v>1000</v>
      </c>
      <c r="D155" s="1" t="s">
        <v>1001</v>
      </c>
      <c r="E155" s="1" t="s">
        <v>21</v>
      </c>
      <c r="F155" s="1" t="s">
        <v>1002</v>
      </c>
      <c r="G155" s="1" t="s">
        <v>1003</v>
      </c>
      <c r="H155" s="1" t="s">
        <v>38</v>
      </c>
      <c r="I155" s="1" t="s">
        <v>25</v>
      </c>
      <c r="J155" s="1" t="s">
        <v>1004</v>
      </c>
      <c r="K155" s="1" t="s">
        <v>431</v>
      </c>
      <c r="L155">
        <v>80004</v>
      </c>
      <c r="M155" s="1" t="s">
        <v>41</v>
      </c>
      <c r="N155" s="1" t="s">
        <v>1005</v>
      </c>
      <c r="O155" s="1" t="s">
        <v>30</v>
      </c>
      <c r="P155" s="1" t="s">
        <v>63</v>
      </c>
      <c r="Q155" s="1" t="s">
        <v>1006</v>
      </c>
      <c r="R155">
        <v>15.135999999999999</v>
      </c>
      <c r="S155" s="1"/>
      <c r="T155" s="1" t="str">
        <f>IF(O155="Furniture","Cardbaord",O155)</f>
        <v>Cardbaord</v>
      </c>
      <c r="U155" s="1" t="str">
        <f>IF(O155="furniture","cardbaord",IF(O155="office supplies","OS",O155))</f>
        <v>cardbaord</v>
      </c>
    </row>
    <row r="156" spans="1:21" x14ac:dyDescent="0.3">
      <c r="A156">
        <v>54</v>
      </c>
      <c r="B156" s="1" t="s">
        <v>246</v>
      </c>
      <c r="C156" s="1" t="s">
        <v>247</v>
      </c>
      <c r="D156" s="1" t="s">
        <v>248</v>
      </c>
      <c r="E156" s="1" t="s">
        <v>49</v>
      </c>
      <c r="F156" s="1" t="s">
        <v>249</v>
      </c>
      <c r="G156" s="1" t="s">
        <v>250</v>
      </c>
      <c r="H156" s="1" t="s">
        <v>38</v>
      </c>
      <c r="I156" s="1" t="s">
        <v>25</v>
      </c>
      <c r="J156" s="1" t="s">
        <v>251</v>
      </c>
      <c r="K156" s="1" t="s">
        <v>252</v>
      </c>
      <c r="L156">
        <v>10024</v>
      </c>
      <c r="M156" s="1" t="s">
        <v>141</v>
      </c>
      <c r="N156" s="1" t="s">
        <v>253</v>
      </c>
      <c r="O156" s="1" t="s">
        <v>43</v>
      </c>
      <c r="P156" s="1" t="s">
        <v>254</v>
      </c>
      <c r="Q156" s="1" t="s">
        <v>255</v>
      </c>
      <c r="R156">
        <v>15.26</v>
      </c>
      <c r="S156" s="1"/>
      <c r="T156" s="1" t="str">
        <f>IF(O156="Furniture","Cardbaord",O156)</f>
        <v>Office Supplies</v>
      </c>
      <c r="U156" s="1" t="str">
        <f>IF(O156="furniture","cardbaord",IF(O156="office supplies","OS",O156))</f>
        <v>OS</v>
      </c>
    </row>
    <row r="157" spans="1:21" x14ac:dyDescent="0.3">
      <c r="A157">
        <v>3648</v>
      </c>
      <c r="B157" s="1" t="s">
        <v>3842</v>
      </c>
      <c r="C157" s="1" t="s">
        <v>3186</v>
      </c>
      <c r="D157" s="1" t="s">
        <v>1140</v>
      </c>
      <c r="E157" s="1" t="s">
        <v>21</v>
      </c>
      <c r="F157" s="1" t="s">
        <v>3843</v>
      </c>
      <c r="G157" s="1" t="s">
        <v>3844</v>
      </c>
      <c r="H157" s="1" t="s">
        <v>90</v>
      </c>
      <c r="I157" s="1" t="s">
        <v>25</v>
      </c>
      <c r="J157" s="1" t="s">
        <v>39</v>
      </c>
      <c r="K157" s="1" t="s">
        <v>40</v>
      </c>
      <c r="L157">
        <v>90045</v>
      </c>
      <c r="M157" s="1" t="s">
        <v>41</v>
      </c>
      <c r="N157" s="1" t="s">
        <v>3845</v>
      </c>
      <c r="O157" s="1" t="s">
        <v>43</v>
      </c>
      <c r="P157" s="1" t="s">
        <v>1660</v>
      </c>
      <c r="Q157" s="1" t="s">
        <v>3846</v>
      </c>
      <c r="R157">
        <v>15.52</v>
      </c>
      <c r="S157" s="1"/>
      <c r="T157" s="1" t="str">
        <f>IF(O157="Furniture","Cardbaord",O157)</f>
        <v>Office Supplies</v>
      </c>
      <c r="U157" s="1" t="str">
        <f>IF(O157="furniture","cardbaord",IF(O157="office supplies","OS",O157))</f>
        <v>OS</v>
      </c>
    </row>
    <row r="158" spans="1:21" x14ac:dyDescent="0.3">
      <c r="A158">
        <v>13</v>
      </c>
      <c r="B158" s="1" t="s">
        <v>65</v>
      </c>
      <c r="C158" s="1" t="s">
        <v>66</v>
      </c>
      <c r="D158" s="1" t="s">
        <v>67</v>
      </c>
      <c r="E158" s="1" t="s">
        <v>49</v>
      </c>
      <c r="F158" s="1" t="s">
        <v>68</v>
      </c>
      <c r="G158" s="1" t="s">
        <v>69</v>
      </c>
      <c r="H158" s="1" t="s">
        <v>24</v>
      </c>
      <c r="I158" s="1" t="s">
        <v>25</v>
      </c>
      <c r="J158" s="1" t="s">
        <v>70</v>
      </c>
      <c r="K158" s="1" t="s">
        <v>71</v>
      </c>
      <c r="L158">
        <v>28027</v>
      </c>
      <c r="M158" s="1" t="s">
        <v>28</v>
      </c>
      <c r="N158" s="1" t="s">
        <v>72</v>
      </c>
      <c r="O158" s="1" t="s">
        <v>43</v>
      </c>
      <c r="P158" s="1" t="s">
        <v>73</v>
      </c>
      <c r="Q158" s="1" t="s">
        <v>74</v>
      </c>
      <c r="R158">
        <v>15.552</v>
      </c>
      <c r="S158" s="1">
        <f>COUNT(R:R)</f>
        <v>643</v>
      </c>
      <c r="T158" s="1" t="str">
        <f>IF(O158="Furniture","Cardbaord",O158)</f>
        <v>Office Supplies</v>
      </c>
      <c r="U158" s="1" t="str">
        <f>IF(O158="furniture","cardbaord",IF(O158="office supplies","OS",O158))</f>
        <v>OS</v>
      </c>
    </row>
    <row r="159" spans="1:21" x14ac:dyDescent="0.3">
      <c r="A159">
        <v>926</v>
      </c>
      <c r="B159" s="1" t="s">
        <v>2264</v>
      </c>
      <c r="C159" s="1" t="s">
        <v>819</v>
      </c>
      <c r="D159" s="1" t="s">
        <v>2265</v>
      </c>
      <c r="E159" s="1" t="s">
        <v>169</v>
      </c>
      <c r="F159" s="1" t="s">
        <v>2266</v>
      </c>
      <c r="G159" s="1" t="s">
        <v>2267</v>
      </c>
      <c r="H159" s="1" t="s">
        <v>24</v>
      </c>
      <c r="I159" s="1" t="s">
        <v>25</v>
      </c>
      <c r="J159" s="1" t="s">
        <v>139</v>
      </c>
      <c r="K159" s="1" t="s">
        <v>140</v>
      </c>
      <c r="L159">
        <v>19143</v>
      </c>
      <c r="M159" s="1" t="s">
        <v>141</v>
      </c>
      <c r="N159" s="1" t="s">
        <v>2268</v>
      </c>
      <c r="O159" s="1" t="s">
        <v>43</v>
      </c>
      <c r="P159" s="1" t="s">
        <v>73</v>
      </c>
      <c r="Q159" s="1" t="s">
        <v>2269</v>
      </c>
      <c r="R159">
        <v>15.552</v>
      </c>
      <c r="S159" s="1"/>
      <c r="T159" s="1" t="str">
        <f>IF(O159="Furniture","Cardbaord",O159)</f>
        <v>Office Supplies</v>
      </c>
      <c r="U159" s="1" t="str">
        <f>IF(O159="furniture","cardbaord",IF(O159="office supplies","OS",O159))</f>
        <v>OS</v>
      </c>
    </row>
    <row r="160" spans="1:21" x14ac:dyDescent="0.3">
      <c r="A160">
        <v>1026</v>
      </c>
      <c r="B160" s="1" t="s">
        <v>2412</v>
      </c>
      <c r="C160" s="1" t="s">
        <v>2413</v>
      </c>
      <c r="D160" s="1" t="s">
        <v>2414</v>
      </c>
      <c r="E160" s="1" t="s">
        <v>21</v>
      </c>
      <c r="F160" s="1" t="s">
        <v>2415</v>
      </c>
      <c r="G160" s="1" t="s">
        <v>2416</v>
      </c>
      <c r="H160" s="1" t="s">
        <v>90</v>
      </c>
      <c r="I160" s="1" t="s">
        <v>25</v>
      </c>
      <c r="J160" s="1" t="s">
        <v>293</v>
      </c>
      <c r="K160" s="1" t="s">
        <v>471</v>
      </c>
      <c r="L160">
        <v>45503</v>
      </c>
      <c r="M160" s="1" t="s">
        <v>141</v>
      </c>
      <c r="N160" s="1" t="s">
        <v>2417</v>
      </c>
      <c r="O160" s="1" t="s">
        <v>43</v>
      </c>
      <c r="P160" s="1" t="s">
        <v>73</v>
      </c>
      <c r="Q160" s="1" t="s">
        <v>2418</v>
      </c>
      <c r="R160">
        <v>15.552</v>
      </c>
      <c r="S160" s="1"/>
      <c r="T160" s="1" t="str">
        <f>IF(O160="Furniture","Cardbaord",O160)</f>
        <v>Office Supplies</v>
      </c>
      <c r="U160" s="1" t="str">
        <f>IF(O160="furniture","cardbaord",IF(O160="office supplies","OS",O160))</f>
        <v>OS</v>
      </c>
    </row>
    <row r="161" spans="1:21" x14ac:dyDescent="0.3">
      <c r="A161">
        <v>897</v>
      </c>
      <c r="B161" s="1" t="s">
        <v>2226</v>
      </c>
      <c r="C161" s="1" t="s">
        <v>2227</v>
      </c>
      <c r="D161" s="1" t="s">
        <v>2228</v>
      </c>
      <c r="E161" s="1" t="s">
        <v>21</v>
      </c>
      <c r="F161" s="1" t="s">
        <v>2229</v>
      </c>
      <c r="G161" s="1" t="s">
        <v>2230</v>
      </c>
      <c r="H161" s="1" t="s">
        <v>24</v>
      </c>
      <c r="I161" s="1" t="s">
        <v>25</v>
      </c>
      <c r="J161" s="1" t="s">
        <v>164</v>
      </c>
      <c r="K161" s="1" t="s">
        <v>92</v>
      </c>
      <c r="L161">
        <v>77095</v>
      </c>
      <c r="M161" s="1" t="s">
        <v>93</v>
      </c>
      <c r="N161" s="1" t="s">
        <v>2231</v>
      </c>
      <c r="O161" s="1" t="s">
        <v>43</v>
      </c>
      <c r="P161" s="1" t="s">
        <v>183</v>
      </c>
      <c r="Q161" s="1" t="s">
        <v>618</v>
      </c>
      <c r="R161">
        <v>15.648</v>
      </c>
      <c r="S161" s="1"/>
      <c r="T161" s="1" t="str">
        <f>IF(O161="Furniture","Cardbaord",O161)</f>
        <v>Office Supplies</v>
      </c>
      <c r="U161" s="1" t="str">
        <f>IF(O161="furniture","cardbaord",IF(O161="office supplies","OS",O161))</f>
        <v>OS</v>
      </c>
    </row>
    <row r="162" spans="1:21" x14ac:dyDescent="0.3">
      <c r="A162">
        <v>1034</v>
      </c>
      <c r="B162" s="1" t="s">
        <v>2419</v>
      </c>
      <c r="C162" s="1" t="s">
        <v>590</v>
      </c>
      <c r="D162" s="1" t="s">
        <v>2420</v>
      </c>
      <c r="E162" s="1" t="s">
        <v>169</v>
      </c>
      <c r="F162" s="1" t="s">
        <v>2421</v>
      </c>
      <c r="G162" s="1" t="s">
        <v>2422</v>
      </c>
      <c r="H162" s="1" t="s">
        <v>24</v>
      </c>
      <c r="I162" s="1" t="s">
        <v>25</v>
      </c>
      <c r="J162" s="1" t="s">
        <v>915</v>
      </c>
      <c r="K162" s="1" t="s">
        <v>471</v>
      </c>
      <c r="L162">
        <v>45231</v>
      </c>
      <c r="M162" s="1" t="s">
        <v>141</v>
      </c>
      <c r="N162" s="1" t="s">
        <v>2423</v>
      </c>
      <c r="O162" s="1" t="s">
        <v>43</v>
      </c>
      <c r="P162" s="1" t="s">
        <v>73</v>
      </c>
      <c r="Q162" s="1" t="s">
        <v>2424</v>
      </c>
      <c r="R162">
        <v>15.696</v>
      </c>
      <c r="S162" s="1"/>
      <c r="T162" s="1" t="str">
        <f>IF(O162="Furniture","Cardbaord",O162)</f>
        <v>Office Supplies</v>
      </c>
      <c r="U162" s="1" t="str">
        <f>IF(O162="furniture","cardbaord",IF(O162="office supplies","OS",O162))</f>
        <v>OS</v>
      </c>
    </row>
    <row r="163" spans="1:21" x14ac:dyDescent="0.3">
      <c r="A163">
        <v>612</v>
      </c>
      <c r="B163" s="1" t="s">
        <v>1725</v>
      </c>
      <c r="C163" s="1" t="s">
        <v>1726</v>
      </c>
      <c r="D163" s="1" t="s">
        <v>1727</v>
      </c>
      <c r="E163" s="1" t="s">
        <v>169</v>
      </c>
      <c r="F163" s="1" t="s">
        <v>1728</v>
      </c>
      <c r="G163" s="1" t="s">
        <v>1729</v>
      </c>
      <c r="H163" s="1" t="s">
        <v>38</v>
      </c>
      <c r="I163" s="1" t="s">
        <v>25</v>
      </c>
      <c r="J163" s="1" t="s">
        <v>748</v>
      </c>
      <c r="K163" s="1" t="s">
        <v>92</v>
      </c>
      <c r="L163">
        <v>75217</v>
      </c>
      <c r="M163" s="1" t="s">
        <v>93</v>
      </c>
      <c r="N163" s="1" t="s">
        <v>1730</v>
      </c>
      <c r="O163" s="1" t="s">
        <v>43</v>
      </c>
      <c r="P163" s="1" t="s">
        <v>44</v>
      </c>
      <c r="Q163" s="1" t="s">
        <v>1731</v>
      </c>
      <c r="R163">
        <v>15.712</v>
      </c>
      <c r="S163" s="1"/>
      <c r="T163" s="1" t="str">
        <f>IF(O163="Furniture","Cardbaord",O163)</f>
        <v>Office Supplies</v>
      </c>
      <c r="U163" s="1" t="str">
        <f>IF(O163="furniture","cardbaord",IF(O163="office supplies","OS",O163))</f>
        <v>OS</v>
      </c>
    </row>
    <row r="164" spans="1:21" x14ac:dyDescent="0.3">
      <c r="A164">
        <v>868</v>
      </c>
      <c r="B164" s="1" t="s">
        <v>2171</v>
      </c>
      <c r="C164" s="1" t="s">
        <v>2172</v>
      </c>
      <c r="D164" s="1" t="s">
        <v>2173</v>
      </c>
      <c r="E164" s="1" t="s">
        <v>169</v>
      </c>
      <c r="F164" s="1" t="s">
        <v>2174</v>
      </c>
      <c r="G164" s="1" t="s">
        <v>2175</v>
      </c>
      <c r="H164" s="1" t="s">
        <v>38</v>
      </c>
      <c r="I164" s="1" t="s">
        <v>25</v>
      </c>
      <c r="J164" s="1" t="s">
        <v>139</v>
      </c>
      <c r="K164" s="1" t="s">
        <v>140</v>
      </c>
      <c r="L164">
        <v>19140</v>
      </c>
      <c r="M164" s="1" t="s">
        <v>141</v>
      </c>
      <c r="N164" s="1" t="s">
        <v>2176</v>
      </c>
      <c r="O164" s="1" t="s">
        <v>43</v>
      </c>
      <c r="P164" s="1" t="s">
        <v>44</v>
      </c>
      <c r="Q164" s="1" t="s">
        <v>2177</v>
      </c>
      <c r="R164">
        <v>15.936</v>
      </c>
      <c r="S164" s="1"/>
      <c r="T164" s="1" t="str">
        <f>IF(O164="Furniture","Cardbaord",O164)</f>
        <v>Office Supplies</v>
      </c>
      <c r="U164" s="1" t="str">
        <f>IF(O164="furniture","cardbaord",IF(O164="office supplies","OS",O164))</f>
        <v>OS</v>
      </c>
    </row>
    <row r="165" spans="1:21" x14ac:dyDescent="0.3">
      <c r="A165">
        <v>326</v>
      </c>
      <c r="B165" s="1" t="s">
        <v>1050</v>
      </c>
      <c r="C165" s="1" t="s">
        <v>1051</v>
      </c>
      <c r="D165" s="1" t="s">
        <v>511</v>
      </c>
      <c r="E165" s="1" t="s">
        <v>21</v>
      </c>
      <c r="F165" s="1" t="s">
        <v>1052</v>
      </c>
      <c r="G165" s="1" t="s">
        <v>1053</v>
      </c>
      <c r="H165" s="1" t="s">
        <v>38</v>
      </c>
      <c r="I165" s="1" t="s">
        <v>25</v>
      </c>
      <c r="J165" s="1" t="s">
        <v>1054</v>
      </c>
      <c r="K165" s="1" t="s">
        <v>310</v>
      </c>
      <c r="L165">
        <v>37130</v>
      </c>
      <c r="M165" s="1" t="s">
        <v>28</v>
      </c>
      <c r="N165" s="1" t="s">
        <v>1055</v>
      </c>
      <c r="O165" s="1" t="s">
        <v>30</v>
      </c>
      <c r="P165" s="1" t="s">
        <v>63</v>
      </c>
      <c r="Q165" s="1" t="s">
        <v>1056</v>
      </c>
      <c r="R165">
        <v>15.992000000000001</v>
      </c>
      <c r="S165" s="1"/>
      <c r="T165" s="1" t="str">
        <f>IF(O165="Furniture","Cardbaord",O165)</f>
        <v>Cardbaord</v>
      </c>
      <c r="U165" s="1" t="str">
        <f>IF(O165="furniture","cardbaord",IF(O165="office supplies","OS",O165))</f>
        <v>cardbaord</v>
      </c>
    </row>
    <row r="166" spans="1:21" x14ac:dyDescent="0.3">
      <c r="A166">
        <v>6699</v>
      </c>
      <c r="B166" s="1" t="s">
        <v>4240</v>
      </c>
      <c r="C166" s="1" t="s">
        <v>4132</v>
      </c>
      <c r="D166" s="1" t="s">
        <v>3423</v>
      </c>
      <c r="E166" s="1" t="s">
        <v>49</v>
      </c>
      <c r="F166" s="1" t="s">
        <v>4241</v>
      </c>
      <c r="G166" s="1" t="s">
        <v>4242</v>
      </c>
      <c r="H166" s="1" t="s">
        <v>24</v>
      </c>
      <c r="I166" s="1" t="s">
        <v>25</v>
      </c>
      <c r="J166" s="1" t="s">
        <v>854</v>
      </c>
      <c r="K166" s="1" t="s">
        <v>40</v>
      </c>
      <c r="L166">
        <v>92024</v>
      </c>
      <c r="M166" s="1" t="s">
        <v>41</v>
      </c>
      <c r="N166" s="1" t="s">
        <v>4243</v>
      </c>
      <c r="O166" s="1" t="s">
        <v>43</v>
      </c>
      <c r="P166" s="1" t="s">
        <v>73</v>
      </c>
      <c r="Q166" s="1" t="s">
        <v>4244</v>
      </c>
      <c r="R166">
        <v>16.34</v>
      </c>
      <c r="S166" s="1"/>
      <c r="T166" s="1" t="str">
        <f>IF(O166="Furniture","Cardbaord",O166)</f>
        <v>Office Supplies</v>
      </c>
      <c r="U166" s="1" t="str">
        <f>IF(O166="furniture","cardbaord",IF(O166="office supplies","OS",O166))</f>
        <v>OS</v>
      </c>
    </row>
    <row r="167" spans="1:21" x14ac:dyDescent="0.3">
      <c r="A167">
        <v>1521</v>
      </c>
      <c r="B167" s="1" t="s">
        <v>2918</v>
      </c>
      <c r="C167" s="1" t="s">
        <v>2919</v>
      </c>
      <c r="D167" s="1" t="s">
        <v>648</v>
      </c>
      <c r="E167" s="1" t="s">
        <v>49</v>
      </c>
      <c r="F167" s="1" t="s">
        <v>2920</v>
      </c>
      <c r="G167" s="1" t="s">
        <v>2921</v>
      </c>
      <c r="H167" s="1" t="s">
        <v>90</v>
      </c>
      <c r="I167" s="1" t="s">
        <v>25</v>
      </c>
      <c r="J167" s="1" t="s">
        <v>276</v>
      </c>
      <c r="K167" s="1" t="s">
        <v>191</v>
      </c>
      <c r="L167">
        <v>60610</v>
      </c>
      <c r="M167" s="1" t="s">
        <v>93</v>
      </c>
      <c r="N167" s="1" t="s">
        <v>2922</v>
      </c>
      <c r="O167" s="1" t="s">
        <v>43</v>
      </c>
      <c r="P167" s="1" t="s">
        <v>123</v>
      </c>
      <c r="Q167" s="1" t="s">
        <v>2923</v>
      </c>
      <c r="R167">
        <v>16.52</v>
      </c>
      <c r="S167" s="1"/>
      <c r="T167" s="1" t="str">
        <f>IF(O167="Furniture","Cardbaord",O167)</f>
        <v>Office Supplies</v>
      </c>
      <c r="U167" s="1" t="str">
        <f>IF(O167="furniture","cardbaord",IF(O167="office supplies","OS",O167))</f>
        <v>OS</v>
      </c>
    </row>
    <row r="168" spans="1:21" x14ac:dyDescent="0.3">
      <c r="A168">
        <v>536</v>
      </c>
      <c r="B168" s="1" t="s">
        <v>1538</v>
      </c>
      <c r="C168" s="1" t="s">
        <v>1539</v>
      </c>
      <c r="D168" s="1" t="s">
        <v>693</v>
      </c>
      <c r="E168" s="1" t="s">
        <v>49</v>
      </c>
      <c r="F168" s="1" t="s">
        <v>1540</v>
      </c>
      <c r="G168" s="1" t="s">
        <v>1541</v>
      </c>
      <c r="H168" s="1" t="s">
        <v>24</v>
      </c>
      <c r="I168" s="1" t="s">
        <v>25</v>
      </c>
      <c r="J168" s="1" t="s">
        <v>1542</v>
      </c>
      <c r="K168" s="1" t="s">
        <v>285</v>
      </c>
      <c r="L168">
        <v>85204</v>
      </c>
      <c r="M168" s="1" t="s">
        <v>41</v>
      </c>
      <c r="N168" s="1" t="s">
        <v>1543</v>
      </c>
      <c r="O168" s="1" t="s">
        <v>43</v>
      </c>
      <c r="P168" s="1" t="s">
        <v>105</v>
      </c>
      <c r="Q168" s="1" t="s">
        <v>1544</v>
      </c>
      <c r="R168">
        <v>16.768000000000001</v>
      </c>
      <c r="S168" s="1"/>
      <c r="T168" s="1" t="str">
        <f>IF(O168="Furniture","Cardbaord",O168)</f>
        <v>Office Supplies</v>
      </c>
      <c r="U168" s="1" t="str">
        <f>IF(O168="furniture","cardbaord",IF(O168="office supplies","OS",O168))</f>
        <v>OS</v>
      </c>
    </row>
    <row r="169" spans="1:21" x14ac:dyDescent="0.3">
      <c r="A169">
        <v>4936</v>
      </c>
      <c r="B169" s="1" t="s">
        <v>4110</v>
      </c>
      <c r="C169" s="1" t="s">
        <v>4111</v>
      </c>
      <c r="D169" s="1" t="s">
        <v>4112</v>
      </c>
      <c r="E169" s="1" t="s">
        <v>49</v>
      </c>
      <c r="F169" s="1" t="s">
        <v>4113</v>
      </c>
      <c r="G169" s="1" t="s">
        <v>4114</v>
      </c>
      <c r="H169" s="1" t="s">
        <v>38</v>
      </c>
      <c r="I169" s="1" t="s">
        <v>25</v>
      </c>
      <c r="J169" s="1" t="s">
        <v>4115</v>
      </c>
      <c r="K169" s="1" t="s">
        <v>113</v>
      </c>
      <c r="L169">
        <v>84043</v>
      </c>
      <c r="M169" s="1" t="s">
        <v>41</v>
      </c>
      <c r="N169" s="1" t="s">
        <v>4116</v>
      </c>
      <c r="O169" s="1" t="s">
        <v>174</v>
      </c>
      <c r="P169" s="1" t="s">
        <v>175</v>
      </c>
      <c r="Q169" s="1" t="s">
        <v>4117</v>
      </c>
      <c r="R169">
        <v>16.776</v>
      </c>
      <c r="S169" s="1"/>
      <c r="T169" s="1" t="str">
        <f>IF(O169="Furniture","Cardbaord",O169)</f>
        <v>Technology</v>
      </c>
      <c r="U169" s="1" t="str">
        <f>IF(O169="furniture","cardbaord",IF(O169="office supplies","OS",O169))</f>
        <v>Technology</v>
      </c>
    </row>
    <row r="170" spans="1:21" x14ac:dyDescent="0.3">
      <c r="A170">
        <v>1497</v>
      </c>
      <c r="B170" s="1" t="s">
        <v>2899</v>
      </c>
      <c r="C170" s="1" t="s">
        <v>2900</v>
      </c>
      <c r="D170" s="1" t="s">
        <v>1547</v>
      </c>
      <c r="E170" s="1" t="s">
        <v>49</v>
      </c>
      <c r="F170" s="1" t="s">
        <v>2901</v>
      </c>
      <c r="G170" s="1" t="s">
        <v>2902</v>
      </c>
      <c r="H170" s="1" t="s">
        <v>24</v>
      </c>
      <c r="I170" s="1" t="s">
        <v>25</v>
      </c>
      <c r="J170" s="1" t="s">
        <v>2903</v>
      </c>
      <c r="K170" s="1" t="s">
        <v>92</v>
      </c>
      <c r="L170">
        <v>75019</v>
      </c>
      <c r="M170" s="1" t="s">
        <v>93</v>
      </c>
      <c r="N170" s="1" t="s">
        <v>2904</v>
      </c>
      <c r="O170" s="1" t="s">
        <v>43</v>
      </c>
      <c r="P170" s="1" t="s">
        <v>105</v>
      </c>
      <c r="Q170" s="1" t="s">
        <v>2905</v>
      </c>
      <c r="R170">
        <v>16.783999999999999</v>
      </c>
      <c r="S170" s="1"/>
      <c r="T170" s="1" t="str">
        <f>IF(O170="Furniture","Cardbaord",O170)</f>
        <v>Office Supplies</v>
      </c>
      <c r="U170" s="1" t="str">
        <f>IF(O170="furniture","cardbaord",IF(O170="office supplies","OS",O170))</f>
        <v>OS</v>
      </c>
    </row>
    <row r="171" spans="1:21" x14ac:dyDescent="0.3">
      <c r="A171">
        <v>1598</v>
      </c>
      <c r="B171" s="1" t="s">
        <v>2984</v>
      </c>
      <c r="C171" s="1" t="s">
        <v>1567</v>
      </c>
      <c r="D171" s="1" t="s">
        <v>2440</v>
      </c>
      <c r="E171" s="1" t="s">
        <v>21</v>
      </c>
      <c r="F171" s="1" t="s">
        <v>2985</v>
      </c>
      <c r="G171" s="1" t="s">
        <v>2986</v>
      </c>
      <c r="H171" s="1" t="s">
        <v>24</v>
      </c>
      <c r="I171" s="1" t="s">
        <v>25</v>
      </c>
      <c r="J171" s="1" t="s">
        <v>2987</v>
      </c>
      <c r="K171" s="1" t="s">
        <v>92</v>
      </c>
      <c r="L171">
        <v>75007</v>
      </c>
      <c r="M171" s="1" t="s">
        <v>93</v>
      </c>
      <c r="N171" s="1" t="s">
        <v>2988</v>
      </c>
      <c r="O171" s="1" t="s">
        <v>43</v>
      </c>
      <c r="P171" s="1" t="s">
        <v>73</v>
      </c>
      <c r="Q171" s="1" t="s">
        <v>2989</v>
      </c>
      <c r="R171">
        <v>16.896000000000001</v>
      </c>
      <c r="S171" s="1"/>
      <c r="T171" s="1" t="str">
        <f>IF(O171="Furniture","Cardbaord",O171)</f>
        <v>Office Supplies</v>
      </c>
      <c r="U171" s="1" t="str">
        <f>IF(O171="furniture","cardbaord",IF(O171="office supplies","OS",O171))</f>
        <v>OS</v>
      </c>
    </row>
    <row r="172" spans="1:21" x14ac:dyDescent="0.3">
      <c r="A172">
        <v>941</v>
      </c>
      <c r="B172" s="1" t="s">
        <v>2290</v>
      </c>
      <c r="C172" s="1" t="s">
        <v>2291</v>
      </c>
      <c r="D172" s="1" t="s">
        <v>229</v>
      </c>
      <c r="E172" s="1" t="s">
        <v>169</v>
      </c>
      <c r="F172" s="1" t="s">
        <v>2292</v>
      </c>
      <c r="G172" s="1" t="s">
        <v>2293</v>
      </c>
      <c r="H172" s="1" t="s">
        <v>38</v>
      </c>
      <c r="I172" s="1" t="s">
        <v>25</v>
      </c>
      <c r="J172" s="1" t="s">
        <v>121</v>
      </c>
      <c r="K172" s="1" t="s">
        <v>40</v>
      </c>
      <c r="L172">
        <v>94110</v>
      </c>
      <c r="M172" s="1" t="s">
        <v>41</v>
      </c>
      <c r="N172" s="1" t="s">
        <v>2294</v>
      </c>
      <c r="O172" s="1" t="s">
        <v>43</v>
      </c>
      <c r="P172" s="1" t="s">
        <v>73</v>
      </c>
      <c r="Q172" s="1" t="s">
        <v>2295</v>
      </c>
      <c r="R172">
        <v>17.12</v>
      </c>
      <c r="S172" s="1"/>
      <c r="T172" s="1" t="str">
        <f>IF(O172="Furniture","Cardbaord",O172)</f>
        <v>Office Supplies</v>
      </c>
      <c r="U172" s="1" t="str">
        <f>IF(O172="furniture","cardbaord",IF(O172="office supplies","OS",O172))</f>
        <v>OS</v>
      </c>
    </row>
    <row r="173" spans="1:21" x14ac:dyDescent="0.3">
      <c r="A173">
        <v>1475</v>
      </c>
      <c r="B173" s="1" t="s">
        <v>2869</v>
      </c>
      <c r="C173" s="1" t="s">
        <v>1856</v>
      </c>
      <c r="D173" s="1" t="s">
        <v>2870</v>
      </c>
      <c r="E173" s="1" t="s">
        <v>49</v>
      </c>
      <c r="F173" s="1" t="s">
        <v>2871</v>
      </c>
      <c r="G173" s="1" t="s">
        <v>2872</v>
      </c>
      <c r="H173" s="1" t="s">
        <v>90</v>
      </c>
      <c r="I173" s="1" t="s">
        <v>25</v>
      </c>
      <c r="J173" s="1" t="s">
        <v>2873</v>
      </c>
      <c r="K173" s="1" t="s">
        <v>252</v>
      </c>
      <c r="L173">
        <v>14304</v>
      </c>
      <c r="M173" s="1" t="s">
        <v>141</v>
      </c>
      <c r="N173" s="1" t="s">
        <v>2874</v>
      </c>
      <c r="O173" s="1" t="s">
        <v>43</v>
      </c>
      <c r="P173" s="1" t="s">
        <v>123</v>
      </c>
      <c r="Q173" s="1" t="s">
        <v>2875</v>
      </c>
      <c r="R173">
        <v>17.28</v>
      </c>
      <c r="S173" s="1"/>
      <c r="T173" s="1" t="str">
        <f>IF(O173="Furniture","Cardbaord",O173)</f>
        <v>Office Supplies</v>
      </c>
      <c r="U173" s="1" t="str">
        <f>IF(O173="furniture","cardbaord",IF(O173="office supplies","OS",O173))</f>
        <v>OS</v>
      </c>
    </row>
    <row r="174" spans="1:21" x14ac:dyDescent="0.3">
      <c r="A174">
        <v>885</v>
      </c>
      <c r="B174" s="1" t="s">
        <v>2196</v>
      </c>
      <c r="C174" s="1" t="s">
        <v>2197</v>
      </c>
      <c r="D174" s="1" t="s">
        <v>2198</v>
      </c>
      <c r="E174" s="1" t="s">
        <v>49</v>
      </c>
      <c r="F174" s="1" t="s">
        <v>2199</v>
      </c>
      <c r="G174" s="1" t="s">
        <v>2200</v>
      </c>
      <c r="H174" s="1" t="s">
        <v>24</v>
      </c>
      <c r="I174" s="1" t="s">
        <v>25</v>
      </c>
      <c r="J174" s="1" t="s">
        <v>355</v>
      </c>
      <c r="K174" s="1" t="s">
        <v>252</v>
      </c>
      <c r="L174">
        <v>14609</v>
      </c>
      <c r="M174" s="1" t="s">
        <v>141</v>
      </c>
      <c r="N174" s="1" t="s">
        <v>2201</v>
      </c>
      <c r="O174" s="1" t="s">
        <v>30</v>
      </c>
      <c r="P174" s="1" t="s">
        <v>63</v>
      </c>
      <c r="Q174" s="1" t="s">
        <v>2202</v>
      </c>
      <c r="R174">
        <v>17.46</v>
      </c>
      <c r="S174" s="1"/>
      <c r="T174" s="1" t="str">
        <f>IF(O174="Furniture","Cardbaord",O174)</f>
        <v>Cardbaord</v>
      </c>
      <c r="U174" s="1" t="str">
        <f>IF(O174="furniture","cardbaord",IF(O174="office supplies","OS",O174))</f>
        <v>cardbaord</v>
      </c>
    </row>
    <row r="175" spans="1:21" x14ac:dyDescent="0.3">
      <c r="A175">
        <v>726</v>
      </c>
      <c r="B175" s="1" t="s">
        <v>1958</v>
      </c>
      <c r="C175" s="1" t="s">
        <v>933</v>
      </c>
      <c r="D175" s="1" t="s">
        <v>1959</v>
      </c>
      <c r="E175" s="1" t="s">
        <v>49</v>
      </c>
      <c r="F175" s="1" t="s">
        <v>1960</v>
      </c>
      <c r="G175" s="1" t="s">
        <v>1961</v>
      </c>
      <c r="H175" s="1" t="s">
        <v>24</v>
      </c>
      <c r="I175" s="1" t="s">
        <v>25</v>
      </c>
      <c r="J175" s="1" t="s">
        <v>1962</v>
      </c>
      <c r="K175" s="1" t="s">
        <v>92</v>
      </c>
      <c r="L175">
        <v>78745</v>
      </c>
      <c r="M175" s="1" t="s">
        <v>93</v>
      </c>
      <c r="N175" s="1" t="s">
        <v>1963</v>
      </c>
      <c r="O175" s="1" t="s">
        <v>43</v>
      </c>
      <c r="P175" s="1" t="s">
        <v>183</v>
      </c>
      <c r="Q175" s="1" t="s">
        <v>1964</v>
      </c>
      <c r="R175">
        <v>17.568000000000001</v>
      </c>
      <c r="S175" s="1"/>
      <c r="T175" s="1" t="str">
        <f>IF(O175="Furniture","Cardbaord",O175)</f>
        <v>Office Supplies</v>
      </c>
      <c r="U175" s="1" t="str">
        <f>IF(O175="furniture","cardbaord",IF(O175="office supplies","OS",O175))</f>
        <v>OS</v>
      </c>
    </row>
    <row r="176" spans="1:21" x14ac:dyDescent="0.3">
      <c r="A176">
        <v>1262</v>
      </c>
      <c r="B176" s="1" t="s">
        <v>2667</v>
      </c>
      <c r="C176" s="1" t="s">
        <v>789</v>
      </c>
      <c r="D176" s="1" t="s">
        <v>2668</v>
      </c>
      <c r="E176" s="1" t="s">
        <v>49</v>
      </c>
      <c r="F176" s="1" t="s">
        <v>2669</v>
      </c>
      <c r="G176" s="1" t="s">
        <v>2670</v>
      </c>
      <c r="H176" s="1" t="s">
        <v>38</v>
      </c>
      <c r="I176" s="1" t="s">
        <v>25</v>
      </c>
      <c r="J176" s="1" t="s">
        <v>2671</v>
      </c>
      <c r="K176" s="1" t="s">
        <v>71</v>
      </c>
      <c r="L176">
        <v>27834</v>
      </c>
      <c r="M176" s="1" t="s">
        <v>28</v>
      </c>
      <c r="N176" s="1" t="s">
        <v>2672</v>
      </c>
      <c r="O176" s="1" t="s">
        <v>43</v>
      </c>
      <c r="P176" s="1" t="s">
        <v>83</v>
      </c>
      <c r="Q176" s="1" t="s">
        <v>2673</v>
      </c>
      <c r="R176">
        <v>17.616</v>
      </c>
      <c r="S176" s="1"/>
      <c r="T176" s="1" t="str">
        <f>IF(O176="Furniture","Cardbaord",O176)</f>
        <v>Office Supplies</v>
      </c>
      <c r="U176" s="1" t="str">
        <f>IF(O176="furniture","cardbaord",IF(O176="office supplies","OS",O176))</f>
        <v>OS</v>
      </c>
    </row>
    <row r="177" spans="1:21" x14ac:dyDescent="0.3">
      <c r="A177">
        <v>771</v>
      </c>
      <c r="B177" s="1" t="s">
        <v>2029</v>
      </c>
      <c r="C177" s="1" t="s">
        <v>2030</v>
      </c>
      <c r="D177" s="1" t="s">
        <v>525</v>
      </c>
      <c r="E177" s="1" t="s">
        <v>49</v>
      </c>
      <c r="F177" s="1" t="s">
        <v>2031</v>
      </c>
      <c r="G177" s="1" t="s">
        <v>2032</v>
      </c>
      <c r="H177" s="1" t="s">
        <v>38</v>
      </c>
      <c r="I177" s="1" t="s">
        <v>25</v>
      </c>
      <c r="J177" s="1" t="s">
        <v>1212</v>
      </c>
      <c r="K177" s="1" t="s">
        <v>463</v>
      </c>
      <c r="L177">
        <v>50315</v>
      </c>
      <c r="M177" s="1" t="s">
        <v>93</v>
      </c>
      <c r="N177" s="1" t="s">
        <v>2033</v>
      </c>
      <c r="O177" s="1" t="s">
        <v>43</v>
      </c>
      <c r="P177" s="1" t="s">
        <v>83</v>
      </c>
      <c r="Q177" s="1" t="s">
        <v>2034</v>
      </c>
      <c r="R177">
        <v>18.28</v>
      </c>
      <c r="S177" s="1"/>
      <c r="T177" s="1" t="str">
        <f>IF(O177="Furniture","Cardbaord",O177)</f>
        <v>Office Supplies</v>
      </c>
      <c r="U177" s="1" t="str">
        <f>IF(O177="furniture","cardbaord",IF(O177="office supplies","OS",O177))</f>
        <v>OS</v>
      </c>
    </row>
    <row r="178" spans="1:21" x14ac:dyDescent="0.3">
      <c r="A178">
        <v>805</v>
      </c>
      <c r="B178" s="1" t="s">
        <v>2084</v>
      </c>
      <c r="C178" s="1" t="s">
        <v>2085</v>
      </c>
      <c r="D178" s="1" t="s">
        <v>2086</v>
      </c>
      <c r="E178" s="1" t="s">
        <v>169</v>
      </c>
      <c r="F178" s="1" t="s">
        <v>2087</v>
      </c>
      <c r="G178" s="1" t="s">
        <v>2088</v>
      </c>
      <c r="H178" s="1" t="s">
        <v>24</v>
      </c>
      <c r="I178" s="1" t="s">
        <v>25</v>
      </c>
      <c r="J178" s="1" t="s">
        <v>121</v>
      </c>
      <c r="K178" s="1" t="s">
        <v>40</v>
      </c>
      <c r="L178">
        <v>94122</v>
      </c>
      <c r="M178" s="1" t="s">
        <v>41</v>
      </c>
      <c r="N178" s="1" t="s">
        <v>2089</v>
      </c>
      <c r="O178" s="1" t="s">
        <v>30</v>
      </c>
      <c r="P178" s="1" t="s">
        <v>63</v>
      </c>
      <c r="Q178" s="1" t="s">
        <v>2090</v>
      </c>
      <c r="R178">
        <v>18.28</v>
      </c>
      <c r="S178" s="1"/>
      <c r="T178" s="1" t="str">
        <f>IF(O178="Furniture","Cardbaord",O178)</f>
        <v>Cardbaord</v>
      </c>
      <c r="U178" s="1" t="str">
        <f>IF(O178="furniture","cardbaord",IF(O178="office supplies","OS",O178))</f>
        <v>cardbaord</v>
      </c>
    </row>
    <row r="179" spans="1:21" x14ac:dyDescent="0.3">
      <c r="A179">
        <v>231</v>
      </c>
      <c r="B179" s="1" t="s">
        <v>818</v>
      </c>
      <c r="C179" s="1" t="s">
        <v>819</v>
      </c>
      <c r="D179" s="1" t="s">
        <v>820</v>
      </c>
      <c r="E179" s="1" t="s">
        <v>49</v>
      </c>
      <c r="F179" s="1" t="s">
        <v>821</v>
      </c>
      <c r="G179" s="1" t="s">
        <v>822</v>
      </c>
      <c r="H179" s="1" t="s">
        <v>38</v>
      </c>
      <c r="I179" s="1" t="s">
        <v>25</v>
      </c>
      <c r="J179" s="1" t="s">
        <v>439</v>
      </c>
      <c r="K179" s="1" t="s">
        <v>71</v>
      </c>
      <c r="L179">
        <v>28205</v>
      </c>
      <c r="M179" s="1" t="s">
        <v>28</v>
      </c>
      <c r="N179" s="1" t="s">
        <v>823</v>
      </c>
      <c r="O179" s="1" t="s">
        <v>43</v>
      </c>
      <c r="P179" s="1" t="s">
        <v>83</v>
      </c>
      <c r="Q179" s="1" t="s">
        <v>824</v>
      </c>
      <c r="R179">
        <v>18.648</v>
      </c>
      <c r="S179" s="1"/>
      <c r="T179" s="1" t="str">
        <f>IF(O179="Furniture","Cardbaord",O179)</f>
        <v>Office Supplies</v>
      </c>
      <c r="U179" s="1" t="str">
        <f>IF(O179="furniture","cardbaord",IF(O179="office supplies","OS",O179))</f>
        <v>OS</v>
      </c>
    </row>
    <row r="180" spans="1:21" x14ac:dyDescent="0.3">
      <c r="A180">
        <v>2451</v>
      </c>
      <c r="B180" s="1" t="s">
        <v>3518</v>
      </c>
      <c r="C180" s="1" t="s">
        <v>3519</v>
      </c>
      <c r="D180" s="1" t="s">
        <v>3520</v>
      </c>
      <c r="E180" s="1" t="s">
        <v>21</v>
      </c>
      <c r="F180" s="1" t="s">
        <v>3521</v>
      </c>
      <c r="G180" s="1" t="s">
        <v>3522</v>
      </c>
      <c r="H180" s="1" t="s">
        <v>24</v>
      </c>
      <c r="I180" s="1" t="s">
        <v>25</v>
      </c>
      <c r="J180" s="1" t="s">
        <v>251</v>
      </c>
      <c r="K180" s="1" t="s">
        <v>252</v>
      </c>
      <c r="L180">
        <v>10011</v>
      </c>
      <c r="M180" s="1" t="s">
        <v>141</v>
      </c>
      <c r="N180" s="1" t="s">
        <v>3523</v>
      </c>
      <c r="O180" s="1" t="s">
        <v>43</v>
      </c>
      <c r="P180" s="1" t="s">
        <v>44</v>
      </c>
      <c r="Q180" s="1" t="s">
        <v>3524</v>
      </c>
      <c r="R180">
        <v>18.75</v>
      </c>
      <c r="S180" s="1"/>
      <c r="T180" s="1" t="str">
        <f>IF(O180="Furniture","Cardbaord",O180)</f>
        <v>Office Supplies</v>
      </c>
      <c r="U180" s="1" t="str">
        <f>IF(O180="furniture","cardbaord",IF(O180="office supplies","OS",O180))</f>
        <v>OS</v>
      </c>
    </row>
    <row r="181" spans="1:21" x14ac:dyDescent="0.3">
      <c r="A181">
        <v>641</v>
      </c>
      <c r="B181" s="1" t="s">
        <v>1797</v>
      </c>
      <c r="C181" s="1" t="s">
        <v>955</v>
      </c>
      <c r="D181" s="1" t="s">
        <v>1798</v>
      </c>
      <c r="E181" s="1" t="s">
        <v>49</v>
      </c>
      <c r="F181" s="1" t="s">
        <v>1799</v>
      </c>
      <c r="G181" s="1" t="s">
        <v>1800</v>
      </c>
      <c r="H181" s="1" t="s">
        <v>38</v>
      </c>
      <c r="I181" s="1" t="s">
        <v>25</v>
      </c>
      <c r="J181" s="1" t="s">
        <v>377</v>
      </c>
      <c r="K181" s="1" t="s">
        <v>215</v>
      </c>
      <c r="L181">
        <v>55407</v>
      </c>
      <c r="M181" s="1" t="s">
        <v>93</v>
      </c>
      <c r="N181" s="1" t="s">
        <v>1801</v>
      </c>
      <c r="O181" s="1" t="s">
        <v>30</v>
      </c>
      <c r="P181" s="1" t="s">
        <v>63</v>
      </c>
      <c r="Q181" s="1" t="s">
        <v>1802</v>
      </c>
      <c r="R181">
        <v>18.84</v>
      </c>
      <c r="S181" s="1"/>
      <c r="T181" s="1" t="str">
        <f>IF(O181="Furniture","Cardbaord",O181)</f>
        <v>Cardbaord</v>
      </c>
      <c r="U181" s="1" t="str">
        <f>IF(O181="furniture","cardbaord",IF(O181="office supplies","OS",O181))</f>
        <v>cardbaord</v>
      </c>
    </row>
    <row r="182" spans="1:21" x14ac:dyDescent="0.3">
      <c r="A182">
        <v>637</v>
      </c>
      <c r="B182" s="1" t="s">
        <v>1790</v>
      </c>
      <c r="C182" s="1" t="s">
        <v>1791</v>
      </c>
      <c r="D182" s="1" t="s">
        <v>1792</v>
      </c>
      <c r="E182" s="1" t="s">
        <v>49</v>
      </c>
      <c r="F182" s="1" t="s">
        <v>1793</v>
      </c>
      <c r="G182" s="1" t="s">
        <v>1794</v>
      </c>
      <c r="H182" s="1" t="s">
        <v>24</v>
      </c>
      <c r="I182" s="1" t="s">
        <v>25</v>
      </c>
      <c r="J182" s="1" t="s">
        <v>430</v>
      </c>
      <c r="K182" s="1" t="s">
        <v>431</v>
      </c>
      <c r="L182">
        <v>80013</v>
      </c>
      <c r="M182" s="1" t="s">
        <v>41</v>
      </c>
      <c r="N182" s="1" t="s">
        <v>1795</v>
      </c>
      <c r="O182" s="1" t="s">
        <v>43</v>
      </c>
      <c r="P182" s="1" t="s">
        <v>83</v>
      </c>
      <c r="Q182" s="1" t="s">
        <v>1796</v>
      </c>
      <c r="R182">
        <v>18.882000000000001</v>
      </c>
      <c r="S182" s="1"/>
      <c r="T182" s="1" t="str">
        <f>IF(O182="Furniture","Cardbaord",O182)</f>
        <v>Office Supplies</v>
      </c>
      <c r="U182" s="1" t="str">
        <f>IF(O182="furniture","cardbaord",IF(O182="office supplies","OS",O182))</f>
        <v>OS</v>
      </c>
    </row>
    <row r="183" spans="1:21" x14ac:dyDescent="0.3">
      <c r="A183">
        <v>1910</v>
      </c>
      <c r="B183" s="1" t="s">
        <v>3211</v>
      </c>
      <c r="C183" s="1" t="s">
        <v>3212</v>
      </c>
      <c r="D183" s="1" t="s">
        <v>3213</v>
      </c>
      <c r="E183" s="1" t="s">
        <v>49</v>
      </c>
      <c r="F183" s="1" t="s">
        <v>3214</v>
      </c>
      <c r="G183" s="1" t="s">
        <v>3215</v>
      </c>
      <c r="H183" s="1" t="s">
        <v>24</v>
      </c>
      <c r="I183" s="1" t="s">
        <v>25</v>
      </c>
      <c r="J183" s="1" t="s">
        <v>1970</v>
      </c>
      <c r="K183" s="1" t="s">
        <v>252</v>
      </c>
      <c r="L183">
        <v>11572</v>
      </c>
      <c r="M183" s="1" t="s">
        <v>141</v>
      </c>
      <c r="N183" s="1" t="s">
        <v>3216</v>
      </c>
      <c r="O183" s="1" t="s">
        <v>30</v>
      </c>
      <c r="P183" s="1" t="s">
        <v>63</v>
      </c>
      <c r="Q183" s="1" t="s">
        <v>3217</v>
      </c>
      <c r="R183">
        <v>18.96</v>
      </c>
      <c r="S183" s="1"/>
      <c r="T183" s="1" t="str">
        <f>IF(O183="Furniture","Cardbaord",O183)</f>
        <v>Cardbaord</v>
      </c>
      <c r="U183" s="1" t="str">
        <f>IF(O183="furniture","cardbaord",IF(O183="office supplies","OS",O183))</f>
        <v>cardbaord</v>
      </c>
    </row>
    <row r="184" spans="1:21" x14ac:dyDescent="0.3">
      <c r="A184">
        <v>2966</v>
      </c>
      <c r="B184" s="1" t="s">
        <v>3660</v>
      </c>
      <c r="C184" s="1" t="s">
        <v>3661</v>
      </c>
      <c r="D184" s="1" t="s">
        <v>745</v>
      </c>
      <c r="E184" s="1" t="s">
        <v>21</v>
      </c>
      <c r="F184" s="1" t="s">
        <v>3662</v>
      </c>
      <c r="G184" s="1" t="s">
        <v>3663</v>
      </c>
      <c r="H184" s="1" t="s">
        <v>38</v>
      </c>
      <c r="I184" s="1" t="s">
        <v>25</v>
      </c>
      <c r="J184" s="1" t="s">
        <v>1970</v>
      </c>
      <c r="K184" s="1" t="s">
        <v>40</v>
      </c>
      <c r="L184">
        <v>92054</v>
      </c>
      <c r="M184" s="1" t="s">
        <v>41</v>
      </c>
      <c r="N184" s="1" t="s">
        <v>3664</v>
      </c>
      <c r="O184" s="1" t="s">
        <v>30</v>
      </c>
      <c r="P184" s="1" t="s">
        <v>63</v>
      </c>
      <c r="Q184" s="1" t="s">
        <v>3665</v>
      </c>
      <c r="R184">
        <v>18.96</v>
      </c>
      <c r="S184" s="1"/>
      <c r="T184" s="1" t="str">
        <f>IF(O184="Furniture","Cardbaord",O184)</f>
        <v>Cardbaord</v>
      </c>
      <c r="U184" s="1" t="str">
        <f>IF(O184="furniture","cardbaord",IF(O184="office supplies","OS",O184))</f>
        <v>cardbaord</v>
      </c>
    </row>
    <row r="185" spans="1:21" x14ac:dyDescent="0.3">
      <c r="A185">
        <v>3822</v>
      </c>
      <c r="B185" s="1" t="s">
        <v>3872</v>
      </c>
      <c r="C185" s="1" t="s">
        <v>2731</v>
      </c>
      <c r="D185" s="1" t="s">
        <v>3873</v>
      </c>
      <c r="E185" s="1" t="s">
        <v>49</v>
      </c>
      <c r="F185" s="1" t="s">
        <v>3874</v>
      </c>
      <c r="G185" s="1" t="s">
        <v>3875</v>
      </c>
      <c r="H185" s="1" t="s">
        <v>24</v>
      </c>
      <c r="I185" s="1" t="s">
        <v>25</v>
      </c>
      <c r="J185" s="1" t="s">
        <v>251</v>
      </c>
      <c r="K185" s="1" t="s">
        <v>252</v>
      </c>
      <c r="L185">
        <v>10024</v>
      </c>
      <c r="M185" s="1" t="s">
        <v>141</v>
      </c>
      <c r="N185" s="1" t="s">
        <v>3876</v>
      </c>
      <c r="O185" s="1" t="s">
        <v>43</v>
      </c>
      <c r="P185" s="1" t="s">
        <v>73</v>
      </c>
      <c r="Q185" s="1" t="s">
        <v>3877</v>
      </c>
      <c r="R185">
        <v>18.98</v>
      </c>
      <c r="S185" s="1"/>
      <c r="T185" s="1" t="str">
        <f>IF(O185="Furniture","Cardbaord",O185)</f>
        <v>Office Supplies</v>
      </c>
      <c r="U185" s="1" t="str">
        <f>IF(O185="furniture","cardbaord",IF(O185="office supplies","OS",O185))</f>
        <v>OS</v>
      </c>
    </row>
    <row r="186" spans="1:21" x14ac:dyDescent="0.3">
      <c r="A186">
        <v>2638</v>
      </c>
      <c r="B186" s="1" t="s">
        <v>3592</v>
      </c>
      <c r="C186" s="1" t="s">
        <v>877</v>
      </c>
      <c r="D186" s="1" t="s">
        <v>3593</v>
      </c>
      <c r="E186" s="1" t="s">
        <v>49</v>
      </c>
      <c r="F186" s="1" t="s">
        <v>3594</v>
      </c>
      <c r="G186" s="1" t="s">
        <v>3595</v>
      </c>
      <c r="H186" s="1" t="s">
        <v>24</v>
      </c>
      <c r="I186" s="1" t="s">
        <v>25</v>
      </c>
      <c r="J186" s="1" t="s">
        <v>251</v>
      </c>
      <c r="K186" s="1" t="s">
        <v>252</v>
      </c>
      <c r="L186">
        <v>10035</v>
      </c>
      <c r="M186" s="1" t="s">
        <v>141</v>
      </c>
      <c r="N186" s="1" t="s">
        <v>3596</v>
      </c>
      <c r="O186" s="1" t="s">
        <v>43</v>
      </c>
      <c r="P186" s="1" t="s">
        <v>73</v>
      </c>
      <c r="Q186" s="1" t="s">
        <v>3597</v>
      </c>
      <c r="R186">
        <v>19.04</v>
      </c>
      <c r="S186" s="1"/>
      <c r="T186" s="1" t="str">
        <f>IF(O186="Furniture","Cardbaord",O186)</f>
        <v>Office Supplies</v>
      </c>
      <c r="U186" s="1" t="str">
        <f>IF(O186="furniture","cardbaord",IF(O186="office supplies","OS",O186))</f>
        <v>OS</v>
      </c>
    </row>
    <row r="187" spans="1:21" x14ac:dyDescent="0.3">
      <c r="A187">
        <v>290</v>
      </c>
      <c r="B187" s="1" t="s">
        <v>962</v>
      </c>
      <c r="C187" s="1" t="s">
        <v>590</v>
      </c>
      <c r="D187" s="1" t="s">
        <v>591</v>
      </c>
      <c r="E187" s="1" t="s">
        <v>21</v>
      </c>
      <c r="F187" s="1" t="s">
        <v>963</v>
      </c>
      <c r="G187" s="1" t="s">
        <v>964</v>
      </c>
      <c r="H187" s="1" t="s">
        <v>90</v>
      </c>
      <c r="I187" s="1" t="s">
        <v>25</v>
      </c>
      <c r="J187" s="1" t="s">
        <v>470</v>
      </c>
      <c r="K187" s="1" t="s">
        <v>471</v>
      </c>
      <c r="L187">
        <v>43229</v>
      </c>
      <c r="M187" s="1" t="s">
        <v>141</v>
      </c>
      <c r="N187" s="1" t="s">
        <v>965</v>
      </c>
      <c r="O187" s="1" t="s">
        <v>43</v>
      </c>
      <c r="P187" s="1" t="s">
        <v>254</v>
      </c>
      <c r="Q187" s="1" t="s">
        <v>966</v>
      </c>
      <c r="R187">
        <v>19.096</v>
      </c>
      <c r="S187" s="1"/>
      <c r="T187" s="1" t="str">
        <f>IF(O187="Furniture","Cardbaord",O187)</f>
        <v>Office Supplies</v>
      </c>
      <c r="U187" s="1" t="str">
        <f>IF(O187="furniture","cardbaord",IF(O187="office supplies","OS",O187))</f>
        <v>OS</v>
      </c>
    </row>
    <row r="188" spans="1:21" x14ac:dyDescent="0.3">
      <c r="A188">
        <v>1639</v>
      </c>
      <c r="B188" s="1" t="s">
        <v>3016</v>
      </c>
      <c r="C188" s="1" t="s">
        <v>3017</v>
      </c>
      <c r="D188" s="1" t="s">
        <v>1532</v>
      </c>
      <c r="E188" s="1" t="s">
        <v>49</v>
      </c>
      <c r="F188" s="1" t="s">
        <v>3018</v>
      </c>
      <c r="G188" s="1" t="s">
        <v>3019</v>
      </c>
      <c r="H188" s="1" t="s">
        <v>24</v>
      </c>
      <c r="I188" s="1" t="s">
        <v>25</v>
      </c>
      <c r="J188" s="1" t="s">
        <v>81</v>
      </c>
      <c r="K188" s="1" t="s">
        <v>3020</v>
      </c>
      <c r="L188">
        <v>20016</v>
      </c>
      <c r="M188" s="1" t="s">
        <v>141</v>
      </c>
      <c r="N188" s="1" t="s">
        <v>3021</v>
      </c>
      <c r="O188" s="1" t="s">
        <v>43</v>
      </c>
      <c r="P188" s="1" t="s">
        <v>73</v>
      </c>
      <c r="Q188" s="1" t="s">
        <v>3022</v>
      </c>
      <c r="R188">
        <v>19.440000000000001</v>
      </c>
      <c r="S188" s="1"/>
      <c r="T188" s="1" t="str">
        <f>IF(O188="Furniture","Cardbaord",O188)</f>
        <v>Office Supplies</v>
      </c>
      <c r="U188" s="1" t="str">
        <f>IF(O188="furniture","cardbaord",IF(O188="office supplies","OS",O188))</f>
        <v>OS</v>
      </c>
    </row>
    <row r="189" spans="1:21" x14ac:dyDescent="0.3">
      <c r="A189">
        <v>556</v>
      </c>
      <c r="B189" s="1" t="s">
        <v>1585</v>
      </c>
      <c r="C189" s="1" t="s">
        <v>1586</v>
      </c>
      <c r="D189" s="1" t="s">
        <v>1587</v>
      </c>
      <c r="E189" s="1" t="s">
        <v>21</v>
      </c>
      <c r="F189" s="1" t="s">
        <v>1588</v>
      </c>
      <c r="G189" s="1" t="s">
        <v>1589</v>
      </c>
      <c r="H189" s="1" t="s">
        <v>24</v>
      </c>
      <c r="I189" s="1" t="s">
        <v>25</v>
      </c>
      <c r="J189" s="1" t="s">
        <v>492</v>
      </c>
      <c r="K189" s="1" t="s">
        <v>71</v>
      </c>
      <c r="L189">
        <v>28403</v>
      </c>
      <c r="M189" s="1" t="s">
        <v>28</v>
      </c>
      <c r="N189" s="1" t="s">
        <v>1590</v>
      </c>
      <c r="O189" s="1" t="s">
        <v>43</v>
      </c>
      <c r="P189" s="1" t="s">
        <v>123</v>
      </c>
      <c r="Q189" s="1" t="s">
        <v>1591</v>
      </c>
      <c r="R189">
        <v>19.456</v>
      </c>
      <c r="S189" s="1"/>
      <c r="T189" s="1" t="str">
        <f>IF(O189="Furniture","Cardbaord",O189)</f>
        <v>Office Supplies</v>
      </c>
      <c r="U189" s="1" t="str">
        <f>IF(O189="furniture","cardbaord",IF(O189="office supplies","OS",O189))</f>
        <v>OS</v>
      </c>
    </row>
    <row r="190" spans="1:21" x14ac:dyDescent="0.3">
      <c r="A190">
        <v>22</v>
      </c>
      <c r="B190" s="1" t="s">
        <v>125</v>
      </c>
      <c r="C190" s="1" t="s">
        <v>126</v>
      </c>
      <c r="D190" s="1" t="s">
        <v>127</v>
      </c>
      <c r="E190" s="1" t="s">
        <v>49</v>
      </c>
      <c r="F190" s="1" t="s">
        <v>128</v>
      </c>
      <c r="G190" s="1" t="s">
        <v>129</v>
      </c>
      <c r="H190" s="1" t="s">
        <v>38</v>
      </c>
      <c r="I190" s="1" t="s">
        <v>25</v>
      </c>
      <c r="J190" s="1" t="s">
        <v>130</v>
      </c>
      <c r="K190" s="1" t="s">
        <v>131</v>
      </c>
      <c r="L190">
        <v>68025</v>
      </c>
      <c r="M190" s="1" t="s">
        <v>93</v>
      </c>
      <c r="N190" s="1" t="s">
        <v>132</v>
      </c>
      <c r="O190" s="1" t="s">
        <v>43</v>
      </c>
      <c r="P190" s="1" t="s">
        <v>123</v>
      </c>
      <c r="Q190" s="1" t="s">
        <v>133</v>
      </c>
      <c r="R190">
        <v>19.46</v>
      </c>
      <c r="S190" s="1"/>
      <c r="T190" s="1" t="str">
        <f>IF(O190="Furniture","Cardbaord",O190)</f>
        <v>Office Supplies</v>
      </c>
      <c r="U190" s="1" t="str">
        <f>IF(O190="furniture","cardbaord",IF(O190="office supplies","OS",O190))</f>
        <v>OS</v>
      </c>
    </row>
    <row r="191" spans="1:21" x14ac:dyDescent="0.3">
      <c r="A191">
        <v>2173</v>
      </c>
      <c r="B191" s="1" t="s">
        <v>3323</v>
      </c>
      <c r="C191" s="1" t="s">
        <v>3159</v>
      </c>
      <c r="D191" s="1" t="s">
        <v>737</v>
      </c>
      <c r="E191" s="1" t="s">
        <v>169</v>
      </c>
      <c r="F191" s="1" t="s">
        <v>3324</v>
      </c>
      <c r="G191" s="1" t="s">
        <v>3325</v>
      </c>
      <c r="H191" s="1" t="s">
        <v>24</v>
      </c>
      <c r="I191" s="1" t="s">
        <v>25</v>
      </c>
      <c r="J191" s="1" t="s">
        <v>121</v>
      </c>
      <c r="K191" s="1" t="s">
        <v>40</v>
      </c>
      <c r="L191">
        <v>94122</v>
      </c>
      <c r="M191" s="1" t="s">
        <v>41</v>
      </c>
      <c r="N191" s="1" t="s">
        <v>3326</v>
      </c>
      <c r="O191" s="1" t="s">
        <v>43</v>
      </c>
      <c r="P191" s="1" t="s">
        <v>83</v>
      </c>
      <c r="Q191" s="1" t="s">
        <v>3327</v>
      </c>
      <c r="R191">
        <v>19.751999999999999</v>
      </c>
      <c r="S191" s="1"/>
      <c r="T191" s="1" t="str">
        <f>IF(O191="Furniture","Cardbaord",O191)</f>
        <v>Office Supplies</v>
      </c>
      <c r="U191" s="1" t="str">
        <f>IF(O191="furniture","cardbaord",IF(O191="office supplies","OS",O191))</f>
        <v>OS</v>
      </c>
    </row>
    <row r="192" spans="1:21" x14ac:dyDescent="0.3">
      <c r="A192">
        <v>4239</v>
      </c>
      <c r="B192" s="1" t="s">
        <v>4012</v>
      </c>
      <c r="C192" s="1" t="s">
        <v>3467</v>
      </c>
      <c r="D192" s="1" t="s">
        <v>4013</v>
      </c>
      <c r="E192" s="1" t="s">
        <v>169</v>
      </c>
      <c r="F192" s="1" t="s">
        <v>4014</v>
      </c>
      <c r="G192" s="1" t="s">
        <v>4015</v>
      </c>
      <c r="H192" s="1" t="s">
        <v>90</v>
      </c>
      <c r="I192" s="1" t="s">
        <v>25</v>
      </c>
      <c r="J192" s="1" t="s">
        <v>80</v>
      </c>
      <c r="K192" s="1" t="s">
        <v>81</v>
      </c>
      <c r="L192">
        <v>98105</v>
      </c>
      <c r="M192" s="1" t="s">
        <v>41</v>
      </c>
      <c r="N192" s="1" t="s">
        <v>4016</v>
      </c>
      <c r="O192" s="1" t="s">
        <v>43</v>
      </c>
      <c r="P192" s="1" t="s">
        <v>123</v>
      </c>
      <c r="Q192" s="1" t="s">
        <v>4017</v>
      </c>
      <c r="R192">
        <v>19.829999999999998</v>
      </c>
      <c r="S192" s="1"/>
      <c r="T192" s="1" t="str">
        <f>IF(O192="Furniture","Cardbaord",O192)</f>
        <v>Office Supplies</v>
      </c>
      <c r="U192" s="1" t="str">
        <f>IF(O192="furniture","cardbaord",IF(O192="office supplies","OS",O192))</f>
        <v>OS</v>
      </c>
    </row>
    <row r="193" spans="1:21" x14ac:dyDescent="0.3">
      <c r="A193">
        <v>577</v>
      </c>
      <c r="B193" s="1" t="s">
        <v>1640</v>
      </c>
      <c r="C193" s="1" t="s">
        <v>1641</v>
      </c>
      <c r="D193" s="1" t="s">
        <v>1642</v>
      </c>
      <c r="E193" s="1" t="s">
        <v>21</v>
      </c>
      <c r="F193" s="1" t="s">
        <v>1643</v>
      </c>
      <c r="G193" s="1" t="s">
        <v>1644</v>
      </c>
      <c r="H193" s="1" t="s">
        <v>24</v>
      </c>
      <c r="I193" s="1" t="s">
        <v>25</v>
      </c>
      <c r="J193" s="1" t="s">
        <v>1039</v>
      </c>
      <c r="K193" s="1" t="s">
        <v>40</v>
      </c>
      <c r="L193">
        <v>90805</v>
      </c>
      <c r="M193" s="1" t="s">
        <v>41</v>
      </c>
      <c r="N193" s="1" t="s">
        <v>1645</v>
      </c>
      <c r="O193" s="1" t="s">
        <v>43</v>
      </c>
      <c r="P193" s="1" t="s">
        <v>73</v>
      </c>
      <c r="Q193" s="1" t="s">
        <v>1646</v>
      </c>
      <c r="R193">
        <v>19.920000000000002</v>
      </c>
      <c r="S193" s="1"/>
      <c r="T193" s="1" t="str">
        <f>IF(O193="Furniture","Cardbaord",O193)</f>
        <v>Office Supplies</v>
      </c>
      <c r="U193" s="1" t="str">
        <f>IF(O193="furniture","cardbaord",IF(O193="office supplies","OS",O193))</f>
        <v>OS</v>
      </c>
    </row>
    <row r="194" spans="1:21" x14ac:dyDescent="0.3">
      <c r="A194">
        <v>1081</v>
      </c>
      <c r="B194" s="1" t="s">
        <v>2504</v>
      </c>
      <c r="C194" s="1" t="s">
        <v>1759</v>
      </c>
      <c r="D194" s="1" t="s">
        <v>864</v>
      </c>
      <c r="E194" s="1" t="s">
        <v>49</v>
      </c>
      <c r="F194" s="1" t="s">
        <v>2505</v>
      </c>
      <c r="G194" s="1" t="s">
        <v>2506</v>
      </c>
      <c r="H194" s="1" t="s">
        <v>38</v>
      </c>
      <c r="I194" s="1" t="s">
        <v>25</v>
      </c>
      <c r="J194" s="1" t="s">
        <v>807</v>
      </c>
      <c r="K194" s="1" t="s">
        <v>225</v>
      </c>
      <c r="L194">
        <v>48227</v>
      </c>
      <c r="M194" s="1" t="s">
        <v>93</v>
      </c>
      <c r="N194" s="1" t="s">
        <v>2507</v>
      </c>
      <c r="O194" s="1" t="s">
        <v>43</v>
      </c>
      <c r="P194" s="1" t="s">
        <v>73</v>
      </c>
      <c r="Q194" s="1" t="s">
        <v>166</v>
      </c>
      <c r="R194">
        <v>19.920000000000002</v>
      </c>
      <c r="S194" s="1"/>
      <c r="T194" s="1" t="str">
        <f>IF(O194="Furniture","Cardbaord",O194)</f>
        <v>Office Supplies</v>
      </c>
      <c r="U194" s="1" t="str">
        <f>IF(O194="furniture","cardbaord",IF(O194="office supplies","OS",O194))</f>
        <v>OS</v>
      </c>
    </row>
    <row r="195" spans="1:21" x14ac:dyDescent="0.3">
      <c r="A195">
        <v>1523</v>
      </c>
      <c r="B195" s="1" t="s">
        <v>2924</v>
      </c>
      <c r="C195" s="1" t="s">
        <v>2925</v>
      </c>
      <c r="D195" s="1" t="s">
        <v>1553</v>
      </c>
      <c r="E195" s="1" t="s">
        <v>49</v>
      </c>
      <c r="F195" s="1" t="s">
        <v>2926</v>
      </c>
      <c r="G195" s="1" t="s">
        <v>2927</v>
      </c>
      <c r="H195" s="1" t="s">
        <v>24</v>
      </c>
      <c r="I195" s="1" t="s">
        <v>25</v>
      </c>
      <c r="J195" s="1" t="s">
        <v>1143</v>
      </c>
      <c r="K195" s="1" t="s">
        <v>285</v>
      </c>
      <c r="L195">
        <v>85705</v>
      </c>
      <c r="M195" s="1" t="s">
        <v>41</v>
      </c>
      <c r="N195" s="1" t="s">
        <v>2928</v>
      </c>
      <c r="O195" s="1" t="s">
        <v>43</v>
      </c>
      <c r="P195" s="1" t="s">
        <v>73</v>
      </c>
      <c r="Q195" s="1" t="s">
        <v>2929</v>
      </c>
      <c r="R195">
        <v>19.920000000000002</v>
      </c>
      <c r="S195" s="1"/>
      <c r="T195" s="1" t="str">
        <f>IF(O195="Furniture","Cardbaord",O195)</f>
        <v>Office Supplies</v>
      </c>
      <c r="U195" s="1" t="str">
        <f>IF(O195="furniture","cardbaord",IF(O195="office supplies","OS",O195))</f>
        <v>OS</v>
      </c>
    </row>
    <row r="196" spans="1:21" x14ac:dyDescent="0.3">
      <c r="A196">
        <v>1938</v>
      </c>
      <c r="B196" s="1" t="s">
        <v>3246</v>
      </c>
      <c r="C196" s="1" t="s">
        <v>3233</v>
      </c>
      <c r="D196" s="1" t="s">
        <v>1952</v>
      </c>
      <c r="E196" s="1" t="s">
        <v>49</v>
      </c>
      <c r="F196" s="1" t="s">
        <v>3247</v>
      </c>
      <c r="G196" s="1" t="s">
        <v>3248</v>
      </c>
      <c r="H196" s="1" t="s">
        <v>24</v>
      </c>
      <c r="I196" s="1" t="s">
        <v>25</v>
      </c>
      <c r="J196" s="1" t="s">
        <v>3249</v>
      </c>
      <c r="K196" s="1" t="s">
        <v>431</v>
      </c>
      <c r="L196">
        <v>80020</v>
      </c>
      <c r="M196" s="1" t="s">
        <v>41</v>
      </c>
      <c r="N196" s="1" t="s">
        <v>3250</v>
      </c>
      <c r="O196" s="1" t="s">
        <v>43</v>
      </c>
      <c r="P196" s="1" t="s">
        <v>83</v>
      </c>
      <c r="Q196" s="1" t="s">
        <v>3251</v>
      </c>
      <c r="R196">
        <v>19.968</v>
      </c>
      <c r="S196" s="1"/>
      <c r="T196" s="1" t="str">
        <f>IF(O196="Furniture","Cardbaord",O196)</f>
        <v>Office Supplies</v>
      </c>
      <c r="U196" s="1" t="str">
        <f>IF(O196="furniture","cardbaord",IF(O196="office supplies","OS",O196))</f>
        <v>OS</v>
      </c>
    </row>
    <row r="197" spans="1:21" x14ac:dyDescent="0.3">
      <c r="A197">
        <v>87</v>
      </c>
      <c r="B197" s="1" t="s">
        <v>350</v>
      </c>
      <c r="C197" s="1" t="s">
        <v>351</v>
      </c>
      <c r="D197" s="1" t="s">
        <v>352</v>
      </c>
      <c r="E197" s="1" t="s">
        <v>49</v>
      </c>
      <c r="F197" s="1" t="s">
        <v>353</v>
      </c>
      <c r="G197" s="1" t="s">
        <v>354</v>
      </c>
      <c r="H197" s="1" t="s">
        <v>24</v>
      </c>
      <c r="I197" s="1" t="s">
        <v>25</v>
      </c>
      <c r="J197" s="1" t="s">
        <v>355</v>
      </c>
      <c r="K197" s="1" t="s">
        <v>215</v>
      </c>
      <c r="L197">
        <v>55901</v>
      </c>
      <c r="M197" s="1" t="s">
        <v>93</v>
      </c>
      <c r="N197" s="1" t="s">
        <v>356</v>
      </c>
      <c r="O197" s="1" t="s">
        <v>174</v>
      </c>
      <c r="P197" s="1" t="s">
        <v>217</v>
      </c>
      <c r="Q197" s="1" t="s">
        <v>357</v>
      </c>
      <c r="R197">
        <v>19.989999999999998</v>
      </c>
      <c r="S197" s="1"/>
      <c r="T197" s="1" t="str">
        <f>IF(O197="Furniture","Cardbaord",O197)</f>
        <v>Technology</v>
      </c>
      <c r="U197" s="1" t="str">
        <f>IF(O197="furniture","cardbaord",IF(O197="office supplies","OS",O197))</f>
        <v>Technology</v>
      </c>
    </row>
    <row r="198" spans="1:21" x14ac:dyDescent="0.3">
      <c r="A198">
        <v>4064</v>
      </c>
      <c r="B198" s="1" t="s">
        <v>3970</v>
      </c>
      <c r="C198" s="1" t="s">
        <v>1882</v>
      </c>
      <c r="D198" s="1" t="s">
        <v>3971</v>
      </c>
      <c r="E198" s="1" t="s">
        <v>169</v>
      </c>
      <c r="F198" s="1" t="s">
        <v>3972</v>
      </c>
      <c r="G198" s="1" t="s">
        <v>3973</v>
      </c>
      <c r="H198" s="1" t="s">
        <v>24</v>
      </c>
      <c r="I198" s="1" t="s">
        <v>25</v>
      </c>
      <c r="J198" s="1" t="s">
        <v>70</v>
      </c>
      <c r="K198" s="1" t="s">
        <v>71</v>
      </c>
      <c r="L198">
        <v>28027</v>
      </c>
      <c r="M198" s="1" t="s">
        <v>28</v>
      </c>
      <c r="N198" s="1" t="s">
        <v>3974</v>
      </c>
      <c r="O198" s="1" t="s">
        <v>43</v>
      </c>
      <c r="P198" s="1" t="s">
        <v>123</v>
      </c>
      <c r="Q198" s="1" t="s">
        <v>3975</v>
      </c>
      <c r="R198">
        <v>20.015999999999998</v>
      </c>
      <c r="S198" s="1"/>
      <c r="T198" s="1" t="str">
        <f>IF(O198="Furniture","Cardbaord",O198)</f>
        <v>Office Supplies</v>
      </c>
      <c r="U198" s="1" t="str">
        <f>IF(O198="furniture","cardbaord",IF(O198="office supplies","OS",O198))</f>
        <v>OS</v>
      </c>
    </row>
    <row r="199" spans="1:21" x14ac:dyDescent="0.3">
      <c r="A199">
        <v>134</v>
      </c>
      <c r="B199" s="1" t="s">
        <v>530</v>
      </c>
      <c r="C199" s="1" t="s">
        <v>531</v>
      </c>
      <c r="D199" s="1" t="s">
        <v>532</v>
      </c>
      <c r="E199" s="1" t="s">
        <v>49</v>
      </c>
      <c r="F199" s="1" t="s">
        <v>533</v>
      </c>
      <c r="G199" s="1" t="s">
        <v>534</v>
      </c>
      <c r="H199" s="1" t="s">
        <v>24</v>
      </c>
      <c r="I199" s="1" t="s">
        <v>25</v>
      </c>
      <c r="J199" s="1" t="s">
        <v>535</v>
      </c>
      <c r="K199" s="1" t="s">
        <v>40</v>
      </c>
      <c r="L199">
        <v>95661</v>
      </c>
      <c r="M199" s="1" t="s">
        <v>41</v>
      </c>
      <c r="N199" s="1" t="s">
        <v>536</v>
      </c>
      <c r="O199" s="1" t="s">
        <v>43</v>
      </c>
      <c r="P199" s="1" t="s">
        <v>73</v>
      </c>
      <c r="Q199" s="1" t="s">
        <v>537</v>
      </c>
      <c r="R199">
        <v>20.04</v>
      </c>
      <c r="S199" s="1"/>
      <c r="T199" s="1" t="str">
        <f>IF(O199="Furniture","Cardbaord",O199)</f>
        <v>Office Supplies</v>
      </c>
      <c r="U199" s="1" t="str">
        <f>IF(O199="furniture","cardbaord",IF(O199="office supplies","OS",O199))</f>
        <v>OS</v>
      </c>
    </row>
    <row r="200" spans="1:21" x14ac:dyDescent="0.3">
      <c r="A200">
        <v>90</v>
      </c>
      <c r="B200" s="1" t="s">
        <v>365</v>
      </c>
      <c r="C200" s="1" t="s">
        <v>366</v>
      </c>
      <c r="D200" s="1" t="s">
        <v>367</v>
      </c>
      <c r="E200" s="1" t="s">
        <v>49</v>
      </c>
      <c r="F200" s="1" t="s">
        <v>368</v>
      </c>
      <c r="G200" s="1" t="s">
        <v>369</v>
      </c>
      <c r="H200" s="1" t="s">
        <v>38</v>
      </c>
      <c r="I200" s="1" t="s">
        <v>25</v>
      </c>
      <c r="J200" s="1" t="s">
        <v>39</v>
      </c>
      <c r="K200" s="1" t="s">
        <v>40</v>
      </c>
      <c r="L200">
        <v>90036</v>
      </c>
      <c r="M200" s="1" t="s">
        <v>41</v>
      </c>
      <c r="N200" s="1" t="s">
        <v>370</v>
      </c>
      <c r="O200" s="1" t="s">
        <v>43</v>
      </c>
      <c r="P200" s="1" t="s">
        <v>123</v>
      </c>
      <c r="Q200" s="1" t="s">
        <v>371</v>
      </c>
      <c r="R200">
        <v>20.100000000000001</v>
      </c>
      <c r="S200" s="1"/>
      <c r="T200" s="1" t="str">
        <f>IF(O200="Furniture","Cardbaord",O200)</f>
        <v>Office Supplies</v>
      </c>
      <c r="U200" s="1" t="str">
        <f>IF(O200="furniture","cardbaord",IF(O200="office supplies","OS",O200))</f>
        <v>OS</v>
      </c>
    </row>
    <row r="201" spans="1:21" x14ac:dyDescent="0.3">
      <c r="A201">
        <v>259</v>
      </c>
      <c r="B201" s="1" t="s">
        <v>869</v>
      </c>
      <c r="C201" s="1" t="s">
        <v>766</v>
      </c>
      <c r="D201" s="1" t="s">
        <v>870</v>
      </c>
      <c r="E201" s="1" t="s">
        <v>21</v>
      </c>
      <c r="F201" s="1" t="s">
        <v>871</v>
      </c>
      <c r="G201" s="1" t="s">
        <v>872</v>
      </c>
      <c r="H201" s="1" t="s">
        <v>24</v>
      </c>
      <c r="I201" s="1" t="s">
        <v>25</v>
      </c>
      <c r="J201" s="1" t="s">
        <v>251</v>
      </c>
      <c r="K201" s="1" t="s">
        <v>252</v>
      </c>
      <c r="L201">
        <v>10009</v>
      </c>
      <c r="M201" s="1" t="s">
        <v>141</v>
      </c>
      <c r="N201" s="1" t="s">
        <v>873</v>
      </c>
      <c r="O201" s="1" t="s">
        <v>174</v>
      </c>
      <c r="P201" s="1" t="s">
        <v>217</v>
      </c>
      <c r="Q201" s="1" t="s">
        <v>874</v>
      </c>
      <c r="R201">
        <v>20.37</v>
      </c>
      <c r="S201" s="1"/>
      <c r="T201" s="1" t="str">
        <f>IF(O201="Furniture","Cardbaord",O201)</f>
        <v>Technology</v>
      </c>
      <c r="U201" s="1" t="str">
        <f>IF(O201="furniture","cardbaord",IF(O201="office supplies","OS",O201))</f>
        <v>Technology</v>
      </c>
    </row>
    <row r="202" spans="1:21" x14ac:dyDescent="0.3">
      <c r="A202">
        <v>557</v>
      </c>
      <c r="B202" s="1" t="s">
        <v>1592</v>
      </c>
      <c r="C202" s="1" t="s">
        <v>1593</v>
      </c>
      <c r="D202" s="1" t="s">
        <v>321</v>
      </c>
      <c r="E202" s="1" t="s">
        <v>49</v>
      </c>
      <c r="F202" s="1" t="s">
        <v>1594</v>
      </c>
      <c r="G202" s="1" t="s">
        <v>1595</v>
      </c>
      <c r="H202" s="1" t="s">
        <v>24</v>
      </c>
      <c r="I202" s="1" t="s">
        <v>25</v>
      </c>
      <c r="J202" s="1" t="s">
        <v>39</v>
      </c>
      <c r="K202" s="1" t="s">
        <v>40</v>
      </c>
      <c r="L202">
        <v>90045</v>
      </c>
      <c r="M202" s="1" t="s">
        <v>41</v>
      </c>
      <c r="N202" s="1" t="s">
        <v>1596</v>
      </c>
      <c r="O202" s="1" t="s">
        <v>43</v>
      </c>
      <c r="P202" s="1" t="s">
        <v>44</v>
      </c>
      <c r="Q202" s="1" t="s">
        <v>1597</v>
      </c>
      <c r="R202">
        <v>20.7</v>
      </c>
      <c r="S202" s="1"/>
      <c r="T202" s="1" t="str">
        <f>IF(O202="Furniture","Cardbaord",O202)</f>
        <v>Office Supplies</v>
      </c>
      <c r="U202" s="1" t="str">
        <f>IF(O202="furniture","cardbaord",IF(O202="office supplies","OS",O202))</f>
        <v>OS</v>
      </c>
    </row>
    <row r="203" spans="1:21" x14ac:dyDescent="0.3">
      <c r="A203">
        <v>2980</v>
      </c>
      <c r="B203" s="1" t="s">
        <v>3666</v>
      </c>
      <c r="C203" s="1" t="s">
        <v>3667</v>
      </c>
      <c r="D203" s="1" t="s">
        <v>3668</v>
      </c>
      <c r="E203" s="1" t="s">
        <v>49</v>
      </c>
      <c r="F203" s="1" t="s">
        <v>3669</v>
      </c>
      <c r="G203" s="1" t="s">
        <v>3670</v>
      </c>
      <c r="H203" s="1" t="s">
        <v>24</v>
      </c>
      <c r="I203" s="1" t="s">
        <v>25</v>
      </c>
      <c r="J203" s="1" t="s">
        <v>139</v>
      </c>
      <c r="K203" s="1" t="s">
        <v>140</v>
      </c>
      <c r="L203">
        <v>19134</v>
      </c>
      <c r="M203" s="1" t="s">
        <v>141</v>
      </c>
      <c r="N203" s="1" t="s">
        <v>3671</v>
      </c>
      <c r="O203" s="1" t="s">
        <v>43</v>
      </c>
      <c r="P203" s="1" t="s">
        <v>73</v>
      </c>
      <c r="Q203" s="1" t="s">
        <v>3672</v>
      </c>
      <c r="R203">
        <v>20.736000000000001</v>
      </c>
      <c r="S203" s="1"/>
      <c r="T203" s="1" t="str">
        <f>IF(O203="Furniture","Cardbaord",O203)</f>
        <v>Office Supplies</v>
      </c>
      <c r="U203" s="1" t="str">
        <f>IF(O203="furniture","cardbaord",IF(O203="office supplies","OS",O203))</f>
        <v>OS</v>
      </c>
    </row>
    <row r="204" spans="1:21" x14ac:dyDescent="0.3">
      <c r="A204">
        <v>3261</v>
      </c>
      <c r="B204" s="1" t="s">
        <v>3777</v>
      </c>
      <c r="C204" s="1" t="s">
        <v>2336</v>
      </c>
      <c r="D204" s="1" t="s">
        <v>3778</v>
      </c>
      <c r="E204" s="1" t="s">
        <v>169</v>
      </c>
      <c r="F204" s="1" t="s">
        <v>3779</v>
      </c>
      <c r="G204" s="1" t="s">
        <v>3780</v>
      </c>
      <c r="H204" s="1" t="s">
        <v>38</v>
      </c>
      <c r="I204" s="1" t="s">
        <v>25</v>
      </c>
      <c r="J204" s="1" t="s">
        <v>880</v>
      </c>
      <c r="K204" s="1" t="s">
        <v>92</v>
      </c>
      <c r="L204">
        <v>77506</v>
      </c>
      <c r="M204" s="1" t="s">
        <v>93</v>
      </c>
      <c r="N204" s="1" t="s">
        <v>3781</v>
      </c>
      <c r="O204" s="1" t="s">
        <v>43</v>
      </c>
      <c r="P204" s="1" t="s">
        <v>73</v>
      </c>
      <c r="Q204" s="1" t="s">
        <v>3782</v>
      </c>
      <c r="R204">
        <v>20.736000000000001</v>
      </c>
      <c r="S204" s="1"/>
      <c r="T204" s="1" t="str">
        <f>IF(O204="Furniture","Cardbaord",O204)</f>
        <v>Office Supplies</v>
      </c>
      <c r="U204" s="1" t="str">
        <f>IF(O204="furniture","cardbaord",IF(O204="office supplies","OS",O204))</f>
        <v>OS</v>
      </c>
    </row>
    <row r="205" spans="1:21" x14ac:dyDescent="0.3">
      <c r="A205">
        <v>212</v>
      </c>
      <c r="B205" s="1" t="s">
        <v>773</v>
      </c>
      <c r="C205" s="1" t="s">
        <v>774</v>
      </c>
      <c r="D205" s="1" t="s">
        <v>775</v>
      </c>
      <c r="E205" s="1" t="s">
        <v>21</v>
      </c>
      <c r="F205" s="1" t="s">
        <v>776</v>
      </c>
      <c r="G205" s="1" t="s">
        <v>777</v>
      </c>
      <c r="H205" s="1" t="s">
        <v>38</v>
      </c>
      <c r="I205" s="1" t="s">
        <v>25</v>
      </c>
      <c r="J205" s="1" t="s">
        <v>748</v>
      </c>
      <c r="K205" s="1" t="s">
        <v>92</v>
      </c>
      <c r="L205">
        <v>75220</v>
      </c>
      <c r="M205" s="1" t="s">
        <v>93</v>
      </c>
      <c r="N205" s="1" t="s">
        <v>778</v>
      </c>
      <c r="O205" s="1" t="s">
        <v>174</v>
      </c>
      <c r="P205" s="1" t="s">
        <v>217</v>
      </c>
      <c r="Q205" s="1" t="s">
        <v>779</v>
      </c>
      <c r="R205">
        <v>20.8</v>
      </c>
      <c r="S205" s="1"/>
      <c r="T205" s="1" t="str">
        <f>IF(O205="Furniture","Cardbaord",O205)</f>
        <v>Technology</v>
      </c>
      <c r="U205" s="1" t="str">
        <f>IF(O205="furniture","cardbaord",IF(O205="office supplies","OS",O205))</f>
        <v>Technology</v>
      </c>
    </row>
    <row r="206" spans="1:21" x14ac:dyDescent="0.3">
      <c r="A206">
        <v>1290</v>
      </c>
      <c r="B206" s="1" t="s">
        <v>2697</v>
      </c>
      <c r="C206" s="1" t="s">
        <v>2420</v>
      </c>
      <c r="D206" s="1" t="s">
        <v>2698</v>
      </c>
      <c r="E206" s="1" t="s">
        <v>49</v>
      </c>
      <c r="F206" s="1" t="s">
        <v>2699</v>
      </c>
      <c r="G206" s="1" t="s">
        <v>2700</v>
      </c>
      <c r="H206" s="1" t="s">
        <v>38</v>
      </c>
      <c r="I206" s="1" t="s">
        <v>25</v>
      </c>
      <c r="J206" s="1" t="s">
        <v>251</v>
      </c>
      <c r="K206" s="1" t="s">
        <v>252</v>
      </c>
      <c r="L206">
        <v>10009</v>
      </c>
      <c r="M206" s="1" t="s">
        <v>141</v>
      </c>
      <c r="N206" s="1" t="s">
        <v>2701</v>
      </c>
      <c r="O206" s="1" t="s">
        <v>43</v>
      </c>
      <c r="P206" s="1" t="s">
        <v>123</v>
      </c>
      <c r="Q206" s="1" t="s">
        <v>2702</v>
      </c>
      <c r="R206">
        <v>20.82</v>
      </c>
      <c r="S206" s="1"/>
      <c r="T206" s="1" t="str">
        <f>IF(O206="Furniture","Cardbaord",O206)</f>
        <v>Office Supplies</v>
      </c>
      <c r="U206" s="1" t="str">
        <f>IF(O206="furniture","cardbaord",IF(O206="office supplies","OS",O206))</f>
        <v>OS</v>
      </c>
    </row>
    <row r="207" spans="1:21" x14ac:dyDescent="0.3">
      <c r="A207">
        <v>172</v>
      </c>
      <c r="B207" s="1" t="s">
        <v>633</v>
      </c>
      <c r="C207" s="1" t="s">
        <v>634</v>
      </c>
      <c r="D207" s="1" t="s">
        <v>635</v>
      </c>
      <c r="E207" s="1" t="s">
        <v>49</v>
      </c>
      <c r="F207" s="1" t="s">
        <v>636</v>
      </c>
      <c r="G207" s="1" t="s">
        <v>637</v>
      </c>
      <c r="H207" s="1" t="s">
        <v>24</v>
      </c>
      <c r="I207" s="1" t="s">
        <v>25</v>
      </c>
      <c r="J207" s="1" t="s">
        <v>39</v>
      </c>
      <c r="K207" s="1" t="s">
        <v>40</v>
      </c>
      <c r="L207">
        <v>90004</v>
      </c>
      <c r="M207" s="1" t="s">
        <v>41</v>
      </c>
      <c r="N207" s="1" t="s">
        <v>638</v>
      </c>
      <c r="O207" s="1" t="s">
        <v>43</v>
      </c>
      <c r="P207" s="1" t="s">
        <v>73</v>
      </c>
      <c r="Q207" s="1" t="s">
        <v>639</v>
      </c>
      <c r="R207">
        <v>20.94</v>
      </c>
      <c r="S207" s="1"/>
      <c r="T207" s="1" t="str">
        <f>IF(O207="Furniture","Cardbaord",O207)</f>
        <v>Office Supplies</v>
      </c>
      <c r="U207" s="1" t="str">
        <f>IF(O207="furniture","cardbaord",IF(O207="office supplies","OS",O207))</f>
        <v>OS</v>
      </c>
    </row>
    <row r="208" spans="1:21" x14ac:dyDescent="0.3">
      <c r="A208">
        <v>4192</v>
      </c>
      <c r="B208" s="1" t="s">
        <v>3994</v>
      </c>
      <c r="C208" s="1" t="s">
        <v>3995</v>
      </c>
      <c r="D208" s="1" t="s">
        <v>3995</v>
      </c>
      <c r="E208" s="1" t="s">
        <v>1124</v>
      </c>
      <c r="F208" s="1" t="s">
        <v>3996</v>
      </c>
      <c r="G208" s="1" t="s">
        <v>3997</v>
      </c>
      <c r="H208" s="1" t="s">
        <v>24</v>
      </c>
      <c r="I208" s="1" t="s">
        <v>25</v>
      </c>
      <c r="J208" s="1" t="s">
        <v>164</v>
      </c>
      <c r="K208" s="1" t="s">
        <v>92</v>
      </c>
      <c r="L208">
        <v>77070</v>
      </c>
      <c r="M208" s="1" t="s">
        <v>93</v>
      </c>
      <c r="N208" s="1" t="s">
        <v>3998</v>
      </c>
      <c r="O208" s="1" t="s">
        <v>43</v>
      </c>
      <c r="P208" s="1" t="s">
        <v>73</v>
      </c>
      <c r="Q208" s="1" t="s">
        <v>3999</v>
      </c>
      <c r="R208">
        <v>21.12</v>
      </c>
      <c r="S208" s="1"/>
      <c r="T208" s="1" t="str">
        <f>IF(O208="Furniture","Cardbaord",O208)</f>
        <v>Office Supplies</v>
      </c>
      <c r="U208" s="1" t="str">
        <f>IF(O208="furniture","cardbaord",IF(O208="office supplies","OS",O208))</f>
        <v>OS</v>
      </c>
    </row>
    <row r="209" spans="1:21" x14ac:dyDescent="0.3">
      <c r="A209">
        <v>1567</v>
      </c>
      <c r="B209" s="1" t="s">
        <v>2942</v>
      </c>
      <c r="C209" s="1" t="s">
        <v>1759</v>
      </c>
      <c r="D209" s="1" t="s">
        <v>266</v>
      </c>
      <c r="E209" s="1" t="s">
        <v>169</v>
      </c>
      <c r="F209" s="1" t="s">
        <v>2943</v>
      </c>
      <c r="G209" s="1" t="s">
        <v>2944</v>
      </c>
      <c r="H209" s="1" t="s">
        <v>24</v>
      </c>
      <c r="I209" s="1" t="s">
        <v>25</v>
      </c>
      <c r="J209" s="1" t="s">
        <v>2945</v>
      </c>
      <c r="K209" s="1" t="s">
        <v>92</v>
      </c>
      <c r="L209">
        <v>75002</v>
      </c>
      <c r="M209" s="1" t="s">
        <v>93</v>
      </c>
      <c r="N209" s="1" t="s">
        <v>2946</v>
      </c>
      <c r="O209" s="1" t="s">
        <v>174</v>
      </c>
      <c r="P209" s="1" t="s">
        <v>217</v>
      </c>
      <c r="Q209" s="1" t="s">
        <v>2947</v>
      </c>
      <c r="R209">
        <v>21.48</v>
      </c>
      <c r="S209" s="1"/>
      <c r="T209" s="1" t="str">
        <f>IF(O209="Furniture","Cardbaord",O209)</f>
        <v>Technology</v>
      </c>
      <c r="U209" s="1" t="str">
        <f>IF(O209="furniture","cardbaord",IF(O209="office supplies","OS",O209))</f>
        <v>Technology</v>
      </c>
    </row>
    <row r="210" spans="1:21" x14ac:dyDescent="0.3">
      <c r="A210">
        <v>201</v>
      </c>
      <c r="B210" s="1" t="s">
        <v>728</v>
      </c>
      <c r="C210" s="1" t="s">
        <v>729</v>
      </c>
      <c r="D210" s="1" t="s">
        <v>730</v>
      </c>
      <c r="E210" s="1" t="s">
        <v>49</v>
      </c>
      <c r="F210" s="1" t="s">
        <v>731</v>
      </c>
      <c r="G210" s="1" t="s">
        <v>732</v>
      </c>
      <c r="H210" s="1" t="s">
        <v>24</v>
      </c>
      <c r="I210" s="1" t="s">
        <v>25</v>
      </c>
      <c r="J210" s="1" t="s">
        <v>733</v>
      </c>
      <c r="K210" s="1" t="s">
        <v>471</v>
      </c>
      <c r="L210">
        <v>44312</v>
      </c>
      <c r="M210" s="1" t="s">
        <v>141</v>
      </c>
      <c r="N210" s="1" t="s">
        <v>734</v>
      </c>
      <c r="O210" s="1" t="s">
        <v>43</v>
      </c>
      <c r="P210" s="1" t="s">
        <v>73</v>
      </c>
      <c r="Q210" s="1" t="s">
        <v>735</v>
      </c>
      <c r="R210">
        <v>21.744</v>
      </c>
      <c r="S210" s="1"/>
      <c r="T210" s="1" t="str">
        <f>IF(O210="Furniture","Cardbaord",O210)</f>
        <v>Office Supplies</v>
      </c>
      <c r="U210" s="1" t="str">
        <f>IF(O210="furniture","cardbaord",IF(O210="office supplies","OS",O210))</f>
        <v>OS</v>
      </c>
    </row>
    <row r="211" spans="1:21" x14ac:dyDescent="0.3">
      <c r="A211">
        <v>3043</v>
      </c>
      <c r="B211" s="1" t="s">
        <v>3692</v>
      </c>
      <c r="C211" s="1" t="s">
        <v>1525</v>
      </c>
      <c r="D211" s="1" t="s">
        <v>3693</v>
      </c>
      <c r="E211" s="1" t="s">
        <v>1124</v>
      </c>
      <c r="F211" s="1" t="s">
        <v>3694</v>
      </c>
      <c r="G211" s="1" t="s">
        <v>3695</v>
      </c>
      <c r="H211" s="1" t="s">
        <v>90</v>
      </c>
      <c r="I211" s="1" t="s">
        <v>25</v>
      </c>
      <c r="J211" s="1" t="s">
        <v>1039</v>
      </c>
      <c r="K211" s="1" t="s">
        <v>40</v>
      </c>
      <c r="L211">
        <v>90805</v>
      </c>
      <c r="M211" s="1" t="s">
        <v>41</v>
      </c>
      <c r="N211" s="1" t="s">
        <v>3696</v>
      </c>
      <c r="O211" s="1" t="s">
        <v>43</v>
      </c>
      <c r="P211" s="1" t="s">
        <v>183</v>
      </c>
      <c r="Q211" s="1" t="s">
        <v>3697</v>
      </c>
      <c r="R211">
        <v>22.18</v>
      </c>
      <c r="S211" s="1"/>
      <c r="T211" s="1" t="str">
        <f>IF(O211="Furniture","Cardbaord",O211)</f>
        <v>Office Supplies</v>
      </c>
      <c r="U211" s="1" t="str">
        <f>IF(O211="furniture","cardbaord",IF(O211="office supplies","OS",O211))</f>
        <v>OS</v>
      </c>
    </row>
    <row r="212" spans="1:21" x14ac:dyDescent="0.3">
      <c r="A212">
        <v>526</v>
      </c>
      <c r="B212" s="1" t="s">
        <v>1496</v>
      </c>
      <c r="C212" s="1" t="s">
        <v>1497</v>
      </c>
      <c r="D212" s="1" t="s">
        <v>1498</v>
      </c>
      <c r="E212" s="1" t="s">
        <v>49</v>
      </c>
      <c r="F212" s="1" t="s">
        <v>1499</v>
      </c>
      <c r="G212" s="1" t="s">
        <v>1500</v>
      </c>
      <c r="H212" s="1" t="s">
        <v>24</v>
      </c>
      <c r="I212" s="1" t="s">
        <v>25</v>
      </c>
      <c r="J212" s="1" t="s">
        <v>1291</v>
      </c>
      <c r="K212" s="1" t="s">
        <v>1091</v>
      </c>
      <c r="L212">
        <v>1841</v>
      </c>
      <c r="M212" s="1" t="s">
        <v>141</v>
      </c>
      <c r="N212" s="1" t="s">
        <v>1501</v>
      </c>
      <c r="O212" s="1" t="s">
        <v>43</v>
      </c>
      <c r="P212" s="1" t="s">
        <v>254</v>
      </c>
      <c r="Q212" s="1" t="s">
        <v>1502</v>
      </c>
      <c r="R212">
        <v>22.2</v>
      </c>
      <c r="S212" s="1"/>
      <c r="T212" s="1" t="str">
        <f>IF(O212="Furniture","Cardbaord",O212)</f>
        <v>Office Supplies</v>
      </c>
      <c r="U212" s="1" t="str">
        <f>IF(O212="furniture","cardbaord",IF(O212="office supplies","OS",O212))</f>
        <v>OS</v>
      </c>
    </row>
    <row r="213" spans="1:21" x14ac:dyDescent="0.3">
      <c r="A213">
        <v>801</v>
      </c>
      <c r="B213" s="1" t="s">
        <v>2070</v>
      </c>
      <c r="C213" s="1" t="s">
        <v>2071</v>
      </c>
      <c r="D213" s="1" t="s">
        <v>2072</v>
      </c>
      <c r="E213" s="1" t="s">
        <v>169</v>
      </c>
      <c r="F213" s="1" t="s">
        <v>2073</v>
      </c>
      <c r="G213" s="1" t="s">
        <v>2074</v>
      </c>
      <c r="H213" s="1" t="s">
        <v>38</v>
      </c>
      <c r="I213" s="1" t="s">
        <v>25</v>
      </c>
      <c r="J213" s="1" t="s">
        <v>854</v>
      </c>
      <c r="K213" s="1" t="s">
        <v>40</v>
      </c>
      <c r="L213">
        <v>92105</v>
      </c>
      <c r="M213" s="1" t="s">
        <v>41</v>
      </c>
      <c r="N213" s="1" t="s">
        <v>2075</v>
      </c>
      <c r="O213" s="1" t="s">
        <v>30</v>
      </c>
      <c r="P213" s="1" t="s">
        <v>63</v>
      </c>
      <c r="Q213" s="1" t="s">
        <v>2076</v>
      </c>
      <c r="R213">
        <v>22.23</v>
      </c>
      <c r="S213" s="1"/>
      <c r="T213" s="1" t="str">
        <f>IF(O213="Furniture","Cardbaord",O213)</f>
        <v>Cardbaord</v>
      </c>
      <c r="U213" s="1" t="str">
        <f>IF(O213="furniture","cardbaord",IF(O213="office supplies","OS",O213))</f>
        <v>cardbaord</v>
      </c>
    </row>
    <row r="214" spans="1:21" x14ac:dyDescent="0.3">
      <c r="A214">
        <v>1172</v>
      </c>
      <c r="B214" s="1" t="s">
        <v>2575</v>
      </c>
      <c r="C214" s="1" t="s">
        <v>2576</v>
      </c>
      <c r="D214" s="1" t="s">
        <v>2577</v>
      </c>
      <c r="E214" s="1" t="s">
        <v>49</v>
      </c>
      <c r="F214" s="1" t="s">
        <v>2578</v>
      </c>
      <c r="G214" s="1" t="s">
        <v>2579</v>
      </c>
      <c r="H214" s="1" t="s">
        <v>24</v>
      </c>
      <c r="I214" s="1" t="s">
        <v>25</v>
      </c>
      <c r="J214" s="1" t="s">
        <v>2580</v>
      </c>
      <c r="K214" s="1" t="s">
        <v>225</v>
      </c>
      <c r="L214">
        <v>48073</v>
      </c>
      <c r="M214" s="1" t="s">
        <v>93</v>
      </c>
      <c r="N214" s="1" t="s">
        <v>2581</v>
      </c>
      <c r="O214" s="1" t="s">
        <v>43</v>
      </c>
      <c r="P214" s="1" t="s">
        <v>73</v>
      </c>
      <c r="Q214" s="1" t="s">
        <v>2582</v>
      </c>
      <c r="R214">
        <v>22.38</v>
      </c>
      <c r="S214" s="1"/>
      <c r="T214" s="1" t="str">
        <f>IF(O214="Furniture","Cardbaord",O214)</f>
        <v>Office Supplies</v>
      </c>
      <c r="U214" s="1" t="str">
        <f>IF(O214="furniture","cardbaord",IF(O214="office supplies","OS",O214))</f>
        <v>OS</v>
      </c>
    </row>
    <row r="215" spans="1:21" x14ac:dyDescent="0.3">
      <c r="A215">
        <v>501</v>
      </c>
      <c r="B215" s="1" t="s">
        <v>1462</v>
      </c>
      <c r="C215" s="1" t="s">
        <v>1463</v>
      </c>
      <c r="D215" s="1" t="s">
        <v>289</v>
      </c>
      <c r="E215" s="1" t="s">
        <v>49</v>
      </c>
      <c r="F215" s="1" t="s">
        <v>1464</v>
      </c>
      <c r="G215" s="1" t="s">
        <v>1465</v>
      </c>
      <c r="H215" s="1" t="s">
        <v>38</v>
      </c>
      <c r="I215" s="1" t="s">
        <v>25</v>
      </c>
      <c r="J215" s="1" t="s">
        <v>1466</v>
      </c>
      <c r="K215" s="1" t="s">
        <v>431</v>
      </c>
      <c r="L215">
        <v>80134</v>
      </c>
      <c r="M215" s="1" t="s">
        <v>41</v>
      </c>
      <c r="N215" s="1" t="s">
        <v>1467</v>
      </c>
      <c r="O215" s="1" t="s">
        <v>43</v>
      </c>
      <c r="P215" s="1" t="s">
        <v>83</v>
      </c>
      <c r="Q215" s="1" t="s">
        <v>1468</v>
      </c>
      <c r="R215">
        <v>22.62</v>
      </c>
      <c r="S215" s="1"/>
      <c r="T215" s="1" t="str">
        <f>IF(O215="Furniture","Cardbaord",O215)</f>
        <v>Office Supplies</v>
      </c>
      <c r="U215" s="1" t="str">
        <f>IF(O215="furniture","cardbaord",IF(O215="office supplies","OS",O215))</f>
        <v>OS</v>
      </c>
    </row>
    <row r="216" spans="1:21" x14ac:dyDescent="0.3">
      <c r="A216">
        <v>1105</v>
      </c>
      <c r="B216" s="1" t="s">
        <v>2538</v>
      </c>
      <c r="C216" s="1" t="s">
        <v>1123</v>
      </c>
      <c r="D216" s="1" t="s">
        <v>2539</v>
      </c>
      <c r="E216" s="1" t="s">
        <v>49</v>
      </c>
      <c r="F216" s="1" t="s">
        <v>2540</v>
      </c>
      <c r="G216" s="1" t="s">
        <v>2541</v>
      </c>
      <c r="H216" s="1" t="s">
        <v>24</v>
      </c>
      <c r="I216" s="1" t="s">
        <v>25</v>
      </c>
      <c r="J216" s="1" t="s">
        <v>2287</v>
      </c>
      <c r="K216" s="1" t="s">
        <v>40</v>
      </c>
      <c r="L216">
        <v>92503</v>
      </c>
      <c r="M216" s="1" t="s">
        <v>41</v>
      </c>
      <c r="N216" s="1" t="s">
        <v>2542</v>
      </c>
      <c r="O216" s="1" t="s">
        <v>43</v>
      </c>
      <c r="P216" s="1" t="s">
        <v>73</v>
      </c>
      <c r="Q216" s="1" t="s">
        <v>2543</v>
      </c>
      <c r="R216">
        <v>22.92</v>
      </c>
      <c r="S216" s="1"/>
      <c r="T216" s="1" t="str">
        <f>IF(O216="Furniture","Cardbaord",O216)</f>
        <v>Office Supplies</v>
      </c>
      <c r="U216" s="1" t="str">
        <f>IF(O216="furniture","cardbaord",IF(O216="office supplies","OS",O216))</f>
        <v>OS</v>
      </c>
    </row>
    <row r="217" spans="1:21" x14ac:dyDescent="0.3">
      <c r="A217">
        <v>862</v>
      </c>
      <c r="B217" s="1" t="s">
        <v>2159</v>
      </c>
      <c r="C217" s="1" t="s">
        <v>58</v>
      </c>
      <c r="D217" s="1" t="s">
        <v>2160</v>
      </c>
      <c r="E217" s="1" t="s">
        <v>49</v>
      </c>
      <c r="F217" s="1" t="s">
        <v>2161</v>
      </c>
      <c r="G217" s="1" t="s">
        <v>2162</v>
      </c>
      <c r="H217" s="1" t="s">
        <v>24</v>
      </c>
      <c r="I217" s="1" t="s">
        <v>25</v>
      </c>
      <c r="J217" s="1" t="s">
        <v>121</v>
      </c>
      <c r="K217" s="1" t="s">
        <v>40</v>
      </c>
      <c r="L217">
        <v>94122</v>
      </c>
      <c r="M217" s="1" t="s">
        <v>41</v>
      </c>
      <c r="N217" s="1" t="s">
        <v>2163</v>
      </c>
      <c r="O217" s="1" t="s">
        <v>43</v>
      </c>
      <c r="P217" s="1" t="s">
        <v>123</v>
      </c>
      <c r="Q217" s="1" t="s">
        <v>2164</v>
      </c>
      <c r="R217">
        <v>23.1</v>
      </c>
      <c r="S217" s="1"/>
      <c r="T217" s="1" t="str">
        <f>IF(O217="Furniture","Cardbaord",O217)</f>
        <v>Office Supplies</v>
      </c>
      <c r="U217" s="1" t="str">
        <f>IF(O217="furniture","cardbaord",IF(O217="office supplies","OS",O217))</f>
        <v>OS</v>
      </c>
    </row>
    <row r="218" spans="1:21" x14ac:dyDescent="0.3">
      <c r="A218">
        <v>367</v>
      </c>
      <c r="B218" s="1" t="s">
        <v>1122</v>
      </c>
      <c r="C218" s="1" t="s">
        <v>1123</v>
      </c>
      <c r="D218" s="1" t="s">
        <v>1123</v>
      </c>
      <c r="E218" s="1" t="s">
        <v>1124</v>
      </c>
      <c r="F218" s="1" t="s">
        <v>1125</v>
      </c>
      <c r="G218" s="1" t="s">
        <v>1126</v>
      </c>
      <c r="H218" s="1" t="s">
        <v>38</v>
      </c>
      <c r="I218" s="1" t="s">
        <v>25</v>
      </c>
      <c r="J218" s="1" t="s">
        <v>1127</v>
      </c>
      <c r="K218" s="1" t="s">
        <v>682</v>
      </c>
      <c r="L218">
        <v>6040</v>
      </c>
      <c r="M218" s="1" t="s">
        <v>141</v>
      </c>
      <c r="N218" s="1" t="s">
        <v>1128</v>
      </c>
      <c r="O218" s="1" t="s">
        <v>43</v>
      </c>
      <c r="P218" s="1" t="s">
        <v>83</v>
      </c>
      <c r="Q218" s="1" t="s">
        <v>1129</v>
      </c>
      <c r="R218">
        <v>23.2</v>
      </c>
      <c r="S218" s="1"/>
      <c r="T218" s="1" t="str">
        <f>IF(O218="Furniture","Cardbaord",O218)</f>
        <v>Office Supplies</v>
      </c>
      <c r="U218" s="1" t="str">
        <f>IF(O218="furniture","cardbaord",IF(O218="office supplies","OS",O218))</f>
        <v>OS</v>
      </c>
    </row>
    <row r="219" spans="1:21" x14ac:dyDescent="0.3">
      <c r="A219">
        <v>390</v>
      </c>
      <c r="B219" s="1" t="s">
        <v>1202</v>
      </c>
      <c r="C219" s="1" t="s">
        <v>315</v>
      </c>
      <c r="D219" s="1" t="s">
        <v>1203</v>
      </c>
      <c r="E219" s="1" t="s">
        <v>49</v>
      </c>
      <c r="F219" s="1" t="s">
        <v>1204</v>
      </c>
      <c r="G219" s="1" t="s">
        <v>1205</v>
      </c>
      <c r="H219" s="1" t="s">
        <v>24</v>
      </c>
      <c r="I219" s="1" t="s">
        <v>25</v>
      </c>
      <c r="J219" s="1" t="s">
        <v>251</v>
      </c>
      <c r="K219" s="1" t="s">
        <v>252</v>
      </c>
      <c r="L219">
        <v>10009</v>
      </c>
      <c r="M219" s="1" t="s">
        <v>141</v>
      </c>
      <c r="N219" s="1" t="s">
        <v>1206</v>
      </c>
      <c r="O219" s="1" t="s">
        <v>43</v>
      </c>
      <c r="P219" s="1" t="s">
        <v>83</v>
      </c>
      <c r="Q219" s="1" t="s">
        <v>1207</v>
      </c>
      <c r="R219">
        <v>23.36</v>
      </c>
      <c r="S219" s="1"/>
      <c r="T219" s="1" t="str">
        <f>IF(O219="Furniture","Cardbaord",O219)</f>
        <v>Office Supplies</v>
      </c>
      <c r="U219" s="1" t="str">
        <f>IF(O219="furniture","cardbaord",IF(O219="office supplies","OS",O219))</f>
        <v>OS</v>
      </c>
    </row>
    <row r="220" spans="1:21" x14ac:dyDescent="0.3">
      <c r="A220">
        <v>213</v>
      </c>
      <c r="B220" s="1" t="s">
        <v>780</v>
      </c>
      <c r="C220" s="1" t="s">
        <v>781</v>
      </c>
      <c r="D220" s="1" t="s">
        <v>782</v>
      </c>
      <c r="E220" s="1" t="s">
        <v>49</v>
      </c>
      <c r="F220" s="1" t="s">
        <v>783</v>
      </c>
      <c r="G220" s="1" t="s">
        <v>784</v>
      </c>
      <c r="H220" s="1" t="s">
        <v>38</v>
      </c>
      <c r="I220" s="1" t="s">
        <v>25</v>
      </c>
      <c r="J220" s="1" t="s">
        <v>785</v>
      </c>
      <c r="K220" s="1" t="s">
        <v>471</v>
      </c>
      <c r="L220">
        <v>44256</v>
      </c>
      <c r="M220" s="1" t="s">
        <v>141</v>
      </c>
      <c r="N220" s="1" t="s">
        <v>786</v>
      </c>
      <c r="O220" s="1" t="s">
        <v>43</v>
      </c>
      <c r="P220" s="1" t="s">
        <v>44</v>
      </c>
      <c r="Q220" s="1" t="s">
        <v>787</v>
      </c>
      <c r="R220">
        <v>23.68</v>
      </c>
      <c r="S220" s="1"/>
      <c r="T220" s="1" t="str">
        <f>IF(O220="Furniture","Cardbaord",O220)</f>
        <v>Office Supplies</v>
      </c>
      <c r="U220" s="1" t="str">
        <f>IF(O220="furniture","cardbaord",IF(O220="office supplies","OS",O220))</f>
        <v>OS</v>
      </c>
    </row>
    <row r="221" spans="1:21" x14ac:dyDescent="0.3">
      <c r="A221">
        <v>1362</v>
      </c>
      <c r="B221" s="1" t="s">
        <v>2785</v>
      </c>
      <c r="C221" s="1" t="s">
        <v>160</v>
      </c>
      <c r="D221" s="1" t="s">
        <v>2786</v>
      </c>
      <c r="E221" s="1" t="s">
        <v>49</v>
      </c>
      <c r="F221" s="1" t="s">
        <v>2787</v>
      </c>
      <c r="G221" s="1" t="s">
        <v>2788</v>
      </c>
      <c r="H221" s="1" t="s">
        <v>38</v>
      </c>
      <c r="I221" s="1" t="s">
        <v>25</v>
      </c>
      <c r="J221" s="1" t="s">
        <v>139</v>
      </c>
      <c r="K221" s="1" t="s">
        <v>140</v>
      </c>
      <c r="L221">
        <v>19120</v>
      </c>
      <c r="M221" s="1" t="s">
        <v>141</v>
      </c>
      <c r="N221" s="1" t="s">
        <v>2789</v>
      </c>
      <c r="O221" s="1" t="s">
        <v>43</v>
      </c>
      <c r="P221" s="1" t="s">
        <v>73</v>
      </c>
      <c r="Q221" s="1" t="s">
        <v>2790</v>
      </c>
      <c r="R221">
        <v>23.68</v>
      </c>
      <c r="S221" s="1"/>
      <c r="T221" s="1" t="str">
        <f>IF(O221="Furniture","Cardbaord",O221)</f>
        <v>Office Supplies</v>
      </c>
      <c r="U221" s="1" t="str">
        <f>IF(O221="furniture","cardbaord",IF(O221="office supplies","OS",O221))</f>
        <v>OS</v>
      </c>
    </row>
    <row r="222" spans="1:21" x14ac:dyDescent="0.3">
      <c r="A222">
        <v>666</v>
      </c>
      <c r="B222" s="1" t="s">
        <v>1831</v>
      </c>
      <c r="C222" s="1" t="s">
        <v>876</v>
      </c>
      <c r="D222" s="1" t="s">
        <v>1416</v>
      </c>
      <c r="E222" s="1" t="s">
        <v>21</v>
      </c>
      <c r="F222" s="1" t="s">
        <v>1832</v>
      </c>
      <c r="G222" s="1" t="s">
        <v>1833</v>
      </c>
      <c r="H222" s="1" t="s">
        <v>38</v>
      </c>
      <c r="I222" s="1" t="s">
        <v>25</v>
      </c>
      <c r="J222" s="1" t="s">
        <v>748</v>
      </c>
      <c r="K222" s="1" t="s">
        <v>92</v>
      </c>
      <c r="L222">
        <v>75081</v>
      </c>
      <c r="M222" s="1" t="s">
        <v>93</v>
      </c>
      <c r="N222" s="1" t="s">
        <v>1834</v>
      </c>
      <c r="O222" s="1" t="s">
        <v>43</v>
      </c>
      <c r="P222" s="1" t="s">
        <v>1660</v>
      </c>
      <c r="Q222" s="1" t="s">
        <v>1835</v>
      </c>
      <c r="R222">
        <v>23.76</v>
      </c>
      <c r="S222" s="1"/>
      <c r="T222" s="1" t="str">
        <f>IF(O222="Furniture","Cardbaord",O222)</f>
        <v>Office Supplies</v>
      </c>
      <c r="U222" s="1" t="str">
        <f>IF(O222="furniture","cardbaord",IF(O222="office supplies","OS",O222))</f>
        <v>OS</v>
      </c>
    </row>
    <row r="223" spans="1:21" x14ac:dyDescent="0.3">
      <c r="A223">
        <v>103</v>
      </c>
      <c r="B223" s="1" t="s">
        <v>418</v>
      </c>
      <c r="C223" s="1" t="s">
        <v>419</v>
      </c>
      <c r="D223" s="1" t="s">
        <v>420</v>
      </c>
      <c r="E223" s="1" t="s">
        <v>21</v>
      </c>
      <c r="F223" s="1" t="s">
        <v>421</v>
      </c>
      <c r="G223" s="1" t="s">
        <v>422</v>
      </c>
      <c r="H223" s="1" t="s">
        <v>24</v>
      </c>
      <c r="I223" s="1" t="s">
        <v>25</v>
      </c>
      <c r="J223" s="1" t="s">
        <v>355</v>
      </c>
      <c r="K223" s="1" t="s">
        <v>215</v>
      </c>
      <c r="L223">
        <v>55901</v>
      </c>
      <c r="M223" s="1" t="s">
        <v>93</v>
      </c>
      <c r="N223" s="1" t="s">
        <v>423</v>
      </c>
      <c r="O223" s="1" t="s">
        <v>43</v>
      </c>
      <c r="P223" s="1" t="s">
        <v>73</v>
      </c>
      <c r="Q223" s="1" t="s">
        <v>424</v>
      </c>
      <c r="R223">
        <v>23.92</v>
      </c>
      <c r="S223" s="1"/>
      <c r="T223" s="1" t="str">
        <f>IF(O223="Furniture","Cardbaord",O223)</f>
        <v>Office Supplies</v>
      </c>
      <c r="U223" s="1" t="str">
        <f>IF(O223="furniture","cardbaord",IF(O223="office supplies","OS",O223))</f>
        <v>OS</v>
      </c>
    </row>
    <row r="224" spans="1:21" x14ac:dyDescent="0.3">
      <c r="A224">
        <v>1039</v>
      </c>
      <c r="B224" s="1" t="s">
        <v>2439</v>
      </c>
      <c r="C224" s="1" t="s">
        <v>1599</v>
      </c>
      <c r="D224" s="1" t="s">
        <v>2440</v>
      </c>
      <c r="E224" s="1" t="s">
        <v>169</v>
      </c>
      <c r="F224" s="1" t="s">
        <v>2441</v>
      </c>
      <c r="G224" s="1" t="s">
        <v>2442</v>
      </c>
      <c r="H224" s="1" t="s">
        <v>24</v>
      </c>
      <c r="I224" s="1" t="s">
        <v>25</v>
      </c>
      <c r="J224" s="1" t="s">
        <v>1865</v>
      </c>
      <c r="K224" s="1" t="s">
        <v>71</v>
      </c>
      <c r="L224">
        <v>27217</v>
      </c>
      <c r="M224" s="1" t="s">
        <v>28</v>
      </c>
      <c r="N224" s="1" t="s">
        <v>2443</v>
      </c>
      <c r="O224" s="1" t="s">
        <v>43</v>
      </c>
      <c r="P224" s="1" t="s">
        <v>123</v>
      </c>
      <c r="Q224" s="1" t="s">
        <v>2444</v>
      </c>
      <c r="R224">
        <v>23.968</v>
      </c>
      <c r="S224" s="1"/>
      <c r="T224" s="1" t="str">
        <f>IF(O224="Furniture","Cardbaord",O224)</f>
        <v>Office Supplies</v>
      </c>
      <c r="U224" s="1" t="str">
        <f>IF(O224="furniture","cardbaord",IF(O224="office supplies","OS",O224))</f>
        <v>OS</v>
      </c>
    </row>
    <row r="225" spans="1:21" x14ac:dyDescent="0.3">
      <c r="A225">
        <v>1304</v>
      </c>
      <c r="B225" s="1" t="s">
        <v>2710</v>
      </c>
      <c r="C225" s="1" t="s">
        <v>2711</v>
      </c>
      <c r="D225" s="1" t="s">
        <v>2712</v>
      </c>
      <c r="E225" s="1" t="s">
        <v>49</v>
      </c>
      <c r="F225" s="1" t="s">
        <v>2713</v>
      </c>
      <c r="G225" s="1" t="s">
        <v>2714</v>
      </c>
      <c r="H225" s="1" t="s">
        <v>24</v>
      </c>
      <c r="I225" s="1" t="s">
        <v>25</v>
      </c>
      <c r="J225" s="1" t="s">
        <v>470</v>
      </c>
      <c r="K225" s="1" t="s">
        <v>1112</v>
      </c>
      <c r="L225">
        <v>31907</v>
      </c>
      <c r="M225" s="1" t="s">
        <v>28</v>
      </c>
      <c r="N225" s="1" t="s">
        <v>2715</v>
      </c>
      <c r="O225" s="1" t="s">
        <v>30</v>
      </c>
      <c r="P225" s="1" t="s">
        <v>63</v>
      </c>
      <c r="Q225" s="1" t="s">
        <v>2716</v>
      </c>
      <c r="R225">
        <v>23.99</v>
      </c>
      <c r="S225" s="1"/>
      <c r="T225" s="1" t="str">
        <f>IF(O225="Furniture","Cardbaord",O225)</f>
        <v>Cardbaord</v>
      </c>
      <c r="U225" s="1" t="str">
        <f>IF(O225="furniture","cardbaord",IF(O225="office supplies","OS",O225))</f>
        <v>cardbaord</v>
      </c>
    </row>
    <row r="226" spans="1:21" x14ac:dyDescent="0.3">
      <c r="A226">
        <v>2237</v>
      </c>
      <c r="B226" s="1" t="s">
        <v>3366</v>
      </c>
      <c r="C226" s="1" t="s">
        <v>3367</v>
      </c>
      <c r="D226" s="1" t="s">
        <v>153</v>
      </c>
      <c r="E226" s="1" t="s">
        <v>21</v>
      </c>
      <c r="F226" s="1" t="s">
        <v>3368</v>
      </c>
      <c r="G226" s="1" t="s">
        <v>3369</v>
      </c>
      <c r="H226" s="1" t="s">
        <v>24</v>
      </c>
      <c r="I226" s="1" t="s">
        <v>25</v>
      </c>
      <c r="J226" s="1" t="s">
        <v>3370</v>
      </c>
      <c r="K226" s="1" t="s">
        <v>243</v>
      </c>
      <c r="L226">
        <v>46203</v>
      </c>
      <c r="M226" s="1" t="s">
        <v>93</v>
      </c>
      <c r="N226" s="1" t="s">
        <v>3371</v>
      </c>
      <c r="O226" s="1" t="s">
        <v>43</v>
      </c>
      <c r="P226" s="1" t="s">
        <v>123</v>
      </c>
      <c r="Q226" s="1" t="s">
        <v>3372</v>
      </c>
      <c r="R226">
        <v>24.32</v>
      </c>
      <c r="S226" s="1"/>
      <c r="T226" s="1" t="str">
        <f>IF(O226="Furniture","Cardbaord",O226)</f>
        <v>Office Supplies</v>
      </c>
      <c r="U226" s="1" t="str">
        <f>IF(O226="furniture","cardbaord",IF(O226="office supplies","OS",O226))</f>
        <v>OS</v>
      </c>
    </row>
    <row r="227" spans="1:21" x14ac:dyDescent="0.3">
      <c r="A227">
        <v>712</v>
      </c>
      <c r="B227" s="1" t="s">
        <v>1923</v>
      </c>
      <c r="C227" s="1" t="s">
        <v>1546</v>
      </c>
      <c r="D227" s="1" t="s">
        <v>1524</v>
      </c>
      <c r="E227" s="1" t="s">
        <v>49</v>
      </c>
      <c r="F227" s="1" t="s">
        <v>1924</v>
      </c>
      <c r="G227" s="1" t="s">
        <v>1925</v>
      </c>
      <c r="H227" s="1" t="s">
        <v>24</v>
      </c>
      <c r="I227" s="1" t="s">
        <v>25</v>
      </c>
      <c r="J227" s="1" t="s">
        <v>1926</v>
      </c>
      <c r="K227" s="1" t="s">
        <v>53</v>
      </c>
      <c r="L227">
        <v>32137</v>
      </c>
      <c r="M227" s="1" t="s">
        <v>28</v>
      </c>
      <c r="N227" s="1" t="s">
        <v>1927</v>
      </c>
      <c r="O227" s="1" t="s">
        <v>43</v>
      </c>
      <c r="P227" s="1" t="s">
        <v>183</v>
      </c>
      <c r="Q227" s="1" t="s">
        <v>1928</v>
      </c>
      <c r="R227">
        <v>24.448</v>
      </c>
      <c r="S227" s="1"/>
      <c r="T227" s="1" t="str">
        <f>IF(O227="Furniture","Cardbaord",O227)</f>
        <v>Office Supplies</v>
      </c>
      <c r="U227" s="1" t="str">
        <f>IF(O227="furniture","cardbaord",IF(O227="office supplies","OS",O227))</f>
        <v>OS</v>
      </c>
    </row>
    <row r="228" spans="1:21" x14ac:dyDescent="0.3">
      <c r="A228">
        <v>351</v>
      </c>
      <c r="B228" s="1" t="s">
        <v>1094</v>
      </c>
      <c r="C228" s="1" t="s">
        <v>1059</v>
      </c>
      <c r="D228" s="1" t="s">
        <v>1095</v>
      </c>
      <c r="E228" s="1" t="s">
        <v>169</v>
      </c>
      <c r="F228" s="1" t="s">
        <v>1096</v>
      </c>
      <c r="G228" s="1" t="s">
        <v>1097</v>
      </c>
      <c r="H228" s="1" t="s">
        <v>90</v>
      </c>
      <c r="I228" s="1" t="s">
        <v>25</v>
      </c>
      <c r="J228" s="1" t="s">
        <v>251</v>
      </c>
      <c r="K228" s="1" t="s">
        <v>252</v>
      </c>
      <c r="L228">
        <v>10009</v>
      </c>
      <c r="M228" s="1" t="s">
        <v>141</v>
      </c>
      <c r="N228" s="1" t="s">
        <v>1098</v>
      </c>
      <c r="O228" s="1" t="s">
        <v>43</v>
      </c>
      <c r="P228" s="1" t="s">
        <v>73</v>
      </c>
      <c r="Q228" s="1" t="s">
        <v>1099</v>
      </c>
      <c r="R228">
        <v>24.56</v>
      </c>
      <c r="S228" s="1"/>
      <c r="T228" s="1" t="str">
        <f>IF(O228="Furniture","Cardbaord",O228)</f>
        <v>Office Supplies</v>
      </c>
      <c r="U228" s="1" t="str">
        <f>IF(O228="furniture","cardbaord",IF(O228="office supplies","OS",O228))</f>
        <v>OS</v>
      </c>
    </row>
    <row r="229" spans="1:21" x14ac:dyDescent="0.3">
      <c r="A229">
        <v>181</v>
      </c>
      <c r="B229" s="1" t="s">
        <v>661</v>
      </c>
      <c r="C229" s="1" t="s">
        <v>280</v>
      </c>
      <c r="D229" s="1" t="s">
        <v>662</v>
      </c>
      <c r="E229" s="1" t="s">
        <v>21</v>
      </c>
      <c r="F229" s="1" t="s">
        <v>663</v>
      </c>
      <c r="G229" s="1" t="s">
        <v>664</v>
      </c>
      <c r="H229" s="1" t="s">
        <v>38</v>
      </c>
      <c r="I229" s="1" t="s">
        <v>25</v>
      </c>
      <c r="J229" s="1" t="s">
        <v>324</v>
      </c>
      <c r="K229" s="1" t="s">
        <v>191</v>
      </c>
      <c r="L229">
        <v>62521</v>
      </c>
      <c r="M229" s="1" t="s">
        <v>93</v>
      </c>
      <c r="N229" s="1" t="s">
        <v>665</v>
      </c>
      <c r="O229" s="1" t="s">
        <v>43</v>
      </c>
      <c r="P229" s="1" t="s">
        <v>105</v>
      </c>
      <c r="Q229" s="1" t="s">
        <v>666</v>
      </c>
      <c r="R229">
        <v>24.815999999999999</v>
      </c>
      <c r="S229" s="1"/>
      <c r="T229" s="1" t="str">
        <f>IF(O229="Furniture","Cardbaord",O229)</f>
        <v>Office Supplies</v>
      </c>
      <c r="U229" s="1" t="str">
        <f>IF(O229="furniture","cardbaord",IF(O229="office supplies","OS",O229))</f>
        <v>OS</v>
      </c>
    </row>
    <row r="230" spans="1:21" x14ac:dyDescent="0.3">
      <c r="A230">
        <v>4480</v>
      </c>
      <c r="B230" s="1" t="s">
        <v>4060</v>
      </c>
      <c r="C230" s="1" t="s">
        <v>4061</v>
      </c>
      <c r="D230" s="1" t="s">
        <v>4062</v>
      </c>
      <c r="E230" s="1" t="s">
        <v>49</v>
      </c>
      <c r="F230" s="1" t="s">
        <v>4063</v>
      </c>
      <c r="G230" s="1" t="s">
        <v>4064</v>
      </c>
      <c r="H230" s="1" t="s">
        <v>24</v>
      </c>
      <c r="I230" s="1" t="s">
        <v>25</v>
      </c>
      <c r="J230" s="1" t="s">
        <v>251</v>
      </c>
      <c r="K230" s="1" t="s">
        <v>252</v>
      </c>
      <c r="L230">
        <v>10024</v>
      </c>
      <c r="M230" s="1" t="s">
        <v>141</v>
      </c>
      <c r="N230" s="1" t="s">
        <v>4065</v>
      </c>
      <c r="O230" s="1" t="s">
        <v>43</v>
      </c>
      <c r="P230" s="1" t="s">
        <v>73</v>
      </c>
      <c r="Q230" s="1" t="s">
        <v>4066</v>
      </c>
      <c r="R230">
        <v>24.9</v>
      </c>
      <c r="S230" s="1"/>
      <c r="T230" s="1" t="str">
        <f>IF(O230="Furniture","Cardbaord",O230)</f>
        <v>Office Supplies</v>
      </c>
      <c r="U230" s="1" t="str">
        <f>IF(O230="furniture","cardbaord",IF(O230="office supplies","OS",O230))</f>
        <v>OS</v>
      </c>
    </row>
    <row r="231" spans="1:21" x14ac:dyDescent="0.3">
      <c r="A231">
        <v>1865</v>
      </c>
      <c r="B231" s="1" t="s">
        <v>3178</v>
      </c>
      <c r="C231" s="1" t="s">
        <v>531</v>
      </c>
      <c r="D231" s="1" t="s">
        <v>3179</v>
      </c>
      <c r="E231" s="1" t="s">
        <v>49</v>
      </c>
      <c r="F231" s="1" t="s">
        <v>3180</v>
      </c>
      <c r="G231" s="1" t="s">
        <v>3181</v>
      </c>
      <c r="H231" s="1" t="s">
        <v>38</v>
      </c>
      <c r="I231" s="1" t="s">
        <v>25</v>
      </c>
      <c r="J231" s="1" t="s">
        <v>430</v>
      </c>
      <c r="K231" s="1" t="s">
        <v>431</v>
      </c>
      <c r="L231">
        <v>80013</v>
      </c>
      <c r="M231" s="1" t="s">
        <v>41</v>
      </c>
      <c r="N231" s="1" t="s">
        <v>3182</v>
      </c>
      <c r="O231" s="1" t="s">
        <v>30</v>
      </c>
      <c r="P231" s="1" t="s">
        <v>63</v>
      </c>
      <c r="Q231" s="1" t="s">
        <v>3183</v>
      </c>
      <c r="R231">
        <v>24.96</v>
      </c>
      <c r="S231" s="1"/>
      <c r="T231" s="1" t="str">
        <f>IF(O231="Furniture","Cardbaord",O231)</f>
        <v>Cardbaord</v>
      </c>
      <c r="U231" s="1" t="str">
        <f>IF(O231="furniture","cardbaord",IF(O231="office supplies","OS",O231))</f>
        <v>cardbaord</v>
      </c>
    </row>
    <row r="232" spans="1:21" x14ac:dyDescent="0.3">
      <c r="A232">
        <v>2986</v>
      </c>
      <c r="B232" s="1" t="s">
        <v>3673</v>
      </c>
      <c r="C232" s="1" t="s">
        <v>3674</v>
      </c>
      <c r="D232" s="1" t="s">
        <v>1463</v>
      </c>
      <c r="E232" s="1" t="s">
        <v>49</v>
      </c>
      <c r="F232" s="1" t="s">
        <v>3675</v>
      </c>
      <c r="G232" s="1" t="s">
        <v>3676</v>
      </c>
      <c r="H232" s="1" t="s">
        <v>90</v>
      </c>
      <c r="I232" s="1" t="s">
        <v>25</v>
      </c>
      <c r="J232" s="1" t="s">
        <v>470</v>
      </c>
      <c r="K232" s="1" t="s">
        <v>1112</v>
      </c>
      <c r="L232">
        <v>31907</v>
      </c>
      <c r="M232" s="1" t="s">
        <v>28</v>
      </c>
      <c r="N232" s="1" t="s">
        <v>3677</v>
      </c>
      <c r="O232" s="1" t="s">
        <v>30</v>
      </c>
      <c r="P232" s="1" t="s">
        <v>63</v>
      </c>
      <c r="Q232" s="1" t="s">
        <v>3678</v>
      </c>
      <c r="R232">
        <v>24.96</v>
      </c>
      <c r="S232" s="1"/>
      <c r="T232" s="1" t="str">
        <f>IF(O232="Furniture","Cardbaord",O232)</f>
        <v>Cardbaord</v>
      </c>
      <c r="U232" s="1" t="str">
        <f>IF(O232="furniture","cardbaord",IF(O232="office supplies","OS",O232))</f>
        <v>cardbaord</v>
      </c>
    </row>
    <row r="233" spans="1:21" x14ac:dyDescent="0.3">
      <c r="A233">
        <v>953</v>
      </c>
      <c r="B233" s="1" t="s">
        <v>2296</v>
      </c>
      <c r="C233" s="1" t="s">
        <v>2297</v>
      </c>
      <c r="D233" s="1" t="s">
        <v>2298</v>
      </c>
      <c r="E233" s="1" t="s">
        <v>49</v>
      </c>
      <c r="F233" s="1" t="s">
        <v>2299</v>
      </c>
      <c r="G233" s="1" t="s">
        <v>2300</v>
      </c>
      <c r="H233" s="1" t="s">
        <v>24</v>
      </c>
      <c r="I233" s="1" t="s">
        <v>25</v>
      </c>
      <c r="J233" s="1" t="s">
        <v>139</v>
      </c>
      <c r="K233" s="1" t="s">
        <v>140</v>
      </c>
      <c r="L233">
        <v>19143</v>
      </c>
      <c r="M233" s="1" t="s">
        <v>141</v>
      </c>
      <c r="N233" s="1" t="s">
        <v>2301</v>
      </c>
      <c r="O233" s="1" t="s">
        <v>30</v>
      </c>
      <c r="P233" s="1" t="s">
        <v>63</v>
      </c>
      <c r="Q233" s="1" t="s">
        <v>2302</v>
      </c>
      <c r="R233">
        <v>25.472000000000001</v>
      </c>
      <c r="S233" s="1"/>
      <c r="T233" s="1" t="str">
        <f>IF(O233="Furniture","Cardbaord",O233)</f>
        <v>Cardbaord</v>
      </c>
      <c r="U233" s="1" t="str">
        <f>IF(O233="furniture","cardbaord",IF(O233="office supplies","OS",O233))</f>
        <v>cardbaord</v>
      </c>
    </row>
    <row r="234" spans="1:21" x14ac:dyDescent="0.3">
      <c r="A234">
        <v>2526</v>
      </c>
      <c r="B234" s="1" t="s">
        <v>3552</v>
      </c>
      <c r="C234" s="1" t="s">
        <v>3553</v>
      </c>
      <c r="D234" s="1" t="s">
        <v>483</v>
      </c>
      <c r="E234" s="1" t="s">
        <v>49</v>
      </c>
      <c r="F234" s="1" t="s">
        <v>3554</v>
      </c>
      <c r="G234" s="1" t="s">
        <v>3555</v>
      </c>
      <c r="H234" s="1" t="s">
        <v>24</v>
      </c>
      <c r="I234" s="1" t="s">
        <v>25</v>
      </c>
      <c r="J234" s="1" t="s">
        <v>164</v>
      </c>
      <c r="K234" s="1" t="s">
        <v>92</v>
      </c>
      <c r="L234">
        <v>77041</v>
      </c>
      <c r="M234" s="1" t="s">
        <v>93</v>
      </c>
      <c r="N234" s="1" t="s">
        <v>3556</v>
      </c>
      <c r="O234" s="1" t="s">
        <v>174</v>
      </c>
      <c r="P234" s="1" t="s">
        <v>217</v>
      </c>
      <c r="Q234" s="1" t="s">
        <v>3557</v>
      </c>
      <c r="R234">
        <v>25.488</v>
      </c>
      <c r="S234" s="1"/>
      <c r="T234" s="1" t="str">
        <f>IF(O234="Furniture","Cardbaord",O234)</f>
        <v>Technology</v>
      </c>
      <c r="U234" s="1" t="str">
        <f>IF(O234="furniture","cardbaord",IF(O234="office supplies","OS",O234))</f>
        <v>Technology</v>
      </c>
    </row>
    <row r="235" spans="1:21" x14ac:dyDescent="0.3">
      <c r="A235">
        <v>3105</v>
      </c>
      <c r="B235" s="1" t="s">
        <v>3722</v>
      </c>
      <c r="C235" s="1" t="s">
        <v>1849</v>
      </c>
      <c r="D235" s="1" t="s">
        <v>3723</v>
      </c>
      <c r="E235" s="1" t="s">
        <v>49</v>
      </c>
      <c r="F235" s="1" t="s">
        <v>3724</v>
      </c>
      <c r="G235" s="1" t="s">
        <v>3725</v>
      </c>
      <c r="H235" s="1" t="s">
        <v>24</v>
      </c>
      <c r="I235" s="1" t="s">
        <v>25</v>
      </c>
      <c r="J235" s="1" t="s">
        <v>251</v>
      </c>
      <c r="K235" s="1" t="s">
        <v>252</v>
      </c>
      <c r="L235">
        <v>10024</v>
      </c>
      <c r="M235" s="1" t="s">
        <v>141</v>
      </c>
      <c r="N235" s="1" t="s">
        <v>3726</v>
      </c>
      <c r="O235" s="1" t="s">
        <v>43</v>
      </c>
      <c r="P235" s="1" t="s">
        <v>73</v>
      </c>
      <c r="Q235" s="1" t="s">
        <v>3727</v>
      </c>
      <c r="R235">
        <v>25.68</v>
      </c>
      <c r="S235" s="1"/>
      <c r="T235" s="1" t="str">
        <f>IF(O235="Furniture","Cardbaord",O235)</f>
        <v>Office Supplies</v>
      </c>
      <c r="U235" s="1" t="str">
        <f>IF(O235="furniture","cardbaord",IF(O235="office supplies","OS",O235))</f>
        <v>OS</v>
      </c>
    </row>
    <row r="236" spans="1:21" x14ac:dyDescent="0.3">
      <c r="A236">
        <v>238</v>
      </c>
      <c r="B236" s="1" t="s">
        <v>831</v>
      </c>
      <c r="C236" s="1" t="s">
        <v>289</v>
      </c>
      <c r="D236" s="1" t="s">
        <v>832</v>
      </c>
      <c r="E236" s="1" t="s">
        <v>21</v>
      </c>
      <c r="F236" s="1" t="s">
        <v>833</v>
      </c>
      <c r="G236" s="1" t="s">
        <v>834</v>
      </c>
      <c r="H236" s="1" t="s">
        <v>24</v>
      </c>
      <c r="I236" s="1" t="s">
        <v>25</v>
      </c>
      <c r="J236" s="1" t="s">
        <v>276</v>
      </c>
      <c r="K236" s="1" t="s">
        <v>191</v>
      </c>
      <c r="L236">
        <v>60610</v>
      </c>
      <c r="M236" s="1" t="s">
        <v>93</v>
      </c>
      <c r="N236" s="1" t="s">
        <v>835</v>
      </c>
      <c r="O236" s="1" t="s">
        <v>43</v>
      </c>
      <c r="P236" s="1" t="s">
        <v>73</v>
      </c>
      <c r="Q236" s="1" t="s">
        <v>836</v>
      </c>
      <c r="R236">
        <v>25.92</v>
      </c>
      <c r="S236" s="1"/>
      <c r="T236" s="1" t="str">
        <f>IF(O236="Furniture","Cardbaord",O236)</f>
        <v>Office Supplies</v>
      </c>
      <c r="U236" s="1" t="str">
        <f>IF(O236="furniture","cardbaord",IF(O236="office supplies","OS",O236))</f>
        <v>OS</v>
      </c>
    </row>
    <row r="237" spans="1:21" x14ac:dyDescent="0.3">
      <c r="A237">
        <v>371</v>
      </c>
      <c r="B237" s="1" t="s">
        <v>1130</v>
      </c>
      <c r="C237" s="1" t="s">
        <v>1131</v>
      </c>
      <c r="D237" s="1" t="s">
        <v>1132</v>
      </c>
      <c r="E237" s="1" t="s">
        <v>49</v>
      </c>
      <c r="F237" s="1" t="s">
        <v>1133</v>
      </c>
      <c r="G237" s="1" t="s">
        <v>1134</v>
      </c>
      <c r="H237" s="1" t="s">
        <v>24</v>
      </c>
      <c r="I237" s="1" t="s">
        <v>25</v>
      </c>
      <c r="J237" s="1" t="s">
        <v>1135</v>
      </c>
      <c r="K237" s="1" t="s">
        <v>92</v>
      </c>
      <c r="L237">
        <v>78550</v>
      </c>
      <c r="M237" s="1" t="s">
        <v>93</v>
      </c>
      <c r="N237" s="1" t="s">
        <v>1136</v>
      </c>
      <c r="O237" s="1" t="s">
        <v>43</v>
      </c>
      <c r="P237" s="1" t="s">
        <v>73</v>
      </c>
      <c r="Q237" s="1" t="s">
        <v>1137</v>
      </c>
      <c r="R237">
        <v>25.92</v>
      </c>
      <c r="S237" s="1"/>
      <c r="T237" s="1" t="str">
        <f>IF(O237="Furniture","Cardbaord",O237)</f>
        <v>Office Supplies</v>
      </c>
      <c r="U237" s="1" t="str">
        <f>IF(O237="furniture","cardbaord",IF(O237="office supplies","OS",O237))</f>
        <v>OS</v>
      </c>
    </row>
    <row r="238" spans="1:21" x14ac:dyDescent="0.3">
      <c r="A238">
        <v>3924</v>
      </c>
      <c r="B238" s="1" t="s">
        <v>3903</v>
      </c>
      <c r="C238" s="1" t="s">
        <v>3904</v>
      </c>
      <c r="D238" s="1" t="s">
        <v>1156</v>
      </c>
      <c r="E238" s="1" t="s">
        <v>49</v>
      </c>
      <c r="F238" s="1" t="s">
        <v>3905</v>
      </c>
      <c r="G238" s="1" t="s">
        <v>3906</v>
      </c>
      <c r="H238" s="1" t="s">
        <v>24</v>
      </c>
      <c r="I238" s="1" t="s">
        <v>25</v>
      </c>
      <c r="J238" s="1" t="s">
        <v>276</v>
      </c>
      <c r="K238" s="1" t="s">
        <v>191</v>
      </c>
      <c r="L238">
        <v>60623</v>
      </c>
      <c r="M238" s="1" t="s">
        <v>93</v>
      </c>
      <c r="N238" s="1" t="s">
        <v>3907</v>
      </c>
      <c r="O238" s="1" t="s">
        <v>43</v>
      </c>
      <c r="P238" s="1" t="s">
        <v>73</v>
      </c>
      <c r="Q238" s="1" t="s">
        <v>3908</v>
      </c>
      <c r="R238">
        <v>26.72</v>
      </c>
      <c r="S238" s="1"/>
      <c r="T238" s="1" t="str">
        <f>IF(O238="Furniture","Cardbaord",O238)</f>
        <v>Office Supplies</v>
      </c>
      <c r="U238" s="1" t="str">
        <f>IF(O238="furniture","cardbaord",IF(O238="office supplies","OS",O238))</f>
        <v>OS</v>
      </c>
    </row>
    <row r="239" spans="1:21" x14ac:dyDescent="0.3">
      <c r="A239">
        <v>305</v>
      </c>
      <c r="B239" s="1" t="s">
        <v>979</v>
      </c>
      <c r="C239" s="1" t="s">
        <v>980</v>
      </c>
      <c r="D239" s="1" t="s">
        <v>981</v>
      </c>
      <c r="E239" s="1" t="s">
        <v>21</v>
      </c>
      <c r="F239" s="1" t="s">
        <v>982</v>
      </c>
      <c r="G239" s="1" t="s">
        <v>983</v>
      </c>
      <c r="H239" s="1" t="s">
        <v>38</v>
      </c>
      <c r="I239" s="1" t="s">
        <v>25</v>
      </c>
      <c r="J239" s="1" t="s">
        <v>251</v>
      </c>
      <c r="K239" s="1" t="s">
        <v>252</v>
      </c>
      <c r="L239">
        <v>10024</v>
      </c>
      <c r="M239" s="1" t="s">
        <v>141</v>
      </c>
      <c r="N239" s="1" t="s">
        <v>984</v>
      </c>
      <c r="O239" s="1" t="s">
        <v>30</v>
      </c>
      <c r="P239" s="1" t="s">
        <v>63</v>
      </c>
      <c r="Q239" s="1" t="s">
        <v>985</v>
      </c>
      <c r="R239">
        <v>26.8</v>
      </c>
      <c r="S239" s="1"/>
      <c r="T239" s="1" t="str">
        <f>IF(O239="Furniture","Cardbaord",O239)</f>
        <v>Cardbaord</v>
      </c>
      <c r="U239" s="1" t="str">
        <f>IF(O239="furniture","cardbaord",IF(O239="office supplies","OS",O239))</f>
        <v>cardbaord</v>
      </c>
    </row>
    <row r="240" spans="1:21" x14ac:dyDescent="0.3">
      <c r="A240">
        <v>2445</v>
      </c>
      <c r="B240" s="1" t="s">
        <v>3510</v>
      </c>
      <c r="C240" s="1" t="s">
        <v>3511</v>
      </c>
      <c r="D240" s="1" t="s">
        <v>3512</v>
      </c>
      <c r="E240" s="1" t="s">
        <v>49</v>
      </c>
      <c r="F240" s="1" t="s">
        <v>3513</v>
      </c>
      <c r="G240" s="1" t="s">
        <v>3514</v>
      </c>
      <c r="H240" s="1" t="s">
        <v>24</v>
      </c>
      <c r="I240" s="1" t="s">
        <v>25</v>
      </c>
      <c r="J240" s="1" t="s">
        <v>3515</v>
      </c>
      <c r="K240" s="1" t="s">
        <v>718</v>
      </c>
      <c r="L240">
        <v>7055</v>
      </c>
      <c r="M240" s="1" t="s">
        <v>141</v>
      </c>
      <c r="N240" s="1" t="s">
        <v>3516</v>
      </c>
      <c r="O240" s="1" t="s">
        <v>43</v>
      </c>
      <c r="P240" s="1" t="s">
        <v>183</v>
      </c>
      <c r="Q240" s="1" t="s">
        <v>3517</v>
      </c>
      <c r="R240">
        <v>26.88</v>
      </c>
      <c r="S240" s="1"/>
      <c r="T240" s="1" t="str">
        <f>IF(O240="Furniture","Cardbaord",O240)</f>
        <v>Office Supplies</v>
      </c>
      <c r="U240" s="1" t="str">
        <f>IF(O240="furniture","cardbaord",IF(O240="office supplies","OS",O240))</f>
        <v>OS</v>
      </c>
    </row>
    <row r="241" spans="1:21" x14ac:dyDescent="0.3">
      <c r="A241">
        <v>8367</v>
      </c>
      <c r="B241" s="1" t="s">
        <v>4281</v>
      </c>
      <c r="C241" s="1" t="s">
        <v>3599</v>
      </c>
      <c r="D241" s="1" t="s">
        <v>627</v>
      </c>
      <c r="E241" s="1" t="s">
        <v>21</v>
      </c>
      <c r="F241" s="1" t="s">
        <v>4282</v>
      </c>
      <c r="G241" s="1" t="s">
        <v>4283</v>
      </c>
      <c r="H241" s="1" t="s">
        <v>38</v>
      </c>
      <c r="I241" s="1" t="s">
        <v>25</v>
      </c>
      <c r="J241" s="1" t="s">
        <v>828</v>
      </c>
      <c r="K241" s="1" t="s">
        <v>40</v>
      </c>
      <c r="L241">
        <v>95051</v>
      </c>
      <c r="M241" s="1" t="s">
        <v>41</v>
      </c>
      <c r="N241" s="1" t="s">
        <v>4284</v>
      </c>
      <c r="O241" s="1" t="s">
        <v>43</v>
      </c>
      <c r="P241" s="1" t="s">
        <v>1660</v>
      </c>
      <c r="Q241" s="1" t="s">
        <v>4285</v>
      </c>
      <c r="R241">
        <v>27.36</v>
      </c>
      <c r="S241" s="1"/>
      <c r="T241" s="1" t="str">
        <f>IF(O241="Furniture","Cardbaord",O241)</f>
        <v>Office Supplies</v>
      </c>
      <c r="U241" s="1" t="str">
        <f>IF(O241="furniture","cardbaord",IF(O241="office supplies","OS",O241))</f>
        <v>OS</v>
      </c>
    </row>
    <row r="242" spans="1:21" x14ac:dyDescent="0.3">
      <c r="A242">
        <v>4437</v>
      </c>
      <c r="B242" s="1" t="s">
        <v>4041</v>
      </c>
      <c r="C242" s="1" t="s">
        <v>4042</v>
      </c>
      <c r="D242" s="1" t="s">
        <v>3410</v>
      </c>
      <c r="E242" s="1" t="s">
        <v>49</v>
      </c>
      <c r="F242" s="1" t="s">
        <v>4043</v>
      </c>
      <c r="G242" s="1" t="s">
        <v>4044</v>
      </c>
      <c r="H242" s="1" t="s">
        <v>24</v>
      </c>
      <c r="I242" s="1" t="s">
        <v>25</v>
      </c>
      <c r="J242" s="1" t="s">
        <v>276</v>
      </c>
      <c r="K242" s="1" t="s">
        <v>191</v>
      </c>
      <c r="L242">
        <v>60653</v>
      </c>
      <c r="M242" s="1" t="s">
        <v>93</v>
      </c>
      <c r="N242" s="1" t="s">
        <v>4045</v>
      </c>
      <c r="O242" s="1" t="s">
        <v>43</v>
      </c>
      <c r="P242" s="1" t="s">
        <v>123</v>
      </c>
      <c r="Q242" s="1" t="s">
        <v>4046</v>
      </c>
      <c r="R242">
        <v>27.384</v>
      </c>
      <c r="S242" s="1"/>
      <c r="T242" s="1" t="str">
        <f>IF(O242="Furniture","Cardbaord",O242)</f>
        <v>Office Supplies</v>
      </c>
      <c r="U242" s="1" t="str">
        <f>IF(O242="furniture","cardbaord",IF(O242="office supplies","OS",O242))</f>
        <v>OS</v>
      </c>
    </row>
    <row r="243" spans="1:21" x14ac:dyDescent="0.3">
      <c r="A243">
        <v>4661</v>
      </c>
      <c r="B243" s="1" t="s">
        <v>4085</v>
      </c>
      <c r="C243" s="1" t="s">
        <v>4086</v>
      </c>
      <c r="D243" s="1" t="s">
        <v>4087</v>
      </c>
      <c r="E243" s="1" t="s">
        <v>49</v>
      </c>
      <c r="F243" s="1" t="s">
        <v>4088</v>
      </c>
      <c r="G243" s="1" t="s">
        <v>4089</v>
      </c>
      <c r="H243" s="1" t="s">
        <v>24</v>
      </c>
      <c r="I243" s="1" t="s">
        <v>25</v>
      </c>
      <c r="J243" s="1" t="s">
        <v>139</v>
      </c>
      <c r="K243" s="1" t="s">
        <v>140</v>
      </c>
      <c r="L243">
        <v>19140</v>
      </c>
      <c r="M243" s="1" t="s">
        <v>141</v>
      </c>
      <c r="N243" s="1" t="s">
        <v>4090</v>
      </c>
      <c r="O243" s="1" t="s">
        <v>174</v>
      </c>
      <c r="P243" s="1" t="s">
        <v>217</v>
      </c>
      <c r="Q243" s="1" t="s">
        <v>4091</v>
      </c>
      <c r="R243">
        <v>27.552</v>
      </c>
      <c r="S243" s="1"/>
      <c r="T243" s="1" t="str">
        <f>IF(O243="Furniture","Cardbaord",O243)</f>
        <v>Technology</v>
      </c>
      <c r="U243" s="1" t="str">
        <f>IF(O243="furniture","cardbaord",IF(O243="office supplies","OS",O243))</f>
        <v>Technology</v>
      </c>
    </row>
    <row r="244" spans="1:21" x14ac:dyDescent="0.3">
      <c r="A244">
        <v>164</v>
      </c>
      <c r="B244" s="1" t="s">
        <v>619</v>
      </c>
      <c r="C244" s="1" t="s">
        <v>620</v>
      </c>
      <c r="D244" s="1" t="s">
        <v>20</v>
      </c>
      <c r="E244" s="1" t="s">
        <v>49</v>
      </c>
      <c r="F244" s="1" t="s">
        <v>621</v>
      </c>
      <c r="G244" s="1" t="s">
        <v>622</v>
      </c>
      <c r="H244" s="1" t="s">
        <v>24</v>
      </c>
      <c r="I244" s="1" t="s">
        <v>25</v>
      </c>
      <c r="J244" s="1" t="s">
        <v>80</v>
      </c>
      <c r="K244" s="1" t="s">
        <v>81</v>
      </c>
      <c r="L244">
        <v>98115</v>
      </c>
      <c r="M244" s="1" t="s">
        <v>41</v>
      </c>
      <c r="N244" s="1" t="s">
        <v>623</v>
      </c>
      <c r="O244" s="1" t="s">
        <v>43</v>
      </c>
      <c r="P244" s="1" t="s">
        <v>83</v>
      </c>
      <c r="Q244" s="1" t="s">
        <v>624</v>
      </c>
      <c r="R244">
        <v>27.68</v>
      </c>
      <c r="S244" s="1"/>
      <c r="T244" s="1" t="str">
        <f>IF(O244="Furniture","Cardbaord",O244)</f>
        <v>Office Supplies</v>
      </c>
      <c r="U244" s="1" t="str">
        <f>IF(O244="furniture","cardbaord",IF(O244="office supplies","OS",O244))</f>
        <v>OS</v>
      </c>
    </row>
    <row r="245" spans="1:21" x14ac:dyDescent="0.3">
      <c r="A245">
        <v>986</v>
      </c>
      <c r="B245" s="1" t="s">
        <v>2342</v>
      </c>
      <c r="C245" s="1" t="s">
        <v>2343</v>
      </c>
      <c r="D245" s="1" t="s">
        <v>2344</v>
      </c>
      <c r="E245" s="1" t="s">
        <v>49</v>
      </c>
      <c r="F245" s="1" t="s">
        <v>2345</v>
      </c>
      <c r="G245" s="1" t="s">
        <v>2346</v>
      </c>
      <c r="H245" s="1" t="s">
        <v>90</v>
      </c>
      <c r="I245" s="1" t="s">
        <v>25</v>
      </c>
      <c r="J245" s="1" t="s">
        <v>880</v>
      </c>
      <c r="K245" s="1" t="s">
        <v>92</v>
      </c>
      <c r="L245">
        <v>77506</v>
      </c>
      <c r="M245" s="1" t="s">
        <v>93</v>
      </c>
      <c r="N245" s="1" t="s">
        <v>2347</v>
      </c>
      <c r="O245" s="1" t="s">
        <v>43</v>
      </c>
      <c r="P245" s="1" t="s">
        <v>183</v>
      </c>
      <c r="Q245" s="1" t="s">
        <v>2348</v>
      </c>
      <c r="R245">
        <v>27.968</v>
      </c>
      <c r="S245" s="1"/>
      <c r="T245" s="1" t="str">
        <f>IF(O245="Furniture","Cardbaord",O245)</f>
        <v>Office Supplies</v>
      </c>
      <c r="U245" s="1" t="str">
        <f>IF(O245="furniture","cardbaord",IF(O245="office supplies","OS",O245))</f>
        <v>OS</v>
      </c>
    </row>
    <row r="246" spans="1:21" x14ac:dyDescent="0.3">
      <c r="A246">
        <v>163</v>
      </c>
      <c r="B246" s="1" t="s">
        <v>611</v>
      </c>
      <c r="C246" s="1" t="s">
        <v>612</v>
      </c>
      <c r="D246" s="1" t="s">
        <v>590</v>
      </c>
      <c r="E246" s="1" t="s">
        <v>49</v>
      </c>
      <c r="F246" s="1" t="s">
        <v>613</v>
      </c>
      <c r="G246" s="1" t="s">
        <v>614</v>
      </c>
      <c r="H246" s="1" t="s">
        <v>24</v>
      </c>
      <c r="I246" s="1" t="s">
        <v>25</v>
      </c>
      <c r="J246" s="1" t="s">
        <v>615</v>
      </c>
      <c r="K246" s="1" t="s">
        <v>616</v>
      </c>
      <c r="L246">
        <v>88220</v>
      </c>
      <c r="M246" s="1" t="s">
        <v>41</v>
      </c>
      <c r="N246" s="1" t="s">
        <v>617</v>
      </c>
      <c r="O246" s="1" t="s">
        <v>43</v>
      </c>
      <c r="P246" s="1" t="s">
        <v>183</v>
      </c>
      <c r="Q246" s="1" t="s">
        <v>618</v>
      </c>
      <c r="R246">
        <v>28.4</v>
      </c>
      <c r="S246" s="1"/>
      <c r="T246" s="1" t="str">
        <f>IF(O246="Furniture","Cardbaord",O246)</f>
        <v>Office Supplies</v>
      </c>
      <c r="U246" s="1" t="str">
        <f>IF(O246="furniture","cardbaord",IF(O246="office supplies","OS",O246))</f>
        <v>OS</v>
      </c>
    </row>
    <row r="247" spans="1:21" x14ac:dyDescent="0.3">
      <c r="A247">
        <v>3937</v>
      </c>
      <c r="B247" s="1" t="s">
        <v>3915</v>
      </c>
      <c r="C247" s="1" t="s">
        <v>3916</v>
      </c>
      <c r="D247" s="1" t="s">
        <v>3893</v>
      </c>
      <c r="E247" s="1" t="s">
        <v>49</v>
      </c>
      <c r="F247" s="1" t="s">
        <v>3917</v>
      </c>
      <c r="G247" s="1" t="s">
        <v>3918</v>
      </c>
      <c r="H247" s="1" t="s">
        <v>24</v>
      </c>
      <c r="I247" s="1" t="s">
        <v>25</v>
      </c>
      <c r="J247" s="1" t="s">
        <v>696</v>
      </c>
      <c r="K247" s="1" t="s">
        <v>92</v>
      </c>
      <c r="L247">
        <v>75051</v>
      </c>
      <c r="M247" s="1" t="s">
        <v>93</v>
      </c>
      <c r="N247" s="1" t="s">
        <v>3919</v>
      </c>
      <c r="O247" s="1" t="s">
        <v>43</v>
      </c>
      <c r="P247" s="1" t="s">
        <v>183</v>
      </c>
      <c r="Q247" s="1" t="s">
        <v>618</v>
      </c>
      <c r="R247">
        <v>28.751999999999999</v>
      </c>
      <c r="S247" s="1"/>
      <c r="T247" s="1" t="str">
        <f>IF(O247="Furniture","Cardbaord",O247)</f>
        <v>Office Supplies</v>
      </c>
      <c r="U247" s="1" t="str">
        <f>IF(O247="furniture","cardbaord",IF(O247="office supplies","OS",O247))</f>
        <v>OS</v>
      </c>
    </row>
    <row r="248" spans="1:21" x14ac:dyDescent="0.3">
      <c r="A248">
        <v>1094</v>
      </c>
      <c r="B248" s="1" t="s">
        <v>2520</v>
      </c>
      <c r="C248" s="1" t="s">
        <v>178</v>
      </c>
      <c r="D248" s="1" t="s">
        <v>179</v>
      </c>
      <c r="E248" s="1" t="s">
        <v>49</v>
      </c>
      <c r="F248" s="1" t="s">
        <v>2521</v>
      </c>
      <c r="G248" s="1" t="s">
        <v>2522</v>
      </c>
      <c r="H248" s="1" t="s">
        <v>90</v>
      </c>
      <c r="I248" s="1" t="s">
        <v>25</v>
      </c>
      <c r="J248" s="1" t="s">
        <v>2523</v>
      </c>
      <c r="K248" s="1" t="s">
        <v>2524</v>
      </c>
      <c r="L248">
        <v>20735</v>
      </c>
      <c r="M248" s="1" t="s">
        <v>141</v>
      </c>
      <c r="N248" s="1" t="s">
        <v>2525</v>
      </c>
      <c r="O248" s="1" t="s">
        <v>43</v>
      </c>
      <c r="P248" s="1" t="s">
        <v>73</v>
      </c>
      <c r="Q248" s="1" t="s">
        <v>2526</v>
      </c>
      <c r="R248">
        <v>28.9</v>
      </c>
      <c r="S248" s="1"/>
      <c r="T248" s="1" t="str">
        <f>IF(O248="Furniture","Cardbaord",O248)</f>
        <v>Office Supplies</v>
      </c>
      <c r="U248" s="1" t="str">
        <f>IF(O248="furniture","cardbaord",IF(O248="office supplies","OS",O248))</f>
        <v>OS</v>
      </c>
    </row>
    <row r="249" spans="1:21" x14ac:dyDescent="0.3">
      <c r="A249">
        <v>3546</v>
      </c>
      <c r="B249" s="1" t="s">
        <v>3829</v>
      </c>
      <c r="C249" s="1" t="s">
        <v>3213</v>
      </c>
      <c r="D249" s="1" t="s">
        <v>451</v>
      </c>
      <c r="E249" s="1" t="s">
        <v>21</v>
      </c>
      <c r="F249" s="1" t="s">
        <v>3830</v>
      </c>
      <c r="G249" s="1" t="s">
        <v>3831</v>
      </c>
      <c r="H249" s="1" t="s">
        <v>24</v>
      </c>
      <c r="I249" s="1" t="s">
        <v>25</v>
      </c>
      <c r="J249" s="1" t="s">
        <v>3832</v>
      </c>
      <c r="K249" s="1" t="s">
        <v>92</v>
      </c>
      <c r="L249">
        <v>77840</v>
      </c>
      <c r="M249" s="1" t="s">
        <v>93</v>
      </c>
      <c r="N249" s="1" t="s">
        <v>3833</v>
      </c>
      <c r="O249" s="1" t="s">
        <v>43</v>
      </c>
      <c r="P249" s="1" t="s">
        <v>95</v>
      </c>
      <c r="Q249" s="1" t="s">
        <v>3834</v>
      </c>
      <c r="R249">
        <v>29.312000000000001</v>
      </c>
      <c r="S249" s="1"/>
      <c r="T249" s="1" t="str">
        <f>IF(O249="Furniture","Cardbaord",O249)</f>
        <v>Office Supplies</v>
      </c>
      <c r="U249" s="1" t="str">
        <f>IF(O249="furniture","cardbaord",IF(O249="office supplies","OS",O249))</f>
        <v>OS</v>
      </c>
    </row>
    <row r="250" spans="1:21" x14ac:dyDescent="0.3">
      <c r="A250">
        <v>35</v>
      </c>
      <c r="B250" s="1" t="s">
        <v>159</v>
      </c>
      <c r="C250" s="1" t="s">
        <v>160</v>
      </c>
      <c r="D250" s="1" t="s">
        <v>161</v>
      </c>
      <c r="E250" s="1" t="s">
        <v>21</v>
      </c>
      <c r="F250" s="1" t="s">
        <v>162</v>
      </c>
      <c r="G250" s="1" t="s">
        <v>163</v>
      </c>
      <c r="H250" s="1" t="s">
        <v>90</v>
      </c>
      <c r="I250" s="1" t="s">
        <v>25</v>
      </c>
      <c r="J250" s="1" t="s">
        <v>164</v>
      </c>
      <c r="K250" s="1" t="s">
        <v>92</v>
      </c>
      <c r="L250">
        <v>77095</v>
      </c>
      <c r="M250" s="1" t="s">
        <v>93</v>
      </c>
      <c r="N250" s="1" t="s">
        <v>165</v>
      </c>
      <c r="O250" s="1" t="s">
        <v>43</v>
      </c>
      <c r="P250" s="1" t="s">
        <v>73</v>
      </c>
      <c r="Q250" s="1" t="s">
        <v>166</v>
      </c>
      <c r="R250">
        <v>29.472000000000001</v>
      </c>
      <c r="S250" s="1"/>
      <c r="T250" s="1" t="str">
        <f>IF(O250="Furniture","Cardbaord",O250)</f>
        <v>Office Supplies</v>
      </c>
      <c r="U250" s="1" t="str">
        <f>IF(O250="furniture","cardbaord",IF(O250="office supplies","OS",O250))</f>
        <v>OS</v>
      </c>
    </row>
    <row r="251" spans="1:21" x14ac:dyDescent="0.3">
      <c r="A251">
        <v>485</v>
      </c>
      <c r="B251" s="1" t="s">
        <v>1415</v>
      </c>
      <c r="C251" s="1" t="s">
        <v>1416</v>
      </c>
      <c r="D251" s="1" t="s">
        <v>1417</v>
      </c>
      <c r="E251" s="1" t="s">
        <v>169</v>
      </c>
      <c r="F251" s="1" t="s">
        <v>1418</v>
      </c>
      <c r="G251" s="1" t="s">
        <v>1419</v>
      </c>
      <c r="H251" s="1" t="s">
        <v>90</v>
      </c>
      <c r="I251" s="1" t="s">
        <v>25</v>
      </c>
      <c r="J251" s="1" t="s">
        <v>39</v>
      </c>
      <c r="K251" s="1" t="s">
        <v>40</v>
      </c>
      <c r="L251">
        <v>90045</v>
      </c>
      <c r="M251" s="1" t="s">
        <v>41</v>
      </c>
      <c r="N251" s="1" t="s">
        <v>1420</v>
      </c>
      <c r="O251" s="1" t="s">
        <v>43</v>
      </c>
      <c r="P251" s="1" t="s">
        <v>44</v>
      </c>
      <c r="Q251" s="1" t="s">
        <v>1421</v>
      </c>
      <c r="R251">
        <v>29.6</v>
      </c>
      <c r="S251" s="1"/>
      <c r="T251" s="1" t="str">
        <f>IF(O251="Furniture","Cardbaord",O251)</f>
        <v>Office Supplies</v>
      </c>
      <c r="U251" s="1" t="str">
        <f>IF(O251="furniture","cardbaord",IF(O251="office supplies","OS",O251))</f>
        <v>OS</v>
      </c>
    </row>
    <row r="252" spans="1:21" x14ac:dyDescent="0.3">
      <c r="A252">
        <v>1338</v>
      </c>
      <c r="B252" s="1" t="s">
        <v>2759</v>
      </c>
      <c r="C252" s="1" t="s">
        <v>2760</v>
      </c>
      <c r="D252" s="1" t="s">
        <v>2761</v>
      </c>
      <c r="E252" s="1" t="s">
        <v>21</v>
      </c>
      <c r="F252" s="1" t="s">
        <v>2762</v>
      </c>
      <c r="G252" s="1" t="s">
        <v>2763</v>
      </c>
      <c r="H252" s="1" t="s">
        <v>24</v>
      </c>
      <c r="I252" s="1" t="s">
        <v>25</v>
      </c>
      <c r="J252" s="1" t="s">
        <v>251</v>
      </c>
      <c r="K252" s="1" t="s">
        <v>252</v>
      </c>
      <c r="L252">
        <v>10011</v>
      </c>
      <c r="M252" s="1" t="s">
        <v>141</v>
      </c>
      <c r="N252" s="1" t="s">
        <v>2764</v>
      </c>
      <c r="O252" s="1" t="s">
        <v>30</v>
      </c>
      <c r="P252" s="1" t="s">
        <v>63</v>
      </c>
      <c r="Q252" s="1" t="s">
        <v>2765</v>
      </c>
      <c r="R252">
        <v>29.78</v>
      </c>
      <c r="S252" s="1"/>
      <c r="T252" s="1" t="str">
        <f>IF(O252="Furniture","Cardbaord",O252)</f>
        <v>Cardbaord</v>
      </c>
      <c r="U252" s="1" t="str">
        <f>IF(O252="furniture","cardbaord",IF(O252="office supplies","OS",O252))</f>
        <v>cardbaord</v>
      </c>
    </row>
    <row r="253" spans="1:21" x14ac:dyDescent="0.3">
      <c r="A253">
        <v>1618</v>
      </c>
      <c r="B253" s="1" t="s">
        <v>2997</v>
      </c>
      <c r="C253" s="1" t="s">
        <v>2998</v>
      </c>
      <c r="D253" s="1" t="s">
        <v>804</v>
      </c>
      <c r="E253" s="1" t="s">
        <v>49</v>
      </c>
      <c r="F253" s="1" t="s">
        <v>2999</v>
      </c>
      <c r="G253" s="1" t="s">
        <v>3000</v>
      </c>
      <c r="H253" s="1" t="s">
        <v>90</v>
      </c>
      <c r="I253" s="1" t="s">
        <v>25</v>
      </c>
      <c r="J253" s="1" t="s">
        <v>214</v>
      </c>
      <c r="K253" s="1" t="s">
        <v>215</v>
      </c>
      <c r="L253">
        <v>55122</v>
      </c>
      <c r="M253" s="1" t="s">
        <v>93</v>
      </c>
      <c r="N253" s="1" t="s">
        <v>3001</v>
      </c>
      <c r="O253" s="1" t="s">
        <v>43</v>
      </c>
      <c r="P253" s="1" t="s">
        <v>123</v>
      </c>
      <c r="Q253" s="1" t="s">
        <v>3002</v>
      </c>
      <c r="R253">
        <v>29.79</v>
      </c>
      <c r="S253" s="1"/>
      <c r="T253" s="1" t="str">
        <f>IF(O253="Furniture","Cardbaord",O253)</f>
        <v>Office Supplies</v>
      </c>
      <c r="U253" s="1" t="str">
        <f>IF(O253="furniture","cardbaord",IF(O253="office supplies","OS",O253))</f>
        <v>OS</v>
      </c>
    </row>
    <row r="254" spans="1:21" x14ac:dyDescent="0.3">
      <c r="A254">
        <v>1429</v>
      </c>
      <c r="B254" s="1" t="s">
        <v>2837</v>
      </c>
      <c r="C254" s="1" t="s">
        <v>2622</v>
      </c>
      <c r="D254" s="1" t="s">
        <v>2838</v>
      </c>
      <c r="E254" s="1" t="s">
        <v>21</v>
      </c>
      <c r="F254" s="1" t="s">
        <v>2839</v>
      </c>
      <c r="G254" s="1" t="s">
        <v>2840</v>
      </c>
      <c r="H254" s="1" t="s">
        <v>38</v>
      </c>
      <c r="I254" s="1" t="s">
        <v>25</v>
      </c>
      <c r="J254" s="1" t="s">
        <v>2151</v>
      </c>
      <c r="K254" s="1" t="s">
        <v>40</v>
      </c>
      <c r="L254">
        <v>93905</v>
      </c>
      <c r="M254" s="1" t="s">
        <v>41</v>
      </c>
      <c r="N254" s="1" t="s">
        <v>2841</v>
      </c>
      <c r="O254" s="1" t="s">
        <v>43</v>
      </c>
      <c r="P254" s="1" t="s">
        <v>83</v>
      </c>
      <c r="Q254" s="1" t="s">
        <v>2842</v>
      </c>
      <c r="R254">
        <v>29.8</v>
      </c>
      <c r="S254" s="1"/>
      <c r="T254" s="1" t="str">
        <f>IF(O254="Furniture","Cardbaord",O254)</f>
        <v>Office Supplies</v>
      </c>
      <c r="U254" s="1" t="str">
        <f>IF(O254="furniture","cardbaord",IF(O254="office supplies","OS",O254))</f>
        <v>OS</v>
      </c>
    </row>
    <row r="255" spans="1:21" x14ac:dyDescent="0.3">
      <c r="A255">
        <v>669</v>
      </c>
      <c r="B255" s="1" t="s">
        <v>1836</v>
      </c>
      <c r="C255" s="1" t="s">
        <v>1247</v>
      </c>
      <c r="D255" s="1" t="s">
        <v>496</v>
      </c>
      <c r="E255" s="1" t="s">
        <v>169</v>
      </c>
      <c r="F255" s="1" t="s">
        <v>1837</v>
      </c>
      <c r="G255" s="1" t="s">
        <v>1838</v>
      </c>
      <c r="H255" s="1" t="s">
        <v>24</v>
      </c>
      <c r="I255" s="1" t="s">
        <v>25</v>
      </c>
      <c r="J255" s="1" t="s">
        <v>1839</v>
      </c>
      <c r="K255" s="1" t="s">
        <v>471</v>
      </c>
      <c r="L255">
        <v>44105</v>
      </c>
      <c r="M255" s="1" t="s">
        <v>141</v>
      </c>
      <c r="N255" s="1" t="s">
        <v>1840</v>
      </c>
      <c r="O255" s="1" t="s">
        <v>30</v>
      </c>
      <c r="P255" s="1" t="s">
        <v>63</v>
      </c>
      <c r="Q255" s="1" t="s">
        <v>1841</v>
      </c>
      <c r="R255">
        <v>30.36</v>
      </c>
      <c r="S255" s="1"/>
      <c r="T255" s="1" t="str">
        <f>IF(O255="Furniture","Cardbaord",O255)</f>
        <v>Cardbaord</v>
      </c>
      <c r="U255" s="1" t="str">
        <f>IF(O255="furniture","cardbaord",IF(O255="office supplies","OS",O255))</f>
        <v>cardbaord</v>
      </c>
    </row>
    <row r="256" spans="1:21" x14ac:dyDescent="0.3">
      <c r="A256">
        <v>1436</v>
      </c>
      <c r="B256" s="1" t="s">
        <v>2843</v>
      </c>
      <c r="C256" s="1" t="s">
        <v>398</v>
      </c>
      <c r="D256" s="1" t="s">
        <v>2099</v>
      </c>
      <c r="E256" s="1" t="s">
        <v>49</v>
      </c>
      <c r="F256" s="1" t="s">
        <v>2844</v>
      </c>
      <c r="G256" s="1" t="s">
        <v>2845</v>
      </c>
      <c r="H256" s="1" t="s">
        <v>24</v>
      </c>
      <c r="I256" s="1" t="s">
        <v>25</v>
      </c>
      <c r="J256" s="1" t="s">
        <v>2846</v>
      </c>
      <c r="K256" s="1" t="s">
        <v>471</v>
      </c>
      <c r="L256">
        <v>44134</v>
      </c>
      <c r="M256" s="1" t="s">
        <v>141</v>
      </c>
      <c r="N256" s="1" t="s">
        <v>2847</v>
      </c>
      <c r="O256" s="1" t="s">
        <v>43</v>
      </c>
      <c r="P256" s="1" t="s">
        <v>73</v>
      </c>
      <c r="Q256" s="1" t="s">
        <v>2848</v>
      </c>
      <c r="R256">
        <v>31.103999999999999</v>
      </c>
      <c r="S256" s="1"/>
      <c r="T256" s="1" t="str">
        <f>IF(O256="Furniture","Cardbaord",O256)</f>
        <v>Office Supplies</v>
      </c>
      <c r="U256" s="1" t="str">
        <f>IF(O256="furniture","cardbaord",IF(O256="office supplies","OS",O256))</f>
        <v>OS</v>
      </c>
    </row>
    <row r="257" spans="1:21" x14ac:dyDescent="0.3">
      <c r="A257">
        <v>1042</v>
      </c>
      <c r="B257" s="1" t="s">
        <v>2445</v>
      </c>
      <c r="C257" s="1" t="s">
        <v>404</v>
      </c>
      <c r="D257" s="1" t="s">
        <v>2446</v>
      </c>
      <c r="E257" s="1" t="s">
        <v>21</v>
      </c>
      <c r="F257" s="1" t="s">
        <v>2447</v>
      </c>
      <c r="G257" s="1" t="s">
        <v>2448</v>
      </c>
      <c r="H257" s="1" t="s">
        <v>24</v>
      </c>
      <c r="I257" s="1" t="s">
        <v>25</v>
      </c>
      <c r="J257" s="1" t="s">
        <v>251</v>
      </c>
      <c r="K257" s="1" t="s">
        <v>252</v>
      </c>
      <c r="L257">
        <v>10035</v>
      </c>
      <c r="M257" s="1" t="s">
        <v>141</v>
      </c>
      <c r="N257" s="1" t="s">
        <v>2449</v>
      </c>
      <c r="O257" s="1" t="s">
        <v>174</v>
      </c>
      <c r="P257" s="1" t="s">
        <v>217</v>
      </c>
      <c r="Q257" s="1" t="s">
        <v>2450</v>
      </c>
      <c r="R257">
        <v>31.86</v>
      </c>
      <c r="S257" s="1"/>
      <c r="T257" s="1" t="str">
        <f>IF(O257="Furniture","Cardbaord",O257)</f>
        <v>Technology</v>
      </c>
      <c r="U257" s="1" t="str">
        <f>IF(O257="furniture","cardbaord",IF(O257="office supplies","OS",O257))</f>
        <v>Technology</v>
      </c>
    </row>
    <row r="258" spans="1:21" x14ac:dyDescent="0.3">
      <c r="A258">
        <v>439</v>
      </c>
      <c r="B258" s="1" t="s">
        <v>1343</v>
      </c>
      <c r="C258" s="1" t="s">
        <v>187</v>
      </c>
      <c r="D258" s="1" t="s">
        <v>202</v>
      </c>
      <c r="E258" s="1" t="s">
        <v>49</v>
      </c>
      <c r="F258" s="1" t="s">
        <v>1344</v>
      </c>
      <c r="G258" s="1" t="s">
        <v>1345</v>
      </c>
      <c r="H258" s="1" t="s">
        <v>38</v>
      </c>
      <c r="I258" s="1" t="s">
        <v>25</v>
      </c>
      <c r="J258" s="1" t="s">
        <v>164</v>
      </c>
      <c r="K258" s="1" t="s">
        <v>92</v>
      </c>
      <c r="L258">
        <v>77070</v>
      </c>
      <c r="M258" s="1" t="s">
        <v>93</v>
      </c>
      <c r="N258" s="1" t="s">
        <v>1346</v>
      </c>
      <c r="O258" s="1" t="s">
        <v>43</v>
      </c>
      <c r="P258" s="1" t="s">
        <v>73</v>
      </c>
      <c r="Q258" s="1" t="s">
        <v>1347</v>
      </c>
      <c r="R258">
        <v>31.872</v>
      </c>
      <c r="S258" s="1"/>
      <c r="T258" s="1" t="str">
        <f>IF(O258="Furniture","Cardbaord",O258)</f>
        <v>Office Supplies</v>
      </c>
      <c r="U258" s="1" t="str">
        <f>IF(O258="furniture","cardbaord",IF(O258="office supplies","OS",O258))</f>
        <v>OS</v>
      </c>
    </row>
    <row r="259" spans="1:21" x14ac:dyDescent="0.3">
      <c r="A259">
        <v>2769</v>
      </c>
      <c r="B259" s="1" t="s">
        <v>3623</v>
      </c>
      <c r="C259" s="1" t="s">
        <v>1890</v>
      </c>
      <c r="D259" s="1" t="s">
        <v>3624</v>
      </c>
      <c r="E259" s="1" t="s">
        <v>49</v>
      </c>
      <c r="F259" s="1" t="s">
        <v>3625</v>
      </c>
      <c r="G259" s="1" t="s">
        <v>3626</v>
      </c>
      <c r="H259" s="1" t="s">
        <v>24</v>
      </c>
      <c r="I259" s="1" t="s">
        <v>25</v>
      </c>
      <c r="J259" s="1" t="s">
        <v>748</v>
      </c>
      <c r="K259" s="1" t="s">
        <v>92</v>
      </c>
      <c r="L259">
        <v>75220</v>
      </c>
      <c r="M259" s="1" t="s">
        <v>93</v>
      </c>
      <c r="N259" s="1" t="s">
        <v>3627</v>
      </c>
      <c r="O259" s="1" t="s">
        <v>43</v>
      </c>
      <c r="P259" s="1" t="s">
        <v>95</v>
      </c>
      <c r="Q259" s="1" t="s">
        <v>3628</v>
      </c>
      <c r="R259">
        <v>32.192</v>
      </c>
      <c r="S259" s="1"/>
      <c r="T259" s="1" t="str">
        <f>IF(O259="Furniture","Cardbaord",O259)</f>
        <v>Office Supplies</v>
      </c>
      <c r="U259" s="1" t="str">
        <f>IF(O259="furniture","cardbaord",IF(O259="office supplies","OS",O259))</f>
        <v>OS</v>
      </c>
    </row>
    <row r="260" spans="1:21" x14ac:dyDescent="0.3">
      <c r="A260">
        <v>299</v>
      </c>
      <c r="B260" s="1" t="s">
        <v>973</v>
      </c>
      <c r="C260" s="1" t="s">
        <v>789</v>
      </c>
      <c r="D260" s="1" t="s">
        <v>458</v>
      </c>
      <c r="E260" s="1" t="s">
        <v>49</v>
      </c>
      <c r="F260" s="1" t="s">
        <v>974</v>
      </c>
      <c r="G260" s="1" t="s">
        <v>975</v>
      </c>
      <c r="H260" s="1" t="s">
        <v>38</v>
      </c>
      <c r="I260" s="1" t="s">
        <v>25</v>
      </c>
      <c r="J260" s="1" t="s">
        <v>976</v>
      </c>
      <c r="K260" s="1" t="s">
        <v>718</v>
      </c>
      <c r="L260">
        <v>7109</v>
      </c>
      <c r="M260" s="1" t="s">
        <v>141</v>
      </c>
      <c r="N260" s="1" t="s">
        <v>977</v>
      </c>
      <c r="O260" s="1" t="s">
        <v>43</v>
      </c>
      <c r="P260" s="1" t="s">
        <v>73</v>
      </c>
      <c r="Q260" s="1" t="s">
        <v>978</v>
      </c>
      <c r="R260">
        <v>32.4</v>
      </c>
      <c r="S260" s="1"/>
      <c r="T260" s="1" t="str">
        <f>IF(O260="Furniture","Cardbaord",O260)</f>
        <v>Office Supplies</v>
      </c>
      <c r="U260" s="1" t="str">
        <f>IF(O260="furniture","cardbaord",IF(O260="office supplies","OS",O260))</f>
        <v>OS</v>
      </c>
    </row>
    <row r="261" spans="1:21" x14ac:dyDescent="0.3">
      <c r="A261">
        <v>777</v>
      </c>
      <c r="B261" s="1" t="s">
        <v>2035</v>
      </c>
      <c r="C261" s="1" t="s">
        <v>2036</v>
      </c>
      <c r="D261" s="1" t="s">
        <v>2037</v>
      </c>
      <c r="E261" s="1" t="s">
        <v>49</v>
      </c>
      <c r="F261" s="1" t="s">
        <v>2038</v>
      </c>
      <c r="G261" s="1" t="s">
        <v>2039</v>
      </c>
      <c r="H261" s="1" t="s">
        <v>24</v>
      </c>
      <c r="I261" s="1" t="s">
        <v>25</v>
      </c>
      <c r="J261" s="1" t="s">
        <v>915</v>
      </c>
      <c r="K261" s="1" t="s">
        <v>471</v>
      </c>
      <c r="L261">
        <v>45231</v>
      </c>
      <c r="M261" s="1" t="s">
        <v>141</v>
      </c>
      <c r="N261" s="1" t="s">
        <v>2040</v>
      </c>
      <c r="O261" s="1" t="s">
        <v>43</v>
      </c>
      <c r="P261" s="1" t="s">
        <v>123</v>
      </c>
      <c r="Q261" s="1" t="s">
        <v>2041</v>
      </c>
      <c r="R261">
        <v>32.76</v>
      </c>
      <c r="S261" s="1"/>
      <c r="T261" s="1" t="str">
        <f>IF(O261="Furniture","Cardbaord",O261)</f>
        <v>Office Supplies</v>
      </c>
      <c r="U261" s="1" t="str">
        <f>IF(O261="furniture","cardbaord",IF(O261="office supplies","OS",O261))</f>
        <v>OS</v>
      </c>
    </row>
    <row r="262" spans="1:21" x14ac:dyDescent="0.3">
      <c r="A262">
        <v>2508</v>
      </c>
      <c r="B262" s="1" t="s">
        <v>3538</v>
      </c>
      <c r="C262" s="1" t="s">
        <v>3539</v>
      </c>
      <c r="D262" s="1" t="s">
        <v>3539</v>
      </c>
      <c r="E262" s="1" t="s">
        <v>1124</v>
      </c>
      <c r="F262" s="1" t="s">
        <v>3540</v>
      </c>
      <c r="G262" s="1" t="s">
        <v>3541</v>
      </c>
      <c r="H262" s="1" t="s">
        <v>24</v>
      </c>
      <c r="I262" s="1" t="s">
        <v>25</v>
      </c>
      <c r="J262" s="1" t="s">
        <v>164</v>
      </c>
      <c r="K262" s="1" t="s">
        <v>92</v>
      </c>
      <c r="L262">
        <v>77070</v>
      </c>
      <c r="M262" s="1" t="s">
        <v>93</v>
      </c>
      <c r="N262" s="1" t="s">
        <v>3542</v>
      </c>
      <c r="O262" s="1" t="s">
        <v>43</v>
      </c>
      <c r="P262" s="1" t="s">
        <v>95</v>
      </c>
      <c r="Q262" s="1" t="s">
        <v>3543</v>
      </c>
      <c r="R262">
        <v>32.783999999999999</v>
      </c>
      <c r="S262" s="1"/>
      <c r="T262" s="1" t="str">
        <f>IF(O262="Furniture","Cardbaord",O262)</f>
        <v>Office Supplies</v>
      </c>
      <c r="U262" s="1" t="str">
        <f>IF(O262="furniture","cardbaord",IF(O262="office supplies","OS",O262))</f>
        <v>OS</v>
      </c>
    </row>
    <row r="263" spans="1:21" x14ac:dyDescent="0.3">
      <c r="A263">
        <v>3428</v>
      </c>
      <c r="B263" s="1" t="s">
        <v>3800</v>
      </c>
      <c r="C263" s="1" t="s">
        <v>2711</v>
      </c>
      <c r="D263" s="1" t="s">
        <v>722</v>
      </c>
      <c r="E263" s="1" t="s">
        <v>21</v>
      </c>
      <c r="F263" s="1" t="s">
        <v>3801</v>
      </c>
      <c r="G263" s="1" t="s">
        <v>3802</v>
      </c>
      <c r="H263" s="1" t="s">
        <v>90</v>
      </c>
      <c r="I263" s="1" t="s">
        <v>25</v>
      </c>
      <c r="J263" s="1" t="s">
        <v>2054</v>
      </c>
      <c r="K263" s="1" t="s">
        <v>471</v>
      </c>
      <c r="L263">
        <v>43130</v>
      </c>
      <c r="M263" s="1" t="s">
        <v>141</v>
      </c>
      <c r="N263" s="1" t="s">
        <v>3803</v>
      </c>
      <c r="O263" s="1" t="s">
        <v>43</v>
      </c>
      <c r="P263" s="1" t="s">
        <v>73</v>
      </c>
      <c r="Q263" s="1" t="s">
        <v>3804</v>
      </c>
      <c r="R263">
        <v>32.896000000000001</v>
      </c>
      <c r="S263" s="1"/>
      <c r="T263" s="1" t="str">
        <f>IF(O263="Furniture","Cardbaord",O263)</f>
        <v>Office Supplies</v>
      </c>
      <c r="U263" s="1" t="str">
        <f>IF(O263="furniture","cardbaord",IF(O263="office supplies","OS",O263))</f>
        <v>OS</v>
      </c>
    </row>
    <row r="264" spans="1:21" x14ac:dyDescent="0.3">
      <c r="A264">
        <v>2130</v>
      </c>
      <c r="B264" s="1" t="s">
        <v>3305</v>
      </c>
      <c r="C264" s="1" t="s">
        <v>2024</v>
      </c>
      <c r="D264" s="1" t="s">
        <v>3306</v>
      </c>
      <c r="E264" s="1" t="s">
        <v>21</v>
      </c>
      <c r="F264" s="1" t="s">
        <v>3307</v>
      </c>
      <c r="G264" s="1" t="s">
        <v>3308</v>
      </c>
      <c r="H264" s="1" t="s">
        <v>38</v>
      </c>
      <c r="I264" s="1" t="s">
        <v>25</v>
      </c>
      <c r="J264" s="1" t="s">
        <v>233</v>
      </c>
      <c r="K264" s="1" t="s">
        <v>3309</v>
      </c>
      <c r="L264">
        <v>3820</v>
      </c>
      <c r="M264" s="1" t="s">
        <v>141</v>
      </c>
      <c r="N264" s="1" t="s">
        <v>3310</v>
      </c>
      <c r="O264" s="1" t="s">
        <v>43</v>
      </c>
      <c r="P264" s="1" t="s">
        <v>95</v>
      </c>
      <c r="Q264" s="1" t="s">
        <v>3311</v>
      </c>
      <c r="R264">
        <v>33.28</v>
      </c>
      <c r="S264" s="1"/>
      <c r="T264" s="1" t="str">
        <f>IF(O264="Furniture","Cardbaord",O264)</f>
        <v>Office Supplies</v>
      </c>
      <c r="U264" s="1" t="str">
        <f>IF(O264="furniture","cardbaord",IF(O264="office supplies","OS",O264))</f>
        <v>OS</v>
      </c>
    </row>
    <row r="265" spans="1:21" x14ac:dyDescent="0.3">
      <c r="A265">
        <v>1591</v>
      </c>
      <c r="B265" s="1" t="s">
        <v>2962</v>
      </c>
      <c r="C265" s="1" t="s">
        <v>1316</v>
      </c>
      <c r="D265" s="1" t="s">
        <v>2963</v>
      </c>
      <c r="E265" s="1" t="s">
        <v>49</v>
      </c>
      <c r="F265" s="1" t="s">
        <v>2964</v>
      </c>
      <c r="G265" s="1" t="s">
        <v>2965</v>
      </c>
      <c r="H265" s="1" t="s">
        <v>38</v>
      </c>
      <c r="I265" s="1" t="s">
        <v>25</v>
      </c>
      <c r="J265" s="1" t="s">
        <v>2966</v>
      </c>
      <c r="K265" s="1" t="s">
        <v>92</v>
      </c>
      <c r="L265">
        <v>76051</v>
      </c>
      <c r="M265" s="1" t="s">
        <v>93</v>
      </c>
      <c r="N265" s="1" t="s">
        <v>2967</v>
      </c>
      <c r="O265" s="1" t="s">
        <v>43</v>
      </c>
      <c r="P265" s="1" t="s">
        <v>123</v>
      </c>
      <c r="Q265" s="1" t="s">
        <v>2968</v>
      </c>
      <c r="R265">
        <v>33.488</v>
      </c>
      <c r="S265" s="1"/>
      <c r="T265" s="1" t="str">
        <f>IF(O265="Furniture","Cardbaord",O265)</f>
        <v>Office Supplies</v>
      </c>
      <c r="U265" s="1" t="str">
        <f>IF(O265="furniture","cardbaord",IF(O265="office supplies","OS",O265))</f>
        <v>OS</v>
      </c>
    </row>
    <row r="266" spans="1:21" x14ac:dyDescent="0.3">
      <c r="A266">
        <v>1960</v>
      </c>
      <c r="B266" s="1" t="s">
        <v>3257</v>
      </c>
      <c r="C266" s="1" t="s">
        <v>186</v>
      </c>
      <c r="D266" s="1" t="s">
        <v>187</v>
      </c>
      <c r="E266" s="1" t="s">
        <v>21</v>
      </c>
      <c r="F266" s="1" t="s">
        <v>3258</v>
      </c>
      <c r="G266" s="1" t="s">
        <v>3259</v>
      </c>
      <c r="H266" s="1" t="s">
        <v>24</v>
      </c>
      <c r="I266" s="1" t="s">
        <v>25</v>
      </c>
      <c r="J266" s="1" t="s">
        <v>293</v>
      </c>
      <c r="K266" s="1" t="s">
        <v>550</v>
      </c>
      <c r="L266">
        <v>65807</v>
      </c>
      <c r="M266" s="1" t="s">
        <v>93</v>
      </c>
      <c r="N266" s="1" t="s">
        <v>3260</v>
      </c>
      <c r="O266" s="1" t="s">
        <v>43</v>
      </c>
      <c r="P266" s="1" t="s">
        <v>95</v>
      </c>
      <c r="Q266" s="1" t="s">
        <v>3261</v>
      </c>
      <c r="R266">
        <v>33.99</v>
      </c>
      <c r="S266" s="1"/>
      <c r="T266" s="1" t="str">
        <f>IF(O266="Furniture","Cardbaord",O266)</f>
        <v>Office Supplies</v>
      </c>
      <c r="U266" s="1" t="str">
        <f>IF(O266="furniture","cardbaord",IF(O266="office supplies","OS",O266))</f>
        <v>OS</v>
      </c>
    </row>
    <row r="267" spans="1:21" x14ac:dyDescent="0.3">
      <c r="A267">
        <v>1895</v>
      </c>
      <c r="B267" s="1" t="s">
        <v>3198</v>
      </c>
      <c r="C267" s="1" t="s">
        <v>3199</v>
      </c>
      <c r="D267" s="1" t="s">
        <v>1663</v>
      </c>
      <c r="E267" s="1" t="s">
        <v>169</v>
      </c>
      <c r="F267" s="1" t="s">
        <v>3200</v>
      </c>
      <c r="G267" s="1" t="s">
        <v>3201</v>
      </c>
      <c r="H267" s="1" t="s">
        <v>24</v>
      </c>
      <c r="I267" s="1" t="s">
        <v>25</v>
      </c>
      <c r="J267" s="1" t="s">
        <v>3202</v>
      </c>
      <c r="K267" s="1" t="s">
        <v>294</v>
      </c>
      <c r="L267">
        <v>22901</v>
      </c>
      <c r="M267" s="1" t="s">
        <v>28</v>
      </c>
      <c r="N267" s="1" t="s">
        <v>3203</v>
      </c>
      <c r="O267" s="1" t="s">
        <v>43</v>
      </c>
      <c r="P267" s="1" t="s">
        <v>123</v>
      </c>
      <c r="Q267" s="1" t="s">
        <v>3204</v>
      </c>
      <c r="R267">
        <v>34.65</v>
      </c>
      <c r="S267" s="1"/>
      <c r="T267" s="1" t="str">
        <f>IF(O267="Furniture","Cardbaord",O267)</f>
        <v>Office Supplies</v>
      </c>
      <c r="U267" s="1" t="str">
        <f>IF(O267="furniture","cardbaord",IF(O267="office supplies","OS",O267))</f>
        <v>OS</v>
      </c>
    </row>
    <row r="268" spans="1:21" x14ac:dyDescent="0.3">
      <c r="A268">
        <v>205</v>
      </c>
      <c r="B268" s="1" t="s">
        <v>751</v>
      </c>
      <c r="C268" s="1" t="s">
        <v>752</v>
      </c>
      <c r="D268" s="1" t="s">
        <v>753</v>
      </c>
      <c r="E268" s="1" t="s">
        <v>49</v>
      </c>
      <c r="F268" s="1" t="s">
        <v>754</v>
      </c>
      <c r="G268" s="1" t="s">
        <v>755</v>
      </c>
      <c r="H268" s="1" t="s">
        <v>38</v>
      </c>
      <c r="I268" s="1" t="s">
        <v>25</v>
      </c>
      <c r="J268" s="1" t="s">
        <v>564</v>
      </c>
      <c r="K268" s="1" t="s">
        <v>310</v>
      </c>
      <c r="L268">
        <v>37064</v>
      </c>
      <c r="M268" s="1" t="s">
        <v>28</v>
      </c>
      <c r="N268" s="1" t="s">
        <v>756</v>
      </c>
      <c r="O268" s="1" t="s">
        <v>30</v>
      </c>
      <c r="P268" s="1" t="s">
        <v>63</v>
      </c>
      <c r="Q268" s="1" t="s">
        <v>757</v>
      </c>
      <c r="R268">
        <v>35.167999999999999</v>
      </c>
      <c r="S268" s="1"/>
      <c r="T268" s="1" t="str">
        <f>IF(O268="Furniture","Cardbaord",O268)</f>
        <v>Cardbaord</v>
      </c>
      <c r="U268" s="1" t="str">
        <f>IF(O268="furniture","cardbaord",IF(O268="office supplies","OS",O268))</f>
        <v>cardbaord</v>
      </c>
    </row>
    <row r="269" spans="1:21" x14ac:dyDescent="0.3">
      <c r="A269">
        <v>784</v>
      </c>
      <c r="B269" s="1" t="s">
        <v>2042</v>
      </c>
      <c r="C269" s="1" t="s">
        <v>2043</v>
      </c>
      <c r="D269" s="1" t="s">
        <v>2044</v>
      </c>
      <c r="E269" s="1" t="s">
        <v>21</v>
      </c>
      <c r="F269" s="1" t="s">
        <v>2045</v>
      </c>
      <c r="G269" s="1" t="s">
        <v>2046</v>
      </c>
      <c r="H269" s="1" t="s">
        <v>24</v>
      </c>
      <c r="I269" s="1" t="s">
        <v>25</v>
      </c>
      <c r="J269" s="1" t="s">
        <v>470</v>
      </c>
      <c r="K269" s="1" t="s">
        <v>471</v>
      </c>
      <c r="L269">
        <v>43229</v>
      </c>
      <c r="M269" s="1" t="s">
        <v>141</v>
      </c>
      <c r="N269" s="1" t="s">
        <v>2047</v>
      </c>
      <c r="O269" s="1" t="s">
        <v>30</v>
      </c>
      <c r="P269" s="1" t="s">
        <v>31</v>
      </c>
      <c r="Q269" s="1" t="s">
        <v>2048</v>
      </c>
      <c r="R269">
        <v>35.49</v>
      </c>
      <c r="S269" s="1"/>
      <c r="T269" s="1" t="str">
        <f>IF(O269="Furniture","Cardbaord",O269)</f>
        <v>Cardbaord</v>
      </c>
      <c r="U269" s="1" t="str">
        <f>IF(O269="furniture","cardbaord",IF(O269="office supplies","OS",O269))</f>
        <v>cardbaord</v>
      </c>
    </row>
    <row r="270" spans="1:21" x14ac:dyDescent="0.3">
      <c r="A270">
        <v>627</v>
      </c>
      <c r="B270" s="1" t="s">
        <v>1765</v>
      </c>
      <c r="C270" s="1" t="s">
        <v>187</v>
      </c>
      <c r="D270" s="1" t="s">
        <v>202</v>
      </c>
      <c r="E270" s="1" t="s">
        <v>49</v>
      </c>
      <c r="F270" s="1" t="s">
        <v>1766</v>
      </c>
      <c r="G270" s="1" t="s">
        <v>1767</v>
      </c>
      <c r="H270" s="1" t="s">
        <v>90</v>
      </c>
      <c r="I270" s="1" t="s">
        <v>25</v>
      </c>
      <c r="J270" s="1" t="s">
        <v>251</v>
      </c>
      <c r="K270" s="1" t="s">
        <v>252</v>
      </c>
      <c r="L270">
        <v>10009</v>
      </c>
      <c r="M270" s="1" t="s">
        <v>141</v>
      </c>
      <c r="N270" s="1" t="s">
        <v>1768</v>
      </c>
      <c r="O270" s="1" t="s">
        <v>30</v>
      </c>
      <c r="P270" s="1" t="s">
        <v>63</v>
      </c>
      <c r="Q270" s="1" t="s">
        <v>1769</v>
      </c>
      <c r="R270">
        <v>35.56</v>
      </c>
      <c r="S270" s="1"/>
      <c r="T270" s="1" t="str">
        <f>IF(O270="Furniture","Cardbaord",O270)</f>
        <v>Cardbaord</v>
      </c>
      <c r="U270" s="1" t="str">
        <f>IF(O270="furniture","cardbaord",IF(O270="office supplies","OS",O270))</f>
        <v>cardbaord</v>
      </c>
    </row>
    <row r="271" spans="1:21" x14ac:dyDescent="0.3">
      <c r="A271">
        <v>405</v>
      </c>
      <c r="B271" s="1" t="s">
        <v>1253</v>
      </c>
      <c r="C271" s="1" t="s">
        <v>1254</v>
      </c>
      <c r="D271" s="1" t="s">
        <v>1255</v>
      </c>
      <c r="E271" s="1" t="s">
        <v>49</v>
      </c>
      <c r="F271" s="1" t="s">
        <v>1256</v>
      </c>
      <c r="G271" s="1" t="s">
        <v>1257</v>
      </c>
      <c r="H271" s="1" t="s">
        <v>24</v>
      </c>
      <c r="I271" s="1" t="s">
        <v>25</v>
      </c>
      <c r="J271" s="1" t="s">
        <v>251</v>
      </c>
      <c r="K271" s="1" t="s">
        <v>252</v>
      </c>
      <c r="L271">
        <v>10024</v>
      </c>
      <c r="M271" s="1" t="s">
        <v>141</v>
      </c>
      <c r="N271" s="1" t="s">
        <v>1258</v>
      </c>
      <c r="O271" s="1" t="s">
        <v>43</v>
      </c>
      <c r="P271" s="1" t="s">
        <v>95</v>
      </c>
      <c r="Q271" s="1" t="s">
        <v>1259</v>
      </c>
      <c r="R271">
        <v>35.909999999999997</v>
      </c>
      <c r="S271" s="1"/>
      <c r="T271" s="1" t="str">
        <f>IF(O271="Furniture","Cardbaord",O271)</f>
        <v>Office Supplies</v>
      </c>
      <c r="U271" s="1" t="str">
        <f>IF(O271="furniture","cardbaord",IF(O271="office supplies","OS",O271))</f>
        <v>OS</v>
      </c>
    </row>
    <row r="272" spans="1:21" x14ac:dyDescent="0.3">
      <c r="A272">
        <v>399</v>
      </c>
      <c r="B272" s="1" t="s">
        <v>1239</v>
      </c>
      <c r="C272" s="1" t="s">
        <v>1240</v>
      </c>
      <c r="D272" s="1" t="s">
        <v>1241</v>
      </c>
      <c r="E272" s="1" t="s">
        <v>21</v>
      </c>
      <c r="F272" s="1" t="s">
        <v>1242</v>
      </c>
      <c r="G272" s="1" t="s">
        <v>1243</v>
      </c>
      <c r="H272" s="1" t="s">
        <v>24</v>
      </c>
      <c r="I272" s="1" t="s">
        <v>25</v>
      </c>
      <c r="J272" s="1" t="s">
        <v>164</v>
      </c>
      <c r="K272" s="1" t="s">
        <v>92</v>
      </c>
      <c r="L272">
        <v>77036</v>
      </c>
      <c r="M272" s="1" t="s">
        <v>93</v>
      </c>
      <c r="N272" s="1" t="s">
        <v>1244</v>
      </c>
      <c r="O272" s="1" t="s">
        <v>43</v>
      </c>
      <c r="P272" s="1" t="s">
        <v>105</v>
      </c>
      <c r="Q272" s="1" t="s">
        <v>1245</v>
      </c>
      <c r="R272">
        <v>35.951999999999998</v>
      </c>
      <c r="S272" s="1"/>
      <c r="T272" s="1" t="str">
        <f>IF(O272="Furniture","Cardbaord",O272)</f>
        <v>Office Supplies</v>
      </c>
      <c r="U272" s="1" t="str">
        <f>IF(O272="furniture","cardbaord",IF(O272="office supplies","OS",O272))</f>
        <v>OS</v>
      </c>
    </row>
    <row r="273" spans="1:21" x14ac:dyDescent="0.3">
      <c r="A273">
        <v>529</v>
      </c>
      <c r="B273" s="1" t="s">
        <v>1510</v>
      </c>
      <c r="C273" s="1" t="s">
        <v>336</v>
      </c>
      <c r="D273" s="1" t="s">
        <v>1511</v>
      </c>
      <c r="E273" s="1" t="s">
        <v>49</v>
      </c>
      <c r="F273" s="1" t="s">
        <v>1512</v>
      </c>
      <c r="G273" s="1" t="s">
        <v>1513</v>
      </c>
      <c r="H273" s="1" t="s">
        <v>24</v>
      </c>
      <c r="I273" s="1" t="s">
        <v>25</v>
      </c>
      <c r="J273" s="1" t="s">
        <v>139</v>
      </c>
      <c r="K273" s="1" t="s">
        <v>140</v>
      </c>
      <c r="L273">
        <v>19134</v>
      </c>
      <c r="M273" s="1" t="s">
        <v>141</v>
      </c>
      <c r="N273" s="1" t="s">
        <v>1514</v>
      </c>
      <c r="O273" s="1" t="s">
        <v>43</v>
      </c>
      <c r="P273" s="1" t="s">
        <v>105</v>
      </c>
      <c r="Q273" s="1" t="s">
        <v>1515</v>
      </c>
      <c r="R273">
        <v>36.335999999999999</v>
      </c>
      <c r="S273" s="1"/>
      <c r="T273" s="1" t="str">
        <f>IF(O273="Furniture","Cardbaord",O273)</f>
        <v>Office Supplies</v>
      </c>
      <c r="U273" s="1" t="str">
        <f>IF(O273="furniture","cardbaord",IF(O273="office supplies","OS",O273))</f>
        <v>OS</v>
      </c>
    </row>
    <row r="274" spans="1:21" x14ac:dyDescent="0.3">
      <c r="A274">
        <v>2356</v>
      </c>
      <c r="B274" s="1" t="s">
        <v>3441</v>
      </c>
      <c r="C274" s="1" t="s">
        <v>2377</v>
      </c>
      <c r="D274" s="1" t="s">
        <v>3442</v>
      </c>
      <c r="E274" s="1" t="s">
        <v>169</v>
      </c>
      <c r="F274" s="1" t="s">
        <v>3443</v>
      </c>
      <c r="G274" s="1" t="s">
        <v>3444</v>
      </c>
      <c r="H274" s="1" t="s">
        <v>38</v>
      </c>
      <c r="I274" s="1" t="s">
        <v>25</v>
      </c>
      <c r="J274" s="1" t="s">
        <v>121</v>
      </c>
      <c r="K274" s="1" t="s">
        <v>40</v>
      </c>
      <c r="L274">
        <v>94122</v>
      </c>
      <c r="M274" s="1" t="s">
        <v>41</v>
      </c>
      <c r="N274" s="1" t="s">
        <v>3445</v>
      </c>
      <c r="O274" s="1" t="s">
        <v>174</v>
      </c>
      <c r="P274" s="1" t="s">
        <v>217</v>
      </c>
      <c r="Q274" s="1" t="s">
        <v>3446</v>
      </c>
      <c r="R274">
        <v>36.51</v>
      </c>
      <c r="S274" s="1"/>
      <c r="T274" s="1" t="str">
        <f>IF(O274="Furniture","Cardbaord",O274)</f>
        <v>Technology</v>
      </c>
      <c r="U274" s="1" t="str">
        <f>IF(O274="furniture","cardbaord",IF(O274="office supplies","OS",O274))</f>
        <v>Technology</v>
      </c>
    </row>
    <row r="275" spans="1:21" x14ac:dyDescent="0.3">
      <c r="A275">
        <v>1038</v>
      </c>
      <c r="B275" s="1" t="s">
        <v>2432</v>
      </c>
      <c r="C275" s="1" t="s">
        <v>2433</v>
      </c>
      <c r="D275" s="1" t="s">
        <v>2434</v>
      </c>
      <c r="E275" s="1" t="s">
        <v>169</v>
      </c>
      <c r="F275" s="1" t="s">
        <v>2435</v>
      </c>
      <c r="G275" s="1" t="s">
        <v>2436</v>
      </c>
      <c r="H275" s="1" t="s">
        <v>24</v>
      </c>
      <c r="I275" s="1" t="s">
        <v>25</v>
      </c>
      <c r="J275" s="1" t="s">
        <v>39</v>
      </c>
      <c r="K275" s="1" t="s">
        <v>40</v>
      </c>
      <c r="L275">
        <v>90004</v>
      </c>
      <c r="M275" s="1" t="s">
        <v>41</v>
      </c>
      <c r="N275" s="1" t="s">
        <v>2437</v>
      </c>
      <c r="O275" s="1" t="s">
        <v>43</v>
      </c>
      <c r="P275" s="1" t="s">
        <v>83</v>
      </c>
      <c r="Q275" s="1" t="s">
        <v>2438</v>
      </c>
      <c r="R275">
        <v>36.624000000000002</v>
      </c>
      <c r="S275" s="1"/>
      <c r="T275" s="1" t="str">
        <f>IF(O275="Furniture","Cardbaord",O275)</f>
        <v>Office Supplies</v>
      </c>
      <c r="U275" s="1" t="str">
        <f>IF(O275="furniture","cardbaord",IF(O275="office supplies","OS",O275))</f>
        <v>OS</v>
      </c>
    </row>
    <row r="276" spans="1:21" x14ac:dyDescent="0.3">
      <c r="A276">
        <v>269</v>
      </c>
      <c r="B276" s="1" t="s">
        <v>911</v>
      </c>
      <c r="C276" s="1" t="s">
        <v>314</v>
      </c>
      <c r="D276" s="1" t="s">
        <v>912</v>
      </c>
      <c r="E276" s="1" t="s">
        <v>49</v>
      </c>
      <c r="F276" s="1" t="s">
        <v>913</v>
      </c>
      <c r="G276" s="1" t="s">
        <v>914</v>
      </c>
      <c r="H276" s="1" t="s">
        <v>38</v>
      </c>
      <c r="I276" s="1" t="s">
        <v>25</v>
      </c>
      <c r="J276" s="1" t="s">
        <v>915</v>
      </c>
      <c r="K276" s="1" t="s">
        <v>471</v>
      </c>
      <c r="L276">
        <v>45231</v>
      </c>
      <c r="M276" s="1" t="s">
        <v>141</v>
      </c>
      <c r="N276" s="1" t="s">
        <v>916</v>
      </c>
      <c r="O276" s="1" t="s">
        <v>43</v>
      </c>
      <c r="P276" s="1" t="s">
        <v>105</v>
      </c>
      <c r="Q276" s="1" t="s">
        <v>917</v>
      </c>
      <c r="R276">
        <v>37.207999999999998</v>
      </c>
      <c r="S276" s="1"/>
      <c r="T276" s="1" t="str">
        <f>IF(O276="Furniture","Cardbaord",O276)</f>
        <v>Office Supplies</v>
      </c>
      <c r="U276" s="1" t="str">
        <f>IF(O276="furniture","cardbaord",IF(O276="office supplies","OS",O276))</f>
        <v>OS</v>
      </c>
    </row>
    <row r="277" spans="1:21" x14ac:dyDescent="0.3">
      <c r="A277">
        <v>188</v>
      </c>
      <c r="B277" s="1" t="s">
        <v>692</v>
      </c>
      <c r="C277" s="1" t="s">
        <v>693</v>
      </c>
      <c r="D277" s="1" t="s">
        <v>196</v>
      </c>
      <c r="E277" s="1" t="s">
        <v>49</v>
      </c>
      <c r="F277" s="1" t="s">
        <v>694</v>
      </c>
      <c r="G277" s="1" t="s">
        <v>695</v>
      </c>
      <c r="H277" s="1" t="s">
        <v>38</v>
      </c>
      <c r="I277" s="1" t="s">
        <v>25</v>
      </c>
      <c r="J277" s="1" t="s">
        <v>696</v>
      </c>
      <c r="K277" s="1" t="s">
        <v>92</v>
      </c>
      <c r="L277">
        <v>75051</v>
      </c>
      <c r="M277" s="1" t="s">
        <v>93</v>
      </c>
      <c r="N277" s="1" t="s">
        <v>697</v>
      </c>
      <c r="O277" s="1" t="s">
        <v>43</v>
      </c>
      <c r="P277" s="1" t="s">
        <v>105</v>
      </c>
      <c r="Q277" s="1" t="s">
        <v>698</v>
      </c>
      <c r="R277">
        <v>37.223999999999997</v>
      </c>
      <c r="S277" s="1"/>
      <c r="T277" s="1" t="str">
        <f>IF(O277="Furniture","Cardbaord",O277)</f>
        <v>Office Supplies</v>
      </c>
      <c r="U277" s="1" t="str">
        <f>IF(O277="furniture","cardbaord",IF(O277="office supplies","OS",O277))</f>
        <v>OS</v>
      </c>
    </row>
    <row r="278" spans="1:21" x14ac:dyDescent="0.3">
      <c r="A278">
        <v>843</v>
      </c>
      <c r="B278" s="1" t="s">
        <v>2127</v>
      </c>
      <c r="C278" s="1" t="s">
        <v>620</v>
      </c>
      <c r="D278" s="1" t="s">
        <v>2128</v>
      </c>
      <c r="E278" s="1" t="s">
        <v>169</v>
      </c>
      <c r="F278" s="1" t="s">
        <v>2129</v>
      </c>
      <c r="G278" s="1" t="s">
        <v>2130</v>
      </c>
      <c r="H278" s="1" t="s">
        <v>38</v>
      </c>
      <c r="I278" s="1" t="s">
        <v>25</v>
      </c>
      <c r="J278" s="1" t="s">
        <v>39</v>
      </c>
      <c r="K278" s="1" t="s">
        <v>40</v>
      </c>
      <c r="L278">
        <v>90036</v>
      </c>
      <c r="M278" s="1" t="s">
        <v>41</v>
      </c>
      <c r="N278" s="1" t="s">
        <v>2131</v>
      </c>
      <c r="O278" s="1" t="s">
        <v>43</v>
      </c>
      <c r="P278" s="1" t="s">
        <v>83</v>
      </c>
      <c r="Q278" s="1" t="s">
        <v>2132</v>
      </c>
      <c r="R278">
        <v>37.44</v>
      </c>
      <c r="S278" s="1"/>
      <c r="T278" s="1" t="str">
        <f>IF(O278="Furniture","Cardbaord",O278)</f>
        <v>Office Supplies</v>
      </c>
      <c r="U278" s="1" t="str">
        <f>IF(O278="furniture","cardbaord",IF(O278="office supplies","OS",O278))</f>
        <v>OS</v>
      </c>
    </row>
    <row r="279" spans="1:21" x14ac:dyDescent="0.3">
      <c r="A279">
        <v>1847</v>
      </c>
      <c r="B279" s="1" t="s">
        <v>3171</v>
      </c>
      <c r="C279" s="1" t="s">
        <v>3172</v>
      </c>
      <c r="D279" s="1" t="s">
        <v>3173</v>
      </c>
      <c r="E279" s="1" t="s">
        <v>21</v>
      </c>
      <c r="F279" s="1" t="s">
        <v>3174</v>
      </c>
      <c r="G279" s="1" t="s">
        <v>3175</v>
      </c>
      <c r="H279" s="1" t="s">
        <v>90</v>
      </c>
      <c r="I279" s="1" t="s">
        <v>25</v>
      </c>
      <c r="J279" s="1" t="s">
        <v>81</v>
      </c>
      <c r="K279" s="1" t="s">
        <v>3020</v>
      </c>
      <c r="L279">
        <v>20016</v>
      </c>
      <c r="M279" s="1" t="s">
        <v>141</v>
      </c>
      <c r="N279" s="1" t="s">
        <v>3176</v>
      </c>
      <c r="O279" s="1" t="s">
        <v>30</v>
      </c>
      <c r="P279" s="1" t="s">
        <v>63</v>
      </c>
      <c r="Q279" s="1" t="s">
        <v>3177</v>
      </c>
      <c r="R279">
        <v>37.68</v>
      </c>
      <c r="S279" s="1"/>
      <c r="T279" s="1" t="str">
        <f>IF(O279="Furniture","Cardbaord",O279)</f>
        <v>Cardbaord</v>
      </c>
      <c r="U279" s="1" t="str">
        <f>IF(O279="furniture","cardbaord",IF(O279="office supplies","OS",O279))</f>
        <v>cardbaord</v>
      </c>
    </row>
    <row r="280" spans="1:21" x14ac:dyDescent="0.3">
      <c r="A280">
        <v>1416</v>
      </c>
      <c r="B280" s="1" t="s">
        <v>2817</v>
      </c>
      <c r="C280" s="1" t="s">
        <v>2818</v>
      </c>
      <c r="D280" s="1" t="s">
        <v>2819</v>
      </c>
      <c r="E280" s="1" t="s">
        <v>21</v>
      </c>
      <c r="F280" s="1" t="s">
        <v>2820</v>
      </c>
      <c r="G280" s="1" t="s">
        <v>2821</v>
      </c>
      <c r="H280" s="1" t="s">
        <v>90</v>
      </c>
      <c r="I280" s="1" t="s">
        <v>25</v>
      </c>
      <c r="J280" s="1" t="s">
        <v>2822</v>
      </c>
      <c r="K280" s="1" t="s">
        <v>40</v>
      </c>
      <c r="L280">
        <v>92627</v>
      </c>
      <c r="M280" s="1" t="s">
        <v>41</v>
      </c>
      <c r="N280" s="1" t="s">
        <v>2823</v>
      </c>
      <c r="O280" s="1" t="s">
        <v>30</v>
      </c>
      <c r="P280" s="1" t="s">
        <v>63</v>
      </c>
      <c r="Q280" s="1" t="s">
        <v>2824</v>
      </c>
      <c r="R280">
        <v>37.74</v>
      </c>
      <c r="S280" s="1"/>
      <c r="T280" s="1" t="str">
        <f>IF(O280="Furniture","Cardbaord",O280)</f>
        <v>Cardbaord</v>
      </c>
      <c r="U280" s="1" t="str">
        <f>IF(O280="furniture","cardbaord",IF(O280="office supplies","OS",O280))</f>
        <v>cardbaord</v>
      </c>
    </row>
    <row r="281" spans="1:21" x14ac:dyDescent="0.3">
      <c r="A281">
        <v>2241</v>
      </c>
      <c r="B281" s="1" t="s">
        <v>3386</v>
      </c>
      <c r="C281" s="1" t="s">
        <v>2557</v>
      </c>
      <c r="D281" s="1" t="s">
        <v>3387</v>
      </c>
      <c r="E281" s="1" t="s">
        <v>21</v>
      </c>
      <c r="F281" s="1" t="s">
        <v>3388</v>
      </c>
      <c r="G281" s="1" t="s">
        <v>3389</v>
      </c>
      <c r="H281" s="1" t="s">
        <v>24</v>
      </c>
      <c r="I281" s="1" t="s">
        <v>25</v>
      </c>
      <c r="J281" s="1" t="s">
        <v>39</v>
      </c>
      <c r="K281" s="1" t="s">
        <v>40</v>
      </c>
      <c r="L281">
        <v>90049</v>
      </c>
      <c r="M281" s="1" t="s">
        <v>41</v>
      </c>
      <c r="N281" s="1" t="s">
        <v>3390</v>
      </c>
      <c r="O281" s="1" t="s">
        <v>43</v>
      </c>
      <c r="P281" s="1" t="s">
        <v>83</v>
      </c>
      <c r="Q281" s="1" t="s">
        <v>3391</v>
      </c>
      <c r="R281">
        <v>38.136000000000003</v>
      </c>
      <c r="S281" s="1"/>
      <c r="T281" s="1" t="str">
        <f>IF(O281="Furniture","Cardbaord",O281)</f>
        <v>Office Supplies</v>
      </c>
      <c r="U281" s="1" t="str">
        <f>IF(O281="furniture","cardbaord",IF(O281="office supplies","OS",O281))</f>
        <v>OS</v>
      </c>
    </row>
    <row r="282" spans="1:21" x14ac:dyDescent="0.3">
      <c r="A282">
        <v>50</v>
      </c>
      <c r="B282" s="1" t="s">
        <v>237</v>
      </c>
      <c r="C282" s="1" t="s">
        <v>238</v>
      </c>
      <c r="D282" s="1" t="s">
        <v>239</v>
      </c>
      <c r="E282" s="1" t="s">
        <v>49</v>
      </c>
      <c r="F282" s="1" t="s">
        <v>240</v>
      </c>
      <c r="G282" s="1" t="s">
        <v>241</v>
      </c>
      <c r="H282" s="1" t="s">
        <v>24</v>
      </c>
      <c r="I282" s="1" t="s">
        <v>25</v>
      </c>
      <c r="J282" s="1" t="s">
        <v>242</v>
      </c>
      <c r="K282" s="1" t="s">
        <v>243</v>
      </c>
      <c r="L282">
        <v>47150</v>
      </c>
      <c r="M282" s="1" t="s">
        <v>93</v>
      </c>
      <c r="N282" s="1" t="s">
        <v>244</v>
      </c>
      <c r="O282" s="1" t="s">
        <v>43</v>
      </c>
      <c r="P282" s="1" t="s">
        <v>83</v>
      </c>
      <c r="Q282" s="1" t="s">
        <v>245</v>
      </c>
      <c r="R282">
        <v>38.22</v>
      </c>
      <c r="S282" s="1"/>
      <c r="T282" s="1" t="str">
        <f>IF(O282="Furniture","Cardbaord",O282)</f>
        <v>Office Supplies</v>
      </c>
      <c r="U282" s="1" t="str">
        <f>IF(O282="furniture","cardbaord",IF(O282="office supplies","OS",O282))</f>
        <v>OS</v>
      </c>
    </row>
    <row r="283" spans="1:21" x14ac:dyDescent="0.3">
      <c r="A283">
        <v>1315</v>
      </c>
      <c r="B283" s="1" t="s">
        <v>2717</v>
      </c>
      <c r="C283" s="1" t="s">
        <v>955</v>
      </c>
      <c r="D283" s="1" t="s">
        <v>2718</v>
      </c>
      <c r="E283" s="1" t="s">
        <v>49</v>
      </c>
      <c r="F283" s="1" t="s">
        <v>2719</v>
      </c>
      <c r="G283" s="1" t="s">
        <v>2720</v>
      </c>
      <c r="H283" s="1" t="s">
        <v>38</v>
      </c>
      <c r="I283" s="1" t="s">
        <v>25</v>
      </c>
      <c r="J283" s="1" t="s">
        <v>39</v>
      </c>
      <c r="K283" s="1" t="s">
        <v>40</v>
      </c>
      <c r="L283">
        <v>90032</v>
      </c>
      <c r="M283" s="1" t="s">
        <v>41</v>
      </c>
      <c r="N283" s="1" t="s">
        <v>2721</v>
      </c>
      <c r="O283" s="1" t="s">
        <v>43</v>
      </c>
      <c r="P283" s="1" t="s">
        <v>73</v>
      </c>
      <c r="Q283" s="1" t="s">
        <v>2722</v>
      </c>
      <c r="R283">
        <v>38.880000000000003</v>
      </c>
      <c r="S283" s="1"/>
      <c r="T283" s="1" t="str">
        <f>IF(O283="Furniture","Cardbaord",O283)</f>
        <v>Office Supplies</v>
      </c>
      <c r="U283" s="1" t="str">
        <f>IF(O283="furniture","cardbaord",IF(O283="office supplies","OS",O283))</f>
        <v>OS</v>
      </c>
    </row>
    <row r="284" spans="1:21" x14ac:dyDescent="0.3">
      <c r="A284">
        <v>3977</v>
      </c>
      <c r="B284" s="1" t="s">
        <v>3927</v>
      </c>
      <c r="C284" s="1" t="s">
        <v>3928</v>
      </c>
      <c r="D284" s="1" t="s">
        <v>3929</v>
      </c>
      <c r="E284" s="1" t="s">
        <v>169</v>
      </c>
      <c r="F284" s="1" t="s">
        <v>3930</v>
      </c>
      <c r="G284" s="1" t="s">
        <v>3931</v>
      </c>
      <c r="H284" s="1" t="s">
        <v>24</v>
      </c>
      <c r="I284" s="1" t="s">
        <v>25</v>
      </c>
      <c r="J284" s="1" t="s">
        <v>1673</v>
      </c>
      <c r="K284" s="1" t="s">
        <v>294</v>
      </c>
      <c r="L284">
        <v>23223</v>
      </c>
      <c r="M284" s="1" t="s">
        <v>28</v>
      </c>
      <c r="N284" s="1" t="s">
        <v>3932</v>
      </c>
      <c r="O284" s="1" t="s">
        <v>30</v>
      </c>
      <c r="P284" s="1" t="s">
        <v>63</v>
      </c>
      <c r="Q284" s="1" t="s">
        <v>3933</v>
      </c>
      <c r="R284">
        <v>39.92</v>
      </c>
      <c r="S284" s="1"/>
      <c r="T284" s="1" t="str">
        <f>IF(O284="Furniture","Cardbaord",O284)</f>
        <v>Cardbaord</v>
      </c>
      <c r="U284" s="1" t="str">
        <f>IF(O284="furniture","cardbaord",IF(O284="office supplies","OS",O284))</f>
        <v>cardbaord</v>
      </c>
    </row>
    <row r="285" spans="1:21" x14ac:dyDescent="0.3">
      <c r="A285">
        <v>856</v>
      </c>
      <c r="B285" s="1" t="s">
        <v>2154</v>
      </c>
      <c r="C285" s="1" t="s">
        <v>737</v>
      </c>
      <c r="D285" s="1" t="s">
        <v>1693</v>
      </c>
      <c r="E285" s="1" t="s">
        <v>49</v>
      </c>
      <c r="F285" s="1" t="s">
        <v>2155</v>
      </c>
      <c r="G285" s="1" t="s">
        <v>2156</v>
      </c>
      <c r="H285" s="1" t="s">
        <v>24</v>
      </c>
      <c r="I285" s="1" t="s">
        <v>25</v>
      </c>
      <c r="J285" s="1" t="s">
        <v>251</v>
      </c>
      <c r="K285" s="1" t="s">
        <v>252</v>
      </c>
      <c r="L285">
        <v>10035</v>
      </c>
      <c r="M285" s="1" t="s">
        <v>141</v>
      </c>
      <c r="N285" s="1" t="s">
        <v>2157</v>
      </c>
      <c r="O285" s="1" t="s">
        <v>43</v>
      </c>
      <c r="P285" s="1" t="s">
        <v>73</v>
      </c>
      <c r="Q285" s="1" t="s">
        <v>2158</v>
      </c>
      <c r="R285">
        <v>39.96</v>
      </c>
      <c r="S285" s="1"/>
      <c r="T285" s="1" t="str">
        <f>IF(O285="Furniture","Cardbaord",O285)</f>
        <v>Office Supplies</v>
      </c>
      <c r="U285" s="1" t="str">
        <f>IF(O285="furniture","cardbaord",IF(O285="office supplies","OS",O285))</f>
        <v>OS</v>
      </c>
    </row>
    <row r="286" spans="1:21" x14ac:dyDescent="0.3">
      <c r="A286">
        <v>114</v>
      </c>
      <c r="B286" s="1" t="s">
        <v>466</v>
      </c>
      <c r="C286" s="1" t="s">
        <v>467</v>
      </c>
      <c r="D286" s="1" t="s">
        <v>117</v>
      </c>
      <c r="E286" s="1" t="s">
        <v>21</v>
      </c>
      <c r="F286" s="1" t="s">
        <v>468</v>
      </c>
      <c r="G286" s="1" t="s">
        <v>469</v>
      </c>
      <c r="H286" s="1" t="s">
        <v>24</v>
      </c>
      <c r="I286" s="1" t="s">
        <v>25</v>
      </c>
      <c r="J286" s="1" t="s">
        <v>470</v>
      </c>
      <c r="K286" s="1" t="s">
        <v>471</v>
      </c>
      <c r="L286">
        <v>43229</v>
      </c>
      <c r="M286" s="1" t="s">
        <v>141</v>
      </c>
      <c r="N286" s="1" t="s">
        <v>472</v>
      </c>
      <c r="O286" s="1" t="s">
        <v>43</v>
      </c>
      <c r="P286" s="1" t="s">
        <v>254</v>
      </c>
      <c r="Q286" s="1" t="s">
        <v>473</v>
      </c>
      <c r="R286">
        <v>40.095999999999997</v>
      </c>
      <c r="S286" s="1"/>
      <c r="T286" s="1" t="str">
        <f>IF(O286="Furniture","Cardbaord",O286)</f>
        <v>Office Supplies</v>
      </c>
      <c r="U286" s="1" t="str">
        <f>IF(O286="furniture","cardbaord",IF(O286="office supplies","OS",O286))</f>
        <v>OS</v>
      </c>
    </row>
    <row r="287" spans="1:21" x14ac:dyDescent="0.3">
      <c r="A287">
        <v>3884</v>
      </c>
      <c r="B287" s="1" t="s">
        <v>3891</v>
      </c>
      <c r="C287" s="1" t="s">
        <v>3892</v>
      </c>
      <c r="D287" s="1" t="s">
        <v>3893</v>
      </c>
      <c r="E287" s="1" t="s">
        <v>49</v>
      </c>
      <c r="F287" s="1" t="s">
        <v>3894</v>
      </c>
      <c r="G287" s="1" t="s">
        <v>3895</v>
      </c>
      <c r="H287" s="1" t="s">
        <v>24</v>
      </c>
      <c r="I287" s="1" t="s">
        <v>25</v>
      </c>
      <c r="J287" s="1" t="s">
        <v>284</v>
      </c>
      <c r="K287" s="1" t="s">
        <v>285</v>
      </c>
      <c r="L287">
        <v>85234</v>
      </c>
      <c r="M287" s="1" t="s">
        <v>41</v>
      </c>
      <c r="N287" s="1" t="s">
        <v>3896</v>
      </c>
      <c r="O287" s="1" t="s">
        <v>30</v>
      </c>
      <c r="P287" s="1" t="s">
        <v>63</v>
      </c>
      <c r="Q287" s="1" t="s">
        <v>3897</v>
      </c>
      <c r="R287">
        <v>40.256</v>
      </c>
      <c r="S287" s="1"/>
      <c r="T287" s="1" t="str">
        <f>IF(O287="Furniture","Cardbaord",O287)</f>
        <v>Cardbaord</v>
      </c>
      <c r="U287" s="1" t="str">
        <f>IF(O287="furniture","cardbaord",IF(O287="office supplies","OS",O287))</f>
        <v>cardbaord</v>
      </c>
    </row>
    <row r="288" spans="1:21" x14ac:dyDescent="0.3">
      <c r="A288">
        <v>617</v>
      </c>
      <c r="B288" s="1" t="s">
        <v>1746</v>
      </c>
      <c r="C288" s="1" t="s">
        <v>1747</v>
      </c>
      <c r="D288" s="1" t="s">
        <v>1296</v>
      </c>
      <c r="E288" s="1" t="s">
        <v>21</v>
      </c>
      <c r="F288" s="1" t="s">
        <v>1748</v>
      </c>
      <c r="G288" s="1" t="s">
        <v>1749</v>
      </c>
      <c r="H288" s="1" t="s">
        <v>38</v>
      </c>
      <c r="I288" s="1" t="s">
        <v>25</v>
      </c>
      <c r="J288" s="1" t="s">
        <v>251</v>
      </c>
      <c r="K288" s="1" t="s">
        <v>252</v>
      </c>
      <c r="L288">
        <v>10011</v>
      </c>
      <c r="M288" s="1" t="s">
        <v>141</v>
      </c>
      <c r="N288" s="1" t="s">
        <v>1750</v>
      </c>
      <c r="O288" s="1" t="s">
        <v>30</v>
      </c>
      <c r="P288" s="1" t="s">
        <v>63</v>
      </c>
      <c r="Q288" s="1" t="s">
        <v>1751</v>
      </c>
      <c r="R288">
        <v>40.479999999999997</v>
      </c>
      <c r="S288" s="1"/>
      <c r="T288" s="1" t="str">
        <f>IF(O288="Furniture","Cardbaord",O288)</f>
        <v>Cardbaord</v>
      </c>
      <c r="U288" s="1" t="str">
        <f>IF(O288="furniture","cardbaord",IF(O288="office supplies","OS",O288))</f>
        <v>cardbaord</v>
      </c>
    </row>
    <row r="289" spans="1:21" x14ac:dyDescent="0.3">
      <c r="A289">
        <v>1575</v>
      </c>
      <c r="B289" s="1" t="s">
        <v>2954</v>
      </c>
      <c r="C289" s="1" t="s">
        <v>2955</v>
      </c>
      <c r="D289" s="1" t="s">
        <v>2956</v>
      </c>
      <c r="E289" s="1" t="s">
        <v>169</v>
      </c>
      <c r="F289" s="1" t="s">
        <v>2957</v>
      </c>
      <c r="G289" s="1" t="s">
        <v>2958</v>
      </c>
      <c r="H289" s="1" t="s">
        <v>24</v>
      </c>
      <c r="I289" s="1" t="s">
        <v>25</v>
      </c>
      <c r="J289" s="1" t="s">
        <v>2959</v>
      </c>
      <c r="K289" s="1" t="s">
        <v>92</v>
      </c>
      <c r="L289">
        <v>79907</v>
      </c>
      <c r="M289" s="1" t="s">
        <v>93</v>
      </c>
      <c r="N289" s="1" t="s">
        <v>2960</v>
      </c>
      <c r="O289" s="1" t="s">
        <v>174</v>
      </c>
      <c r="P289" s="1" t="s">
        <v>175</v>
      </c>
      <c r="Q289" s="1" t="s">
        <v>2961</v>
      </c>
      <c r="R289">
        <v>40.68</v>
      </c>
      <c r="S289" s="1"/>
      <c r="T289" s="1" t="str">
        <f>IF(O289="Furniture","Cardbaord",O289)</f>
        <v>Technology</v>
      </c>
      <c r="U289" s="1" t="str">
        <f>IF(O289="furniture","cardbaord",IF(O289="office supplies","OS",O289))</f>
        <v>Technology</v>
      </c>
    </row>
    <row r="290" spans="1:21" x14ac:dyDescent="0.3">
      <c r="A290">
        <v>1536</v>
      </c>
      <c r="B290" s="1" t="s">
        <v>2930</v>
      </c>
      <c r="C290" s="1" t="s">
        <v>1168</v>
      </c>
      <c r="D290" s="1" t="s">
        <v>2931</v>
      </c>
      <c r="E290" s="1" t="s">
        <v>49</v>
      </c>
      <c r="F290" s="1" t="s">
        <v>2932</v>
      </c>
      <c r="G290" s="1" t="s">
        <v>2933</v>
      </c>
      <c r="H290" s="1" t="s">
        <v>38</v>
      </c>
      <c r="I290" s="1" t="s">
        <v>25</v>
      </c>
      <c r="J290" s="1" t="s">
        <v>2934</v>
      </c>
      <c r="K290" s="1" t="s">
        <v>718</v>
      </c>
      <c r="L290">
        <v>8302</v>
      </c>
      <c r="M290" s="1" t="s">
        <v>141</v>
      </c>
      <c r="N290" s="1" t="s">
        <v>2935</v>
      </c>
      <c r="O290" s="1" t="s">
        <v>43</v>
      </c>
      <c r="P290" s="1" t="s">
        <v>105</v>
      </c>
      <c r="Q290" s="1" t="s">
        <v>2936</v>
      </c>
      <c r="R290">
        <v>40.74</v>
      </c>
      <c r="S290" s="1"/>
      <c r="T290" s="1" t="str">
        <f>IF(O290="Furniture","Cardbaord",O290)</f>
        <v>Office Supplies</v>
      </c>
      <c r="U290" s="1" t="str">
        <f>IF(O290="furniture","cardbaord",IF(O290="office supplies","OS",O290))</f>
        <v>OS</v>
      </c>
    </row>
    <row r="291" spans="1:21" x14ac:dyDescent="0.3">
      <c r="A291">
        <v>1077</v>
      </c>
      <c r="B291" s="1" t="s">
        <v>2493</v>
      </c>
      <c r="C291" s="1" t="s">
        <v>2172</v>
      </c>
      <c r="D291" s="1" t="s">
        <v>2494</v>
      </c>
      <c r="E291" s="1" t="s">
        <v>169</v>
      </c>
      <c r="F291" s="1" t="s">
        <v>2495</v>
      </c>
      <c r="G291" s="1" t="s">
        <v>2496</v>
      </c>
      <c r="H291" s="1" t="s">
        <v>90</v>
      </c>
      <c r="I291" s="1" t="s">
        <v>25</v>
      </c>
      <c r="J291" s="1" t="s">
        <v>470</v>
      </c>
      <c r="K291" s="1" t="s">
        <v>243</v>
      </c>
      <c r="L291">
        <v>47201</v>
      </c>
      <c r="M291" s="1" t="s">
        <v>93</v>
      </c>
      <c r="N291" s="1" t="s">
        <v>2497</v>
      </c>
      <c r="O291" s="1" t="s">
        <v>43</v>
      </c>
      <c r="P291" s="1" t="s">
        <v>123</v>
      </c>
      <c r="Q291" s="1" t="s">
        <v>2498</v>
      </c>
      <c r="R291">
        <v>40.880000000000003</v>
      </c>
      <c r="S291" s="1"/>
      <c r="T291" s="1" t="str">
        <f>IF(O291="Furniture","Cardbaord",O291)</f>
        <v>Office Supplies</v>
      </c>
      <c r="U291" s="1" t="str">
        <f>IF(O291="furniture","cardbaord",IF(O291="office supplies","OS",O291))</f>
        <v>OS</v>
      </c>
    </row>
    <row r="292" spans="1:21" x14ac:dyDescent="0.3">
      <c r="A292">
        <v>547</v>
      </c>
      <c r="B292" s="1" t="s">
        <v>1566</v>
      </c>
      <c r="C292" s="1" t="s">
        <v>1567</v>
      </c>
      <c r="D292" s="1" t="s">
        <v>1568</v>
      </c>
      <c r="E292" s="1" t="s">
        <v>169</v>
      </c>
      <c r="F292" s="1" t="s">
        <v>1569</v>
      </c>
      <c r="G292" s="1" t="s">
        <v>1570</v>
      </c>
      <c r="H292" s="1" t="s">
        <v>90</v>
      </c>
      <c r="I292" s="1" t="s">
        <v>25</v>
      </c>
      <c r="J292" s="1" t="s">
        <v>251</v>
      </c>
      <c r="K292" s="1" t="s">
        <v>252</v>
      </c>
      <c r="L292">
        <v>10035</v>
      </c>
      <c r="M292" s="1" t="s">
        <v>141</v>
      </c>
      <c r="N292" s="1" t="s">
        <v>1571</v>
      </c>
      <c r="O292" s="1" t="s">
        <v>43</v>
      </c>
      <c r="P292" s="1" t="s">
        <v>83</v>
      </c>
      <c r="Q292" s="1" t="s">
        <v>1572</v>
      </c>
      <c r="R292">
        <v>41.28</v>
      </c>
      <c r="S292" s="1"/>
      <c r="T292" s="1" t="str">
        <f>IF(O292="Furniture","Cardbaord",O292)</f>
        <v>Office Supplies</v>
      </c>
      <c r="U292" s="1" t="str">
        <f>IF(O292="furniture","cardbaord",IF(O292="office supplies","OS",O292))</f>
        <v>OS</v>
      </c>
    </row>
    <row r="293" spans="1:21" x14ac:dyDescent="0.3">
      <c r="A293">
        <v>1210</v>
      </c>
      <c r="B293" s="1" t="s">
        <v>2602</v>
      </c>
      <c r="C293" s="1" t="s">
        <v>1700</v>
      </c>
      <c r="D293" s="1" t="s">
        <v>2603</v>
      </c>
      <c r="E293" s="1" t="s">
        <v>21</v>
      </c>
      <c r="F293" s="1" t="s">
        <v>2604</v>
      </c>
      <c r="G293" s="1" t="s">
        <v>2605</v>
      </c>
      <c r="H293" s="1" t="s">
        <v>38</v>
      </c>
      <c r="I293" s="1" t="s">
        <v>25</v>
      </c>
      <c r="J293" s="1" t="s">
        <v>251</v>
      </c>
      <c r="K293" s="1" t="s">
        <v>252</v>
      </c>
      <c r="L293">
        <v>10009</v>
      </c>
      <c r="M293" s="1" t="s">
        <v>141</v>
      </c>
      <c r="N293" s="1" t="s">
        <v>2606</v>
      </c>
      <c r="O293" s="1" t="s">
        <v>43</v>
      </c>
      <c r="P293" s="1" t="s">
        <v>123</v>
      </c>
      <c r="Q293" s="1" t="s">
        <v>2607</v>
      </c>
      <c r="R293">
        <v>41.86</v>
      </c>
      <c r="S293" s="1"/>
      <c r="T293" s="1" t="str">
        <f>IF(O293="Furniture","Cardbaord",O293)</f>
        <v>Office Supplies</v>
      </c>
      <c r="U293" s="1" t="str">
        <f>IF(O293="furniture","cardbaord",IF(O293="office supplies","OS",O293))</f>
        <v>OS</v>
      </c>
    </row>
    <row r="294" spans="1:21" x14ac:dyDescent="0.3">
      <c r="A294">
        <v>384</v>
      </c>
      <c r="B294" s="1" t="s">
        <v>1173</v>
      </c>
      <c r="C294" s="1" t="s">
        <v>1174</v>
      </c>
      <c r="D294" s="1" t="s">
        <v>1175</v>
      </c>
      <c r="E294" s="1" t="s">
        <v>21</v>
      </c>
      <c r="F294" s="1" t="s">
        <v>1176</v>
      </c>
      <c r="G294" s="1" t="s">
        <v>1177</v>
      </c>
      <c r="H294" s="1" t="s">
        <v>38</v>
      </c>
      <c r="I294" s="1" t="s">
        <v>25</v>
      </c>
      <c r="J294" s="1" t="s">
        <v>1178</v>
      </c>
      <c r="K294" s="1" t="s">
        <v>225</v>
      </c>
      <c r="L294">
        <v>48180</v>
      </c>
      <c r="M294" s="1" t="s">
        <v>93</v>
      </c>
      <c r="N294" s="1" t="s">
        <v>1179</v>
      </c>
      <c r="O294" s="1" t="s">
        <v>174</v>
      </c>
      <c r="P294" s="1" t="s">
        <v>217</v>
      </c>
      <c r="Q294" s="1" t="s">
        <v>1180</v>
      </c>
      <c r="R294">
        <v>41.9</v>
      </c>
      <c r="S294" s="1"/>
      <c r="T294" s="1" t="str">
        <f>IF(O294="Furniture","Cardbaord",O294)</f>
        <v>Technology</v>
      </c>
      <c r="U294" s="1" t="str">
        <f>IF(O294="furniture","cardbaord",IF(O294="office supplies","OS",O294))</f>
        <v>Technology</v>
      </c>
    </row>
    <row r="295" spans="1:21" x14ac:dyDescent="0.3">
      <c r="A295">
        <v>111</v>
      </c>
      <c r="B295" s="1" t="s">
        <v>450</v>
      </c>
      <c r="C295" s="1" t="s">
        <v>451</v>
      </c>
      <c r="D295" s="1" t="s">
        <v>452</v>
      </c>
      <c r="E295" s="1" t="s">
        <v>49</v>
      </c>
      <c r="F295" s="1" t="s">
        <v>453</v>
      </c>
      <c r="G295" s="1" t="s">
        <v>454</v>
      </c>
      <c r="H295" s="1" t="s">
        <v>38</v>
      </c>
      <c r="I295" s="1" t="s">
        <v>25</v>
      </c>
      <c r="J295" s="1" t="s">
        <v>251</v>
      </c>
      <c r="K295" s="1" t="s">
        <v>252</v>
      </c>
      <c r="L295">
        <v>10035</v>
      </c>
      <c r="M295" s="1" t="s">
        <v>141</v>
      </c>
      <c r="N295" s="1" t="s">
        <v>455</v>
      </c>
      <c r="O295" s="1" t="s">
        <v>30</v>
      </c>
      <c r="P295" s="1" t="s">
        <v>63</v>
      </c>
      <c r="Q295" s="1" t="s">
        <v>456</v>
      </c>
      <c r="R295">
        <v>41.96</v>
      </c>
      <c r="S295" s="1"/>
      <c r="T295" s="1" t="str">
        <f>IF(O295="Furniture","Cardbaord",O295)</f>
        <v>Cardbaord</v>
      </c>
      <c r="U295" s="1" t="str">
        <f>IF(O295="furniture","cardbaord",IF(O295="office supplies","OS",O295))</f>
        <v>cardbaord</v>
      </c>
    </row>
    <row r="296" spans="1:21" x14ac:dyDescent="0.3">
      <c r="A296">
        <v>3970</v>
      </c>
      <c r="B296" s="1" t="s">
        <v>3920</v>
      </c>
      <c r="C296" s="1" t="s">
        <v>3921</v>
      </c>
      <c r="D296" s="1" t="s">
        <v>3922</v>
      </c>
      <c r="E296" s="1" t="s">
        <v>49</v>
      </c>
      <c r="F296" s="1" t="s">
        <v>3923</v>
      </c>
      <c r="G296" s="1" t="s">
        <v>3924</v>
      </c>
      <c r="H296" s="1" t="s">
        <v>38</v>
      </c>
      <c r="I296" s="1" t="s">
        <v>25</v>
      </c>
      <c r="J296" s="1" t="s">
        <v>630</v>
      </c>
      <c r="K296" s="1" t="s">
        <v>92</v>
      </c>
      <c r="L296">
        <v>78207</v>
      </c>
      <c r="M296" s="1" t="s">
        <v>93</v>
      </c>
      <c r="N296" s="1" t="s">
        <v>3925</v>
      </c>
      <c r="O296" s="1" t="s">
        <v>43</v>
      </c>
      <c r="P296" s="1" t="s">
        <v>73</v>
      </c>
      <c r="Q296" s="1" t="s">
        <v>3926</v>
      </c>
      <c r="R296">
        <v>42.24</v>
      </c>
      <c r="S296" s="1"/>
      <c r="T296" s="1" t="str">
        <f>IF(O296="Furniture","Cardbaord",O296)</f>
        <v>Office Supplies</v>
      </c>
      <c r="U296" s="1" t="str">
        <f>IF(O296="furniture","cardbaord",IF(O296="office supplies","OS",O296))</f>
        <v>OS</v>
      </c>
    </row>
    <row r="297" spans="1:21" x14ac:dyDescent="0.3">
      <c r="A297">
        <v>537</v>
      </c>
      <c r="B297" s="1" t="s">
        <v>1545</v>
      </c>
      <c r="C297" s="1" t="s">
        <v>1546</v>
      </c>
      <c r="D297" s="1" t="s">
        <v>1547</v>
      </c>
      <c r="E297" s="1" t="s">
        <v>21</v>
      </c>
      <c r="F297" s="1" t="s">
        <v>1548</v>
      </c>
      <c r="G297" s="1" t="s">
        <v>1549</v>
      </c>
      <c r="H297" s="1" t="s">
        <v>24</v>
      </c>
      <c r="I297" s="1" t="s">
        <v>25</v>
      </c>
      <c r="J297" s="1" t="s">
        <v>276</v>
      </c>
      <c r="K297" s="1" t="s">
        <v>191</v>
      </c>
      <c r="L297">
        <v>60653</v>
      </c>
      <c r="M297" s="1" t="s">
        <v>93</v>
      </c>
      <c r="N297" s="1" t="s">
        <v>1550</v>
      </c>
      <c r="O297" s="1" t="s">
        <v>43</v>
      </c>
      <c r="P297" s="1" t="s">
        <v>83</v>
      </c>
      <c r="Q297" s="1" t="s">
        <v>1551</v>
      </c>
      <c r="R297">
        <v>42.616</v>
      </c>
      <c r="S297" s="1"/>
      <c r="T297" s="1" t="str">
        <f>IF(O297="Furniture","Cardbaord",O297)</f>
        <v>Office Supplies</v>
      </c>
      <c r="U297" s="1" t="str">
        <f>IF(O297="furniture","cardbaord",IF(O297="office supplies","OS",O297))</f>
        <v>OS</v>
      </c>
    </row>
    <row r="298" spans="1:21" x14ac:dyDescent="0.3">
      <c r="A298">
        <v>2633</v>
      </c>
      <c r="B298" s="1" t="s">
        <v>3586</v>
      </c>
      <c r="C298" s="1" t="s">
        <v>2304</v>
      </c>
      <c r="D298" s="1" t="s">
        <v>3587</v>
      </c>
      <c r="E298" s="1" t="s">
        <v>49</v>
      </c>
      <c r="F298" s="1" t="s">
        <v>3588</v>
      </c>
      <c r="G298" s="1" t="s">
        <v>3589</v>
      </c>
      <c r="H298" s="1" t="s">
        <v>24</v>
      </c>
      <c r="I298" s="1" t="s">
        <v>25</v>
      </c>
      <c r="J298" s="1" t="s">
        <v>80</v>
      </c>
      <c r="K298" s="1" t="s">
        <v>81</v>
      </c>
      <c r="L298">
        <v>98103</v>
      </c>
      <c r="M298" s="1" t="s">
        <v>41</v>
      </c>
      <c r="N298" s="1" t="s">
        <v>3590</v>
      </c>
      <c r="O298" s="1" t="s">
        <v>30</v>
      </c>
      <c r="P298" s="1" t="s">
        <v>143</v>
      </c>
      <c r="Q298" s="1" t="s">
        <v>3591</v>
      </c>
      <c r="R298">
        <v>42.624000000000002</v>
      </c>
      <c r="S298" s="1"/>
      <c r="T298" s="1" t="str">
        <f>IF(O298="Furniture","Cardbaord",O298)</f>
        <v>Cardbaord</v>
      </c>
      <c r="U298" s="1" t="str">
        <f>IF(O298="furniture","cardbaord",IF(O298="office supplies","OS",O298))</f>
        <v>cardbaord</v>
      </c>
    </row>
    <row r="299" spans="1:21" x14ac:dyDescent="0.3">
      <c r="A299">
        <v>2647</v>
      </c>
      <c r="B299" s="1" t="s">
        <v>3598</v>
      </c>
      <c r="C299" s="1" t="s">
        <v>3599</v>
      </c>
      <c r="D299" s="1" t="s">
        <v>627</v>
      </c>
      <c r="E299" s="1" t="s">
        <v>21</v>
      </c>
      <c r="F299" s="1" t="s">
        <v>3600</v>
      </c>
      <c r="G299" s="1" t="s">
        <v>3601</v>
      </c>
      <c r="H299" s="1" t="s">
        <v>24</v>
      </c>
      <c r="I299" s="1" t="s">
        <v>25</v>
      </c>
      <c r="J299" s="1" t="s">
        <v>3131</v>
      </c>
      <c r="K299" s="1" t="s">
        <v>595</v>
      </c>
      <c r="L299">
        <v>74133</v>
      </c>
      <c r="M299" s="1" t="s">
        <v>93</v>
      </c>
      <c r="N299" s="1" t="s">
        <v>3602</v>
      </c>
      <c r="O299" s="1" t="s">
        <v>43</v>
      </c>
      <c r="P299" s="1" t="s">
        <v>83</v>
      </c>
      <c r="Q299" s="1" t="s">
        <v>3603</v>
      </c>
      <c r="R299">
        <v>42.81</v>
      </c>
      <c r="S299" s="1"/>
      <c r="T299" s="1" t="str">
        <f>IF(O299="Furniture","Cardbaord",O299)</f>
        <v>Office Supplies</v>
      </c>
      <c r="U299" s="1" t="str">
        <f>IF(O299="furniture","cardbaord",IF(O299="office supplies","OS",O299))</f>
        <v>OS</v>
      </c>
    </row>
    <row r="300" spans="1:21" x14ac:dyDescent="0.3">
      <c r="A300">
        <v>1707</v>
      </c>
      <c r="B300" s="1" t="s">
        <v>3066</v>
      </c>
      <c r="C300" s="1" t="s">
        <v>3067</v>
      </c>
      <c r="D300" s="1" t="s">
        <v>511</v>
      </c>
      <c r="E300" s="1" t="s">
        <v>49</v>
      </c>
      <c r="F300" s="1" t="s">
        <v>3068</v>
      </c>
      <c r="G300" s="1" t="s">
        <v>3069</v>
      </c>
      <c r="H300" s="1" t="s">
        <v>24</v>
      </c>
      <c r="I300" s="1" t="s">
        <v>25</v>
      </c>
      <c r="J300" s="1" t="s">
        <v>121</v>
      </c>
      <c r="K300" s="1" t="s">
        <v>40</v>
      </c>
      <c r="L300">
        <v>94122</v>
      </c>
      <c r="M300" s="1" t="s">
        <v>41</v>
      </c>
      <c r="N300" s="1" t="s">
        <v>3070</v>
      </c>
      <c r="O300" s="1" t="s">
        <v>43</v>
      </c>
      <c r="P300" s="1" t="s">
        <v>44</v>
      </c>
      <c r="Q300" s="1" t="s">
        <v>3071</v>
      </c>
      <c r="R300">
        <v>43.86</v>
      </c>
      <c r="S300" s="1"/>
      <c r="T300" s="1" t="str">
        <f>IF(O300="Furniture","Cardbaord",O300)</f>
        <v>Office Supplies</v>
      </c>
      <c r="U300" s="1" t="str">
        <f>IF(O300="furniture","cardbaord",IF(O300="office supplies","OS",O300))</f>
        <v>OS</v>
      </c>
    </row>
    <row r="301" spans="1:21" x14ac:dyDescent="0.3">
      <c r="A301">
        <v>4241</v>
      </c>
      <c r="B301" s="1" t="s">
        <v>4018</v>
      </c>
      <c r="C301" s="1" t="s">
        <v>503</v>
      </c>
      <c r="D301" s="1" t="s">
        <v>2065</v>
      </c>
      <c r="E301" s="1" t="s">
        <v>49</v>
      </c>
      <c r="F301" s="1" t="s">
        <v>4019</v>
      </c>
      <c r="G301" s="1" t="s">
        <v>4020</v>
      </c>
      <c r="H301" s="1" t="s">
        <v>90</v>
      </c>
      <c r="I301" s="1" t="s">
        <v>25</v>
      </c>
      <c r="J301" s="1" t="s">
        <v>39</v>
      </c>
      <c r="K301" s="1" t="s">
        <v>40</v>
      </c>
      <c r="L301">
        <v>90004</v>
      </c>
      <c r="M301" s="1" t="s">
        <v>41</v>
      </c>
      <c r="N301" s="1" t="s">
        <v>4021</v>
      </c>
      <c r="O301" s="1" t="s">
        <v>43</v>
      </c>
      <c r="P301" s="1" t="s">
        <v>95</v>
      </c>
      <c r="Q301" s="1" t="s">
        <v>1259</v>
      </c>
      <c r="R301">
        <v>43.92</v>
      </c>
      <c r="S301" s="1"/>
      <c r="T301" s="1" t="str">
        <f>IF(O301="Furniture","Cardbaord",O301)</f>
        <v>Office Supplies</v>
      </c>
      <c r="U301" s="1" t="str">
        <f>IF(O301="furniture","cardbaord",IF(O301="office supplies","OS",O301))</f>
        <v>OS</v>
      </c>
    </row>
    <row r="302" spans="1:21" x14ac:dyDescent="0.3">
      <c r="A302">
        <v>4453</v>
      </c>
      <c r="B302" s="1" t="s">
        <v>4047</v>
      </c>
      <c r="C302" s="1" t="s">
        <v>4048</v>
      </c>
      <c r="D302" s="1" t="s">
        <v>4049</v>
      </c>
      <c r="E302" s="1" t="s">
        <v>169</v>
      </c>
      <c r="F302" s="1" t="s">
        <v>4050</v>
      </c>
      <c r="G302" s="1" t="s">
        <v>4051</v>
      </c>
      <c r="H302" s="1" t="s">
        <v>24</v>
      </c>
      <c r="I302" s="1" t="s">
        <v>25</v>
      </c>
      <c r="J302" s="1" t="s">
        <v>121</v>
      </c>
      <c r="K302" s="1" t="s">
        <v>40</v>
      </c>
      <c r="L302">
        <v>94109</v>
      </c>
      <c r="M302" s="1" t="s">
        <v>41</v>
      </c>
      <c r="N302" s="1" t="s">
        <v>4052</v>
      </c>
      <c r="O302" s="1" t="s">
        <v>43</v>
      </c>
      <c r="P302" s="1" t="s">
        <v>183</v>
      </c>
      <c r="Q302" s="1" t="s">
        <v>4053</v>
      </c>
      <c r="R302">
        <v>43.96</v>
      </c>
      <c r="S302" s="1"/>
      <c r="T302" s="1" t="str">
        <f>IF(O302="Furniture","Cardbaord",O302)</f>
        <v>Office Supplies</v>
      </c>
      <c r="U302" s="1" t="str">
        <f>IF(O302="furniture","cardbaord",IF(O302="office supplies","OS",O302))</f>
        <v>OS</v>
      </c>
    </row>
    <row r="303" spans="1:21" x14ac:dyDescent="0.3">
      <c r="A303">
        <v>2238</v>
      </c>
      <c r="B303" s="1" t="s">
        <v>3373</v>
      </c>
      <c r="C303" s="1" t="s">
        <v>3374</v>
      </c>
      <c r="D303" s="1" t="s">
        <v>1706</v>
      </c>
      <c r="E303" s="1" t="s">
        <v>49</v>
      </c>
      <c r="F303" s="1" t="s">
        <v>3375</v>
      </c>
      <c r="G303" s="1" t="s">
        <v>3376</v>
      </c>
      <c r="H303" s="1" t="s">
        <v>90</v>
      </c>
      <c r="I303" s="1" t="s">
        <v>25</v>
      </c>
      <c r="J303" s="1" t="s">
        <v>3377</v>
      </c>
      <c r="K303" s="1" t="s">
        <v>113</v>
      </c>
      <c r="L303">
        <v>84604</v>
      </c>
      <c r="M303" s="1" t="s">
        <v>41</v>
      </c>
      <c r="N303" s="1" t="s">
        <v>3378</v>
      </c>
      <c r="O303" s="1" t="s">
        <v>43</v>
      </c>
      <c r="P303" s="1" t="s">
        <v>1660</v>
      </c>
      <c r="Q303" s="1" t="s">
        <v>3379</v>
      </c>
      <c r="R303">
        <v>44.4</v>
      </c>
      <c r="S303" s="1"/>
      <c r="T303" s="1" t="str">
        <f>IF(O303="Furniture","Cardbaord",O303)</f>
        <v>Office Supplies</v>
      </c>
      <c r="U303" s="1" t="str">
        <f>IF(O303="furniture","cardbaord",IF(O303="office supplies","OS",O303))</f>
        <v>OS</v>
      </c>
    </row>
    <row r="304" spans="1:21" x14ac:dyDescent="0.3">
      <c r="A304">
        <v>2239</v>
      </c>
      <c r="B304" s="1" t="s">
        <v>3380</v>
      </c>
      <c r="C304" s="1" t="s">
        <v>67</v>
      </c>
      <c r="D304" s="1" t="s">
        <v>3381</v>
      </c>
      <c r="E304" s="1" t="s">
        <v>49</v>
      </c>
      <c r="F304" s="1" t="s">
        <v>3382</v>
      </c>
      <c r="G304" s="1" t="s">
        <v>3383</v>
      </c>
      <c r="H304" s="1" t="s">
        <v>90</v>
      </c>
      <c r="I304" s="1" t="s">
        <v>25</v>
      </c>
      <c r="J304" s="1" t="s">
        <v>276</v>
      </c>
      <c r="K304" s="1" t="s">
        <v>191</v>
      </c>
      <c r="L304">
        <v>60610</v>
      </c>
      <c r="M304" s="1" t="s">
        <v>93</v>
      </c>
      <c r="N304" s="1" t="s">
        <v>3384</v>
      </c>
      <c r="O304" s="1" t="s">
        <v>30</v>
      </c>
      <c r="P304" s="1" t="s">
        <v>63</v>
      </c>
      <c r="Q304" s="1" t="s">
        <v>3385</v>
      </c>
      <c r="R304">
        <v>44.4</v>
      </c>
      <c r="S304" s="1"/>
      <c r="T304" s="1" t="str">
        <f>IF(O304="Furniture","Cardbaord",O304)</f>
        <v>Cardbaord</v>
      </c>
      <c r="U304" s="1" t="str">
        <f>IF(O304="furniture","cardbaord",IF(O304="office supplies","OS",O304))</f>
        <v>cardbaord</v>
      </c>
    </row>
    <row r="305" spans="1:21" x14ac:dyDescent="0.3">
      <c r="A305">
        <v>869</v>
      </c>
      <c r="B305" s="1" t="s">
        <v>2178</v>
      </c>
      <c r="C305" s="1" t="s">
        <v>2179</v>
      </c>
      <c r="D305" s="1" t="s">
        <v>2180</v>
      </c>
      <c r="E305" s="1" t="s">
        <v>49</v>
      </c>
      <c r="F305" s="1" t="s">
        <v>2181</v>
      </c>
      <c r="G305" s="1" t="s">
        <v>2182</v>
      </c>
      <c r="H305" s="1" t="s">
        <v>38</v>
      </c>
      <c r="I305" s="1" t="s">
        <v>25</v>
      </c>
      <c r="J305" s="1" t="s">
        <v>2054</v>
      </c>
      <c r="K305" s="1" t="s">
        <v>140</v>
      </c>
      <c r="L305">
        <v>17602</v>
      </c>
      <c r="M305" s="1" t="s">
        <v>141</v>
      </c>
      <c r="N305" s="1" t="s">
        <v>2183</v>
      </c>
      <c r="O305" s="1" t="s">
        <v>43</v>
      </c>
      <c r="P305" s="1" t="s">
        <v>83</v>
      </c>
      <c r="Q305" s="1" t="s">
        <v>2184</v>
      </c>
      <c r="R305">
        <v>44.91</v>
      </c>
      <c r="S305" s="1"/>
      <c r="T305" s="1" t="str">
        <f>IF(O305="Furniture","Cardbaord",O305)</f>
        <v>Office Supplies</v>
      </c>
      <c r="U305" s="1" t="str">
        <f>IF(O305="furniture","cardbaord",IF(O305="office supplies","OS",O305))</f>
        <v>OS</v>
      </c>
    </row>
    <row r="306" spans="1:21" x14ac:dyDescent="0.3">
      <c r="A306">
        <v>3269</v>
      </c>
      <c r="B306" s="1" t="s">
        <v>3783</v>
      </c>
      <c r="C306" s="1" t="s">
        <v>3306</v>
      </c>
      <c r="D306" s="1" t="s">
        <v>3140</v>
      </c>
      <c r="E306" s="1" t="s">
        <v>49</v>
      </c>
      <c r="F306" s="1" t="s">
        <v>3784</v>
      </c>
      <c r="G306" s="1" t="s">
        <v>3785</v>
      </c>
      <c r="H306" s="1" t="s">
        <v>24</v>
      </c>
      <c r="I306" s="1" t="s">
        <v>25</v>
      </c>
      <c r="J306" s="1" t="s">
        <v>324</v>
      </c>
      <c r="K306" s="1" t="s">
        <v>325</v>
      </c>
      <c r="L306">
        <v>35601</v>
      </c>
      <c r="M306" s="1" t="s">
        <v>28</v>
      </c>
      <c r="N306" s="1" t="s">
        <v>3786</v>
      </c>
      <c r="O306" s="1" t="s">
        <v>174</v>
      </c>
      <c r="P306" s="1" t="s">
        <v>175</v>
      </c>
      <c r="Q306" s="1" t="s">
        <v>3787</v>
      </c>
      <c r="R306">
        <v>44.95</v>
      </c>
      <c r="S306" s="1"/>
      <c r="T306" s="1" t="str">
        <f>IF(O306="Furniture","Cardbaord",O306)</f>
        <v>Technology</v>
      </c>
      <c r="U306" s="1" t="str">
        <f>IF(O306="furniture","cardbaord",IF(O306="office supplies","OS",O306))</f>
        <v>Technology</v>
      </c>
    </row>
    <row r="307" spans="1:21" x14ac:dyDescent="0.3">
      <c r="A307">
        <v>48</v>
      </c>
      <c r="B307" s="1" t="s">
        <v>228</v>
      </c>
      <c r="C307" s="1" t="s">
        <v>229</v>
      </c>
      <c r="D307" s="1" t="s">
        <v>230</v>
      </c>
      <c r="E307" s="1" t="s">
        <v>49</v>
      </c>
      <c r="F307" s="1" t="s">
        <v>231</v>
      </c>
      <c r="G307" s="1" t="s">
        <v>232</v>
      </c>
      <c r="H307" s="1" t="s">
        <v>24</v>
      </c>
      <c r="I307" s="1" t="s">
        <v>25</v>
      </c>
      <c r="J307" s="1" t="s">
        <v>233</v>
      </c>
      <c r="K307" s="1" t="s">
        <v>234</v>
      </c>
      <c r="L307">
        <v>19901</v>
      </c>
      <c r="M307" s="1" t="s">
        <v>141</v>
      </c>
      <c r="N307" s="1" t="s">
        <v>235</v>
      </c>
      <c r="O307" s="1" t="s">
        <v>174</v>
      </c>
      <c r="P307" s="1" t="s">
        <v>217</v>
      </c>
      <c r="Q307" s="1" t="s">
        <v>236</v>
      </c>
      <c r="R307">
        <v>45</v>
      </c>
      <c r="S307" s="1"/>
      <c r="T307" s="1" t="str">
        <f>IF(O307="Furniture","Cardbaord",O307)</f>
        <v>Technology</v>
      </c>
      <c r="U307" s="1" t="str">
        <f>IF(O307="furniture","cardbaord",IF(O307="office supplies","OS",O307))</f>
        <v>Technology</v>
      </c>
    </row>
    <row r="308" spans="1:21" x14ac:dyDescent="0.3">
      <c r="A308">
        <v>934</v>
      </c>
      <c r="B308" s="1" t="s">
        <v>2276</v>
      </c>
      <c r="C308" s="1" t="s">
        <v>229</v>
      </c>
      <c r="D308" s="1" t="s">
        <v>2277</v>
      </c>
      <c r="E308" s="1" t="s">
        <v>49</v>
      </c>
      <c r="F308" s="1" t="s">
        <v>2278</v>
      </c>
      <c r="G308" s="1" t="s">
        <v>2279</v>
      </c>
      <c r="H308" s="1" t="s">
        <v>90</v>
      </c>
      <c r="I308" s="1" t="s">
        <v>25</v>
      </c>
      <c r="J308" s="1" t="s">
        <v>139</v>
      </c>
      <c r="K308" s="1" t="s">
        <v>140</v>
      </c>
      <c r="L308">
        <v>19120</v>
      </c>
      <c r="M308" s="1" t="s">
        <v>141</v>
      </c>
      <c r="N308" s="1" t="s">
        <v>2280</v>
      </c>
      <c r="O308" s="1" t="s">
        <v>43</v>
      </c>
      <c r="P308" s="1" t="s">
        <v>73</v>
      </c>
      <c r="Q308" s="1" t="s">
        <v>2281</v>
      </c>
      <c r="R308">
        <v>45.055999999999997</v>
      </c>
      <c r="S308" s="1"/>
      <c r="T308" s="1" t="str">
        <f>IF(O308="Furniture","Cardbaord",O308)</f>
        <v>Office Supplies</v>
      </c>
      <c r="U308" s="1" t="str">
        <f>IF(O308="furniture","cardbaord",IF(O308="office supplies","OS",O308))</f>
        <v>OS</v>
      </c>
    </row>
    <row r="309" spans="1:21" x14ac:dyDescent="0.3">
      <c r="A309">
        <v>307</v>
      </c>
      <c r="B309" s="1" t="s">
        <v>986</v>
      </c>
      <c r="C309" s="1" t="s">
        <v>838</v>
      </c>
      <c r="D309" s="1" t="s">
        <v>839</v>
      </c>
      <c r="E309" s="1" t="s">
        <v>49</v>
      </c>
      <c r="F309" s="1" t="s">
        <v>987</v>
      </c>
      <c r="G309" s="1" t="s">
        <v>988</v>
      </c>
      <c r="H309" s="1" t="s">
        <v>90</v>
      </c>
      <c r="I309" s="1" t="s">
        <v>25</v>
      </c>
      <c r="J309" s="1" t="s">
        <v>989</v>
      </c>
      <c r="K309" s="1" t="s">
        <v>718</v>
      </c>
      <c r="L309">
        <v>8701</v>
      </c>
      <c r="M309" s="1" t="s">
        <v>141</v>
      </c>
      <c r="N309" s="1" t="s">
        <v>990</v>
      </c>
      <c r="O309" s="1" t="s">
        <v>43</v>
      </c>
      <c r="P309" s="1" t="s">
        <v>83</v>
      </c>
      <c r="Q309" s="1" t="s">
        <v>991</v>
      </c>
      <c r="R309">
        <v>45.48</v>
      </c>
      <c r="S309" s="1"/>
      <c r="T309" s="1" t="str">
        <f>IF(O309="Furniture","Cardbaord",O309)</f>
        <v>Office Supplies</v>
      </c>
      <c r="U309" s="1" t="str">
        <f>IF(O309="furniture","cardbaord",IF(O309="office supplies","OS",O309))</f>
        <v>OS</v>
      </c>
    </row>
    <row r="310" spans="1:21" x14ac:dyDescent="0.3">
      <c r="A310">
        <v>725</v>
      </c>
      <c r="B310" s="1" t="s">
        <v>1950</v>
      </c>
      <c r="C310" s="1" t="s">
        <v>1951</v>
      </c>
      <c r="D310" s="1" t="s">
        <v>1952</v>
      </c>
      <c r="E310" s="1" t="s">
        <v>49</v>
      </c>
      <c r="F310" s="1" t="s">
        <v>1953</v>
      </c>
      <c r="G310" s="1" t="s">
        <v>1954</v>
      </c>
      <c r="H310" s="1" t="s">
        <v>38</v>
      </c>
      <c r="I310" s="1" t="s">
        <v>25</v>
      </c>
      <c r="J310" s="1" t="s">
        <v>1955</v>
      </c>
      <c r="K310" s="1" t="s">
        <v>53</v>
      </c>
      <c r="L310">
        <v>33012</v>
      </c>
      <c r="M310" s="1" t="s">
        <v>28</v>
      </c>
      <c r="N310" s="1" t="s">
        <v>1956</v>
      </c>
      <c r="O310" s="1" t="s">
        <v>43</v>
      </c>
      <c r="P310" s="1" t="s">
        <v>1660</v>
      </c>
      <c r="Q310" s="1" t="s">
        <v>1957</v>
      </c>
      <c r="R310">
        <v>45.584000000000003</v>
      </c>
      <c r="S310" s="1"/>
      <c r="T310" s="1" t="str">
        <f>IF(O310="Furniture","Cardbaord",O310)</f>
        <v>Office Supplies</v>
      </c>
      <c r="U310" s="1" t="str">
        <f>IF(O310="furniture","cardbaord",IF(O310="office supplies","OS",O310))</f>
        <v>OS</v>
      </c>
    </row>
    <row r="311" spans="1:21" x14ac:dyDescent="0.3">
      <c r="A311">
        <v>2176</v>
      </c>
      <c r="B311" s="1" t="s">
        <v>3328</v>
      </c>
      <c r="C311" s="1" t="s">
        <v>3329</v>
      </c>
      <c r="D311" s="1" t="s">
        <v>1123</v>
      </c>
      <c r="E311" s="1" t="s">
        <v>49</v>
      </c>
      <c r="F311" s="1" t="s">
        <v>3330</v>
      </c>
      <c r="G311" s="1" t="s">
        <v>3331</v>
      </c>
      <c r="H311" s="1" t="s">
        <v>90</v>
      </c>
      <c r="I311" s="1" t="s">
        <v>25</v>
      </c>
      <c r="J311" s="1" t="s">
        <v>3332</v>
      </c>
      <c r="K311" s="1" t="s">
        <v>113</v>
      </c>
      <c r="L311">
        <v>84106</v>
      </c>
      <c r="M311" s="1" t="s">
        <v>41</v>
      </c>
      <c r="N311" s="1" t="s">
        <v>3333</v>
      </c>
      <c r="O311" s="1" t="s">
        <v>43</v>
      </c>
      <c r="P311" s="1" t="s">
        <v>73</v>
      </c>
      <c r="Q311" s="1" t="s">
        <v>3334</v>
      </c>
      <c r="R311">
        <v>45.68</v>
      </c>
      <c r="S311" s="1"/>
      <c r="T311" s="1" t="str">
        <f>IF(O311="Furniture","Cardbaord",O311)</f>
        <v>Office Supplies</v>
      </c>
      <c r="U311" s="1" t="str">
        <f>IF(O311="furniture","cardbaord",IF(O311="office supplies","OS",O311))</f>
        <v>OS</v>
      </c>
    </row>
    <row r="312" spans="1:21" x14ac:dyDescent="0.3">
      <c r="A312">
        <v>3528</v>
      </c>
      <c r="B312" s="1" t="s">
        <v>3824</v>
      </c>
      <c r="C312" s="1" t="s">
        <v>1618</v>
      </c>
      <c r="D312" s="1" t="s">
        <v>1203</v>
      </c>
      <c r="E312" s="1" t="s">
        <v>21</v>
      </c>
      <c r="F312" s="1" t="s">
        <v>3825</v>
      </c>
      <c r="G312" s="1" t="s">
        <v>3826</v>
      </c>
      <c r="H312" s="1" t="s">
        <v>90</v>
      </c>
      <c r="I312" s="1" t="s">
        <v>25</v>
      </c>
      <c r="J312" s="1" t="s">
        <v>1299</v>
      </c>
      <c r="K312" s="1" t="s">
        <v>1300</v>
      </c>
      <c r="L312">
        <v>39212</v>
      </c>
      <c r="M312" s="1" t="s">
        <v>28</v>
      </c>
      <c r="N312" s="1" t="s">
        <v>3827</v>
      </c>
      <c r="O312" s="1" t="s">
        <v>43</v>
      </c>
      <c r="P312" s="1" t="s">
        <v>83</v>
      </c>
      <c r="Q312" s="1" t="s">
        <v>3828</v>
      </c>
      <c r="R312">
        <v>45.84</v>
      </c>
      <c r="S312" s="1"/>
      <c r="T312" s="1" t="str">
        <f>IF(O312="Furniture","Cardbaord",O312)</f>
        <v>Office Supplies</v>
      </c>
      <c r="U312" s="1" t="str">
        <f>IF(O312="furniture","cardbaord",IF(O312="office supplies","OS",O312))</f>
        <v>OS</v>
      </c>
    </row>
    <row r="313" spans="1:21" x14ac:dyDescent="0.3">
      <c r="A313">
        <v>45</v>
      </c>
      <c r="B313" s="1" t="s">
        <v>209</v>
      </c>
      <c r="C313" s="1" t="s">
        <v>210</v>
      </c>
      <c r="D313" s="1" t="s">
        <v>211</v>
      </c>
      <c r="E313" s="1" t="s">
        <v>169</v>
      </c>
      <c r="F313" s="1" t="s">
        <v>212</v>
      </c>
      <c r="G313" s="1" t="s">
        <v>213</v>
      </c>
      <c r="H313" s="1" t="s">
        <v>38</v>
      </c>
      <c r="I313" s="1" t="s">
        <v>25</v>
      </c>
      <c r="J313" s="1" t="s">
        <v>214</v>
      </c>
      <c r="K313" s="1" t="s">
        <v>215</v>
      </c>
      <c r="L313">
        <v>55122</v>
      </c>
      <c r="M313" s="1" t="s">
        <v>93</v>
      </c>
      <c r="N313" s="1" t="s">
        <v>216</v>
      </c>
      <c r="O313" s="1" t="s">
        <v>174</v>
      </c>
      <c r="P313" s="1" t="s">
        <v>217</v>
      </c>
      <c r="Q313" s="1" t="s">
        <v>218</v>
      </c>
      <c r="R313">
        <v>45.98</v>
      </c>
      <c r="S313" s="1"/>
      <c r="T313" s="1" t="str">
        <f>IF(O313="Furniture","Cardbaord",O313)</f>
        <v>Technology</v>
      </c>
      <c r="U313" s="1" t="str">
        <f>IF(O313="furniture","cardbaord",IF(O313="office supplies","OS",O313))</f>
        <v>Technology</v>
      </c>
    </row>
    <row r="314" spans="1:21" x14ac:dyDescent="0.3">
      <c r="A314">
        <v>198</v>
      </c>
      <c r="B314" s="1" t="s">
        <v>714</v>
      </c>
      <c r="C314" s="1" t="s">
        <v>381</v>
      </c>
      <c r="D314" s="1" t="s">
        <v>344</v>
      </c>
      <c r="E314" s="1" t="s">
        <v>49</v>
      </c>
      <c r="F314" s="1" t="s">
        <v>715</v>
      </c>
      <c r="G314" s="1" t="s">
        <v>716</v>
      </c>
      <c r="H314" s="1" t="s">
        <v>90</v>
      </c>
      <c r="I314" s="1" t="s">
        <v>25</v>
      </c>
      <c r="J314" s="1" t="s">
        <v>717</v>
      </c>
      <c r="K314" s="1" t="s">
        <v>718</v>
      </c>
      <c r="L314">
        <v>7090</v>
      </c>
      <c r="M314" s="1" t="s">
        <v>141</v>
      </c>
      <c r="N314" s="1" t="s">
        <v>719</v>
      </c>
      <c r="O314" s="1" t="s">
        <v>43</v>
      </c>
      <c r="P314" s="1" t="s">
        <v>105</v>
      </c>
      <c r="Q314" s="1" t="s">
        <v>720</v>
      </c>
      <c r="R314">
        <v>46.26</v>
      </c>
      <c r="S314" s="1"/>
      <c r="T314" s="1" t="str">
        <f>IF(O314="Furniture","Cardbaord",O314)</f>
        <v>Office Supplies</v>
      </c>
      <c r="U314" s="1" t="str">
        <f>IF(O314="furniture","cardbaord",IF(O314="office supplies","OS",O314))</f>
        <v>OS</v>
      </c>
    </row>
    <row r="315" spans="1:21" x14ac:dyDescent="0.3">
      <c r="A315">
        <v>2013</v>
      </c>
      <c r="B315" s="1" t="s">
        <v>3279</v>
      </c>
      <c r="C315" s="1" t="s">
        <v>1553</v>
      </c>
      <c r="D315" s="1" t="s">
        <v>1553</v>
      </c>
      <c r="E315" s="1" t="s">
        <v>1124</v>
      </c>
      <c r="F315" s="1" t="s">
        <v>3280</v>
      </c>
      <c r="G315" s="1" t="s">
        <v>3281</v>
      </c>
      <c r="H315" s="1" t="s">
        <v>24</v>
      </c>
      <c r="I315" s="1" t="s">
        <v>25</v>
      </c>
      <c r="J315" s="1" t="s">
        <v>164</v>
      </c>
      <c r="K315" s="1" t="s">
        <v>92</v>
      </c>
      <c r="L315">
        <v>77041</v>
      </c>
      <c r="M315" s="1" t="s">
        <v>93</v>
      </c>
      <c r="N315" s="1" t="s">
        <v>3282</v>
      </c>
      <c r="O315" s="1" t="s">
        <v>43</v>
      </c>
      <c r="P315" s="1" t="s">
        <v>105</v>
      </c>
      <c r="Q315" s="1" t="s">
        <v>3283</v>
      </c>
      <c r="R315">
        <v>46.344000000000001</v>
      </c>
      <c r="S315" s="1"/>
      <c r="T315" s="1" t="str">
        <f>IF(O315="Furniture","Cardbaord",O315)</f>
        <v>Office Supplies</v>
      </c>
      <c r="U315" s="1" t="str">
        <f>IF(O315="furniture","cardbaord",IF(O315="office supplies","OS",O315))</f>
        <v>OS</v>
      </c>
    </row>
    <row r="316" spans="1:21" x14ac:dyDescent="0.3">
      <c r="A316">
        <v>899</v>
      </c>
      <c r="B316" s="1" t="s">
        <v>2232</v>
      </c>
      <c r="C316" s="1" t="s">
        <v>2233</v>
      </c>
      <c r="D316" s="1" t="s">
        <v>2234</v>
      </c>
      <c r="E316" s="1" t="s">
        <v>21</v>
      </c>
      <c r="F316" s="1" t="s">
        <v>2235</v>
      </c>
      <c r="G316" s="1" t="s">
        <v>2236</v>
      </c>
      <c r="H316" s="1" t="s">
        <v>38</v>
      </c>
      <c r="I316" s="1" t="s">
        <v>25</v>
      </c>
      <c r="J316" s="1" t="s">
        <v>1360</v>
      </c>
      <c r="K316" s="1" t="s">
        <v>252</v>
      </c>
      <c r="L316">
        <v>13021</v>
      </c>
      <c r="M316" s="1" t="s">
        <v>141</v>
      </c>
      <c r="N316" s="1" t="s">
        <v>2237</v>
      </c>
      <c r="O316" s="1" t="s">
        <v>43</v>
      </c>
      <c r="P316" s="1" t="s">
        <v>73</v>
      </c>
      <c r="Q316" s="1" t="s">
        <v>2238</v>
      </c>
      <c r="R316">
        <v>46.96</v>
      </c>
      <c r="S316" s="1"/>
      <c r="T316" s="1" t="str">
        <f>IF(O316="Furniture","Cardbaord",O316)</f>
        <v>Office Supplies</v>
      </c>
      <c r="U316" s="1" t="str">
        <f>IF(O316="furniture","cardbaord",IF(O316="office supplies","OS",O316))</f>
        <v>OS</v>
      </c>
    </row>
    <row r="317" spans="1:21" x14ac:dyDescent="0.3">
      <c r="A317">
        <v>120</v>
      </c>
      <c r="B317" s="1" t="s">
        <v>489</v>
      </c>
      <c r="C317" s="1" t="s">
        <v>34</v>
      </c>
      <c r="D317" s="1" t="s">
        <v>321</v>
      </c>
      <c r="E317" s="1" t="s">
        <v>169</v>
      </c>
      <c r="F317" s="1" t="s">
        <v>490</v>
      </c>
      <c r="G317" s="1" t="s">
        <v>491</v>
      </c>
      <c r="H317" s="1" t="s">
        <v>24</v>
      </c>
      <c r="I317" s="1" t="s">
        <v>25</v>
      </c>
      <c r="J317" s="1" t="s">
        <v>492</v>
      </c>
      <c r="K317" s="1" t="s">
        <v>234</v>
      </c>
      <c r="L317">
        <v>19805</v>
      </c>
      <c r="M317" s="1" t="s">
        <v>141</v>
      </c>
      <c r="N317" s="1" t="s">
        <v>493</v>
      </c>
      <c r="O317" s="1" t="s">
        <v>30</v>
      </c>
      <c r="P317" s="1" t="s">
        <v>63</v>
      </c>
      <c r="Q317" s="1" t="s">
        <v>494</v>
      </c>
      <c r="R317">
        <v>47.04</v>
      </c>
      <c r="S317" s="1"/>
      <c r="T317" s="1" t="str">
        <f>IF(O317="Furniture","Cardbaord",O317)</f>
        <v>Cardbaord</v>
      </c>
      <c r="U317" s="1" t="str">
        <f>IF(O317="furniture","cardbaord",IF(O317="office supplies","OS",O317))</f>
        <v>cardbaord</v>
      </c>
    </row>
    <row r="318" spans="1:21" x14ac:dyDescent="0.3">
      <c r="A318">
        <v>696</v>
      </c>
      <c r="B318" s="1" t="s">
        <v>1895</v>
      </c>
      <c r="C318" s="1" t="s">
        <v>1896</v>
      </c>
      <c r="D318" s="1" t="s">
        <v>1897</v>
      </c>
      <c r="E318" s="1" t="s">
        <v>169</v>
      </c>
      <c r="F318" s="1" t="s">
        <v>1898</v>
      </c>
      <c r="G318" s="1" t="s">
        <v>1899</v>
      </c>
      <c r="H318" s="1" t="s">
        <v>90</v>
      </c>
      <c r="I318" s="1" t="s">
        <v>25</v>
      </c>
      <c r="J318" s="1" t="s">
        <v>1900</v>
      </c>
      <c r="K318" s="1" t="s">
        <v>140</v>
      </c>
      <c r="L318">
        <v>19013</v>
      </c>
      <c r="M318" s="1" t="s">
        <v>141</v>
      </c>
      <c r="N318" s="1" t="s">
        <v>1901</v>
      </c>
      <c r="O318" s="1" t="s">
        <v>43</v>
      </c>
      <c r="P318" s="1" t="s">
        <v>44</v>
      </c>
      <c r="Q318" s="1" t="s">
        <v>1902</v>
      </c>
      <c r="R318">
        <v>47.36</v>
      </c>
      <c r="S318" s="1"/>
      <c r="T318" s="1" t="str">
        <f>IF(O318="Furniture","Cardbaord",O318)</f>
        <v>Office Supplies</v>
      </c>
      <c r="U318" s="1" t="str">
        <f>IF(O318="furniture","cardbaord",IF(O318="office supplies","OS",O318))</f>
        <v>OS</v>
      </c>
    </row>
    <row r="319" spans="1:21" x14ac:dyDescent="0.3">
      <c r="A319">
        <v>533</v>
      </c>
      <c r="B319" s="1" t="s">
        <v>1523</v>
      </c>
      <c r="C319" s="1" t="s">
        <v>1524</v>
      </c>
      <c r="D319" s="1" t="s">
        <v>1525</v>
      </c>
      <c r="E319" s="1" t="s">
        <v>49</v>
      </c>
      <c r="F319" s="1" t="s">
        <v>1526</v>
      </c>
      <c r="G319" s="1" t="s">
        <v>1527</v>
      </c>
      <c r="H319" s="1" t="s">
        <v>24</v>
      </c>
      <c r="I319" s="1" t="s">
        <v>25</v>
      </c>
      <c r="J319" s="1" t="s">
        <v>39</v>
      </c>
      <c r="K319" s="1" t="s">
        <v>40</v>
      </c>
      <c r="L319">
        <v>90032</v>
      </c>
      <c r="M319" s="1" t="s">
        <v>41</v>
      </c>
      <c r="N319" s="1" t="s">
        <v>1528</v>
      </c>
      <c r="O319" s="1" t="s">
        <v>30</v>
      </c>
      <c r="P319" s="1" t="s">
        <v>63</v>
      </c>
      <c r="Q319" s="1" t="s">
        <v>1529</v>
      </c>
      <c r="R319">
        <v>47.94</v>
      </c>
      <c r="S319" s="1"/>
      <c r="T319" s="1" t="str">
        <f>IF(O319="Furniture","Cardbaord",O319)</f>
        <v>Cardbaord</v>
      </c>
      <c r="U319" s="1" t="str">
        <f>IF(O319="furniture","cardbaord",IF(O319="office supplies","OS",O319))</f>
        <v>cardbaord</v>
      </c>
    </row>
    <row r="320" spans="1:21" x14ac:dyDescent="0.3">
      <c r="A320">
        <v>4814</v>
      </c>
      <c r="B320" s="1" t="s">
        <v>4098</v>
      </c>
      <c r="C320" s="1" t="s">
        <v>4099</v>
      </c>
      <c r="D320" s="1" t="s">
        <v>1856</v>
      </c>
      <c r="E320" s="1" t="s">
        <v>21</v>
      </c>
      <c r="F320" s="1" t="s">
        <v>4100</v>
      </c>
      <c r="G320" s="1" t="s">
        <v>4101</v>
      </c>
      <c r="H320" s="1" t="s">
        <v>24</v>
      </c>
      <c r="I320" s="1" t="s">
        <v>25</v>
      </c>
      <c r="J320" s="1" t="s">
        <v>139</v>
      </c>
      <c r="K320" s="1" t="s">
        <v>140</v>
      </c>
      <c r="L320">
        <v>19134</v>
      </c>
      <c r="M320" s="1" t="s">
        <v>141</v>
      </c>
      <c r="N320" s="1" t="s">
        <v>4102</v>
      </c>
      <c r="O320" s="1" t="s">
        <v>30</v>
      </c>
      <c r="P320" s="1" t="s">
        <v>63</v>
      </c>
      <c r="Q320" s="1" t="s">
        <v>4103</v>
      </c>
      <c r="R320">
        <v>48.576000000000001</v>
      </c>
      <c r="S320" s="1"/>
      <c r="T320" s="1" t="str">
        <f>IF(O320="Furniture","Cardbaord",O320)</f>
        <v>Cardbaord</v>
      </c>
      <c r="U320" s="1" t="str">
        <f>IF(O320="furniture","cardbaord",IF(O320="office supplies","OS",O320))</f>
        <v>cardbaord</v>
      </c>
    </row>
    <row r="321" spans="1:21" x14ac:dyDescent="0.3">
      <c r="A321">
        <v>1245</v>
      </c>
      <c r="B321" s="1" t="s">
        <v>2639</v>
      </c>
      <c r="C321" s="1" t="s">
        <v>2092</v>
      </c>
      <c r="D321" s="1" t="s">
        <v>2640</v>
      </c>
      <c r="E321" s="1" t="s">
        <v>49</v>
      </c>
      <c r="F321" s="1" t="s">
        <v>2641</v>
      </c>
      <c r="G321" s="1" t="s">
        <v>2642</v>
      </c>
      <c r="H321" s="1" t="s">
        <v>24</v>
      </c>
      <c r="I321" s="1" t="s">
        <v>25</v>
      </c>
      <c r="J321" s="1" t="s">
        <v>2643</v>
      </c>
      <c r="K321" s="1" t="s">
        <v>1300</v>
      </c>
      <c r="L321">
        <v>39503</v>
      </c>
      <c r="M321" s="1" t="s">
        <v>28</v>
      </c>
      <c r="N321" s="1" t="s">
        <v>2644</v>
      </c>
      <c r="O321" s="1" t="s">
        <v>43</v>
      </c>
      <c r="P321" s="1" t="s">
        <v>183</v>
      </c>
      <c r="Q321" s="1" t="s">
        <v>2645</v>
      </c>
      <c r="R321">
        <v>48.69</v>
      </c>
      <c r="S321" s="1"/>
      <c r="T321" s="1" t="str">
        <f>IF(O321="Furniture","Cardbaord",O321)</f>
        <v>Office Supplies</v>
      </c>
      <c r="U321" s="1" t="str">
        <f>IF(O321="furniture","cardbaord",IF(O321="office supplies","OS",O321))</f>
        <v>OS</v>
      </c>
    </row>
    <row r="322" spans="1:21" x14ac:dyDescent="0.3">
      <c r="A322">
        <v>6</v>
      </c>
      <c r="B322" s="1" t="s">
        <v>57</v>
      </c>
      <c r="C322" s="1" t="s">
        <v>58</v>
      </c>
      <c r="D322" s="1" t="s">
        <v>59</v>
      </c>
      <c r="E322" s="1" t="s">
        <v>49</v>
      </c>
      <c r="F322" s="1" t="s">
        <v>60</v>
      </c>
      <c r="G322" s="1" t="s">
        <v>61</v>
      </c>
      <c r="H322" s="1" t="s">
        <v>24</v>
      </c>
      <c r="I322" s="1" t="s">
        <v>25</v>
      </c>
      <c r="J322" s="1" t="s">
        <v>39</v>
      </c>
      <c r="K322" s="1" t="s">
        <v>40</v>
      </c>
      <c r="L322">
        <v>90032</v>
      </c>
      <c r="M322" s="1" t="s">
        <v>41</v>
      </c>
      <c r="N322" s="1" t="s">
        <v>62</v>
      </c>
      <c r="O322" s="1" t="s">
        <v>30</v>
      </c>
      <c r="P322" s="1" t="s">
        <v>63</v>
      </c>
      <c r="Q322" s="1" t="s">
        <v>64</v>
      </c>
      <c r="R322">
        <v>48.86</v>
      </c>
      <c r="S322" s="1">
        <f>MIN(R:R)</f>
        <v>1.1120000000000001</v>
      </c>
      <c r="T322" s="1" t="str">
        <f>IF(O322="Furniture","Cardbaord",O322)</f>
        <v>Cardbaord</v>
      </c>
      <c r="U322" s="1" t="str">
        <f>IF(O322="furniture","cardbaord",IF(O322="office supplies","OS",O322))</f>
        <v>cardbaord</v>
      </c>
    </row>
    <row r="323" spans="1:21" x14ac:dyDescent="0.3">
      <c r="A323">
        <v>849</v>
      </c>
      <c r="B323" s="1" t="s">
        <v>2133</v>
      </c>
      <c r="C323" s="1" t="s">
        <v>2134</v>
      </c>
      <c r="D323" s="1" t="s">
        <v>2135</v>
      </c>
      <c r="E323" s="1" t="s">
        <v>49</v>
      </c>
      <c r="F323" s="1" t="s">
        <v>2136</v>
      </c>
      <c r="G323" s="1" t="s">
        <v>2137</v>
      </c>
      <c r="H323" s="1" t="s">
        <v>24</v>
      </c>
      <c r="I323" s="1" t="s">
        <v>25</v>
      </c>
      <c r="J323" s="1" t="s">
        <v>2138</v>
      </c>
      <c r="K323" s="1" t="s">
        <v>471</v>
      </c>
      <c r="L323">
        <v>44052</v>
      </c>
      <c r="M323" s="1" t="s">
        <v>141</v>
      </c>
      <c r="N323" s="1" t="s">
        <v>2139</v>
      </c>
      <c r="O323" s="1" t="s">
        <v>30</v>
      </c>
      <c r="P323" s="1" t="s">
        <v>63</v>
      </c>
      <c r="Q323" s="1" t="s">
        <v>2140</v>
      </c>
      <c r="R323">
        <v>48.896000000000001</v>
      </c>
      <c r="S323" s="1"/>
      <c r="T323" s="1" t="str">
        <f>IF(O323="Furniture","Cardbaord",O323)</f>
        <v>Cardbaord</v>
      </c>
      <c r="U323" s="1" t="str">
        <f>IF(O323="furniture","cardbaord",IF(O323="office supplies","OS",O323))</f>
        <v>cardbaord</v>
      </c>
    </row>
    <row r="324" spans="1:21" x14ac:dyDescent="0.3">
      <c r="A324">
        <v>1372</v>
      </c>
      <c r="B324" s="1" t="s">
        <v>2797</v>
      </c>
      <c r="C324" s="1" t="s">
        <v>2798</v>
      </c>
      <c r="D324" s="1" t="s">
        <v>2799</v>
      </c>
      <c r="E324" s="1" t="s">
        <v>49</v>
      </c>
      <c r="F324" s="1" t="s">
        <v>2800</v>
      </c>
      <c r="G324" s="1" t="s">
        <v>2801</v>
      </c>
      <c r="H324" s="1" t="s">
        <v>90</v>
      </c>
      <c r="I324" s="1" t="s">
        <v>25</v>
      </c>
      <c r="J324" s="1" t="s">
        <v>2523</v>
      </c>
      <c r="K324" s="1" t="s">
        <v>2524</v>
      </c>
      <c r="L324">
        <v>20735</v>
      </c>
      <c r="M324" s="1" t="s">
        <v>141</v>
      </c>
      <c r="N324" s="1" t="s">
        <v>2802</v>
      </c>
      <c r="O324" s="1" t="s">
        <v>174</v>
      </c>
      <c r="P324" s="1" t="s">
        <v>217</v>
      </c>
      <c r="Q324" s="1" t="s">
        <v>2803</v>
      </c>
      <c r="R324">
        <v>49.08</v>
      </c>
      <c r="S324" s="1"/>
      <c r="T324" s="1" t="str">
        <f>IF(O324="Furniture","Cardbaord",O324)</f>
        <v>Technology</v>
      </c>
      <c r="U324" s="1" t="str">
        <f>IF(O324="furniture","cardbaord",IF(O324="office supplies","OS",O324))</f>
        <v>Technology</v>
      </c>
    </row>
    <row r="325" spans="1:21" x14ac:dyDescent="0.3">
      <c r="A325">
        <v>3128</v>
      </c>
      <c r="B325" s="1" t="s">
        <v>3728</v>
      </c>
      <c r="C325" s="1" t="s">
        <v>2001</v>
      </c>
      <c r="D325" s="1" t="s">
        <v>2002</v>
      </c>
      <c r="E325" s="1" t="s">
        <v>49</v>
      </c>
      <c r="F325" s="1" t="s">
        <v>3729</v>
      </c>
      <c r="G325" s="1" t="s">
        <v>3730</v>
      </c>
      <c r="H325" s="1" t="s">
        <v>24</v>
      </c>
      <c r="I325" s="1" t="s">
        <v>25</v>
      </c>
      <c r="J325" s="1" t="s">
        <v>251</v>
      </c>
      <c r="K325" s="1" t="s">
        <v>252</v>
      </c>
      <c r="L325">
        <v>10011</v>
      </c>
      <c r="M325" s="1" t="s">
        <v>141</v>
      </c>
      <c r="N325" s="1" t="s">
        <v>3731</v>
      </c>
      <c r="O325" s="1" t="s">
        <v>43</v>
      </c>
      <c r="P325" s="1" t="s">
        <v>73</v>
      </c>
      <c r="Q325" s="1" t="s">
        <v>3732</v>
      </c>
      <c r="R325">
        <v>49.12</v>
      </c>
      <c r="S325" s="1"/>
      <c r="T325" s="1" t="str">
        <f>IF(O325="Furniture","Cardbaord",O325)</f>
        <v>Office Supplies</v>
      </c>
      <c r="U325" s="1" t="str">
        <f>IF(O325="furniture","cardbaord",IF(O325="office supplies","OS",O325))</f>
        <v>OS</v>
      </c>
    </row>
    <row r="326" spans="1:21" x14ac:dyDescent="0.3">
      <c r="A326">
        <v>2381</v>
      </c>
      <c r="B326" s="1" t="s">
        <v>3459</v>
      </c>
      <c r="C326" s="1" t="s">
        <v>3460</v>
      </c>
      <c r="D326" s="1" t="s">
        <v>3461</v>
      </c>
      <c r="E326" s="1" t="s">
        <v>49</v>
      </c>
      <c r="F326" s="1" t="s">
        <v>3462</v>
      </c>
      <c r="G326" s="1" t="s">
        <v>3463</v>
      </c>
      <c r="H326" s="1" t="s">
        <v>90</v>
      </c>
      <c r="I326" s="1" t="s">
        <v>25</v>
      </c>
      <c r="J326" s="1" t="s">
        <v>2138</v>
      </c>
      <c r="K326" s="1" t="s">
        <v>471</v>
      </c>
      <c r="L326">
        <v>44052</v>
      </c>
      <c r="M326" s="1" t="s">
        <v>141</v>
      </c>
      <c r="N326" s="1" t="s">
        <v>3464</v>
      </c>
      <c r="O326" s="1" t="s">
        <v>43</v>
      </c>
      <c r="P326" s="1" t="s">
        <v>73</v>
      </c>
      <c r="Q326" s="1" t="s">
        <v>3465</v>
      </c>
      <c r="R326">
        <v>49.567999999999998</v>
      </c>
      <c r="S326" s="1"/>
      <c r="T326" s="1" t="str">
        <f>IF(O326="Furniture","Cardbaord",O326)</f>
        <v>Office Supplies</v>
      </c>
      <c r="U326" s="1" t="str">
        <f>IF(O326="furniture","cardbaord",IF(O326="office supplies","OS",O326))</f>
        <v>OS</v>
      </c>
    </row>
    <row r="327" spans="1:21" x14ac:dyDescent="0.3">
      <c r="A327">
        <v>396</v>
      </c>
      <c r="B327" s="1" t="s">
        <v>1232</v>
      </c>
      <c r="C327" s="1" t="s">
        <v>942</v>
      </c>
      <c r="D327" s="1" t="s">
        <v>160</v>
      </c>
      <c r="E327" s="1" t="s">
        <v>21</v>
      </c>
      <c r="F327" s="1" t="s">
        <v>1233</v>
      </c>
      <c r="G327" s="1" t="s">
        <v>1234</v>
      </c>
      <c r="H327" s="1" t="s">
        <v>38</v>
      </c>
      <c r="I327" s="1" t="s">
        <v>25</v>
      </c>
      <c r="J327" s="1" t="s">
        <v>1235</v>
      </c>
      <c r="K327" s="1" t="s">
        <v>1236</v>
      </c>
      <c r="L327">
        <v>2886</v>
      </c>
      <c r="M327" s="1" t="s">
        <v>141</v>
      </c>
      <c r="N327" s="1" t="s">
        <v>1237</v>
      </c>
      <c r="O327" s="1" t="s">
        <v>43</v>
      </c>
      <c r="P327" s="1" t="s">
        <v>105</v>
      </c>
      <c r="Q327" s="1" t="s">
        <v>1238</v>
      </c>
      <c r="R327">
        <v>49.96</v>
      </c>
      <c r="S327" s="1"/>
      <c r="T327" s="1" t="str">
        <f>IF(O327="Furniture","Cardbaord",O327)</f>
        <v>Office Supplies</v>
      </c>
      <c r="U327" s="1" t="str">
        <f>IF(O327="furniture","cardbaord",IF(O327="office supplies","OS",O327))</f>
        <v>OS</v>
      </c>
    </row>
    <row r="328" spans="1:21" x14ac:dyDescent="0.3">
      <c r="A328">
        <v>5295</v>
      </c>
      <c r="B328" s="1" t="s">
        <v>4150</v>
      </c>
      <c r="C328" s="1" t="s">
        <v>4151</v>
      </c>
      <c r="D328" s="1" t="s">
        <v>3220</v>
      </c>
      <c r="E328" s="1" t="s">
        <v>49</v>
      </c>
      <c r="F328" s="1" t="s">
        <v>4152</v>
      </c>
      <c r="G328" s="1" t="s">
        <v>4153</v>
      </c>
      <c r="H328" s="1" t="s">
        <v>38</v>
      </c>
      <c r="I328" s="1" t="s">
        <v>25</v>
      </c>
      <c r="J328" s="1" t="s">
        <v>535</v>
      </c>
      <c r="K328" s="1" t="s">
        <v>215</v>
      </c>
      <c r="L328">
        <v>55113</v>
      </c>
      <c r="M328" s="1" t="s">
        <v>93</v>
      </c>
      <c r="N328" s="1" t="s">
        <v>4154</v>
      </c>
      <c r="O328" s="1" t="s">
        <v>43</v>
      </c>
      <c r="P328" s="1" t="s">
        <v>44</v>
      </c>
      <c r="Q328" s="1" t="s">
        <v>4155</v>
      </c>
      <c r="R328">
        <v>50.4</v>
      </c>
      <c r="S328" s="1"/>
      <c r="T328" s="1" t="str">
        <f>IF(O328="Furniture","Cardbaord",O328)</f>
        <v>Office Supplies</v>
      </c>
      <c r="U328" s="1" t="str">
        <f>IF(O328="furniture","cardbaord",IF(O328="office supplies","OS",O328))</f>
        <v>OS</v>
      </c>
    </row>
    <row r="329" spans="1:21" x14ac:dyDescent="0.3">
      <c r="A329">
        <v>4334</v>
      </c>
      <c r="B329" s="1" t="s">
        <v>4029</v>
      </c>
      <c r="C329" s="1" t="s">
        <v>2394</v>
      </c>
      <c r="D329" s="1" t="s">
        <v>178</v>
      </c>
      <c r="E329" s="1" t="s">
        <v>49</v>
      </c>
      <c r="F329" s="1" t="s">
        <v>4030</v>
      </c>
      <c r="G329" s="1" t="s">
        <v>4031</v>
      </c>
      <c r="H329" s="1" t="s">
        <v>24</v>
      </c>
      <c r="I329" s="1" t="s">
        <v>25</v>
      </c>
      <c r="J329" s="1" t="s">
        <v>4032</v>
      </c>
      <c r="K329" s="1" t="s">
        <v>53</v>
      </c>
      <c r="L329">
        <v>32114</v>
      </c>
      <c r="M329" s="1" t="s">
        <v>28</v>
      </c>
      <c r="N329" s="1" t="s">
        <v>4033</v>
      </c>
      <c r="O329" s="1" t="s">
        <v>174</v>
      </c>
      <c r="P329" s="1" t="s">
        <v>217</v>
      </c>
      <c r="Q329" s="1" t="s">
        <v>4034</v>
      </c>
      <c r="R329">
        <v>50.88</v>
      </c>
      <c r="S329" s="1"/>
      <c r="T329" s="1" t="str">
        <f>IF(O329="Furniture","Cardbaord",O329)</f>
        <v>Technology</v>
      </c>
      <c r="U329" s="1" t="str">
        <f>IF(O329="furniture","cardbaord",IF(O329="office supplies","OS",O329))</f>
        <v>Technology</v>
      </c>
    </row>
    <row r="330" spans="1:21" x14ac:dyDescent="0.3">
      <c r="A330">
        <v>765</v>
      </c>
      <c r="B330" s="1" t="s">
        <v>2015</v>
      </c>
      <c r="C330" s="1" t="s">
        <v>1686</v>
      </c>
      <c r="D330" s="1" t="s">
        <v>2016</v>
      </c>
      <c r="E330" s="1" t="s">
        <v>21</v>
      </c>
      <c r="F330" s="1" t="s">
        <v>2017</v>
      </c>
      <c r="G330" s="1" t="s">
        <v>2018</v>
      </c>
      <c r="H330" s="1" t="s">
        <v>38</v>
      </c>
      <c r="I330" s="1" t="s">
        <v>25</v>
      </c>
      <c r="J330" s="1" t="s">
        <v>2019</v>
      </c>
      <c r="K330" s="1" t="s">
        <v>673</v>
      </c>
      <c r="L330">
        <v>71111</v>
      </c>
      <c r="M330" s="1" t="s">
        <v>28</v>
      </c>
      <c r="N330" s="1" t="s">
        <v>2020</v>
      </c>
      <c r="O330" s="1" t="s">
        <v>43</v>
      </c>
      <c r="P330" s="1" t="s">
        <v>183</v>
      </c>
      <c r="Q330" s="1" t="s">
        <v>2021</v>
      </c>
      <c r="R330">
        <v>50.94</v>
      </c>
      <c r="S330" s="1"/>
      <c r="T330" s="1" t="str">
        <f>IF(O330="Furniture","Cardbaord",O330)</f>
        <v>Office Supplies</v>
      </c>
      <c r="U330" s="1" t="str">
        <f>IF(O330="furniture","cardbaord",IF(O330="office supplies","OS",O330))</f>
        <v>OS</v>
      </c>
    </row>
    <row r="331" spans="1:21" x14ac:dyDescent="0.3">
      <c r="A331">
        <v>382</v>
      </c>
      <c r="B331" s="1" t="s">
        <v>1167</v>
      </c>
      <c r="C331" s="1" t="s">
        <v>789</v>
      </c>
      <c r="D331" s="1" t="s">
        <v>1168</v>
      </c>
      <c r="E331" s="1" t="s">
        <v>169</v>
      </c>
      <c r="F331" s="1" t="s">
        <v>1169</v>
      </c>
      <c r="G331" s="1" t="s">
        <v>1170</v>
      </c>
      <c r="H331" s="1" t="s">
        <v>38</v>
      </c>
      <c r="I331" s="1" t="s">
        <v>25</v>
      </c>
      <c r="J331" s="1" t="s">
        <v>121</v>
      </c>
      <c r="K331" s="1" t="s">
        <v>40</v>
      </c>
      <c r="L331">
        <v>94109</v>
      </c>
      <c r="M331" s="1" t="s">
        <v>41</v>
      </c>
      <c r="N331" s="1" t="s">
        <v>1171</v>
      </c>
      <c r="O331" s="1" t="s">
        <v>43</v>
      </c>
      <c r="P331" s="1" t="s">
        <v>73</v>
      </c>
      <c r="Q331" s="1" t="s">
        <v>1172</v>
      </c>
      <c r="R331">
        <v>50.96</v>
      </c>
      <c r="S331" s="1"/>
      <c r="T331" s="1" t="str">
        <f>IF(O331="Furniture","Cardbaord",O331)</f>
        <v>Office Supplies</v>
      </c>
      <c r="U331" s="1" t="str">
        <f>IF(O331="furniture","cardbaord",IF(O331="office supplies","OS",O331))</f>
        <v>OS</v>
      </c>
    </row>
    <row r="332" spans="1:21" x14ac:dyDescent="0.3">
      <c r="A332">
        <v>837</v>
      </c>
      <c r="B332" s="1" t="s">
        <v>2110</v>
      </c>
      <c r="C332" s="1" t="s">
        <v>626</v>
      </c>
      <c r="D332" s="1" t="s">
        <v>819</v>
      </c>
      <c r="E332" s="1" t="s">
        <v>21</v>
      </c>
      <c r="F332" s="1" t="s">
        <v>2111</v>
      </c>
      <c r="G332" s="1" t="s">
        <v>2112</v>
      </c>
      <c r="H332" s="1" t="s">
        <v>24</v>
      </c>
      <c r="I332" s="1" t="s">
        <v>25</v>
      </c>
      <c r="J332" s="1" t="s">
        <v>1852</v>
      </c>
      <c r="K332" s="1" t="s">
        <v>92</v>
      </c>
      <c r="L332">
        <v>75701</v>
      </c>
      <c r="M332" s="1" t="s">
        <v>93</v>
      </c>
      <c r="N332" s="1" t="s">
        <v>2113</v>
      </c>
      <c r="O332" s="1" t="s">
        <v>43</v>
      </c>
      <c r="P332" s="1" t="s">
        <v>83</v>
      </c>
      <c r="Q332" s="1" t="s">
        <v>2114</v>
      </c>
      <c r="R332">
        <v>51.183999999999997</v>
      </c>
      <c r="S332" s="1"/>
      <c r="T332" s="1" t="str">
        <f>IF(O332="Furniture","Cardbaord",O332)</f>
        <v>Office Supplies</v>
      </c>
      <c r="U332" s="1" t="str">
        <f>IF(O332="furniture","cardbaord",IF(O332="office supplies","OS",O332))</f>
        <v>OS</v>
      </c>
    </row>
    <row r="333" spans="1:21" x14ac:dyDescent="0.3">
      <c r="A333">
        <v>98</v>
      </c>
      <c r="B333" s="1" t="s">
        <v>396</v>
      </c>
      <c r="C333" s="1" t="s">
        <v>397</v>
      </c>
      <c r="D333" s="1" t="s">
        <v>398</v>
      </c>
      <c r="E333" s="1" t="s">
        <v>169</v>
      </c>
      <c r="F333" s="1" t="s">
        <v>399</v>
      </c>
      <c r="G333" s="1" t="s">
        <v>400</v>
      </c>
      <c r="H333" s="1" t="s">
        <v>24</v>
      </c>
      <c r="I333" s="1" t="s">
        <v>25</v>
      </c>
      <c r="J333" s="1" t="s">
        <v>121</v>
      </c>
      <c r="K333" s="1" t="s">
        <v>40</v>
      </c>
      <c r="L333">
        <v>94122</v>
      </c>
      <c r="M333" s="1" t="s">
        <v>41</v>
      </c>
      <c r="N333" s="1" t="s">
        <v>401</v>
      </c>
      <c r="O333" s="1" t="s">
        <v>43</v>
      </c>
      <c r="P333" s="1" t="s">
        <v>83</v>
      </c>
      <c r="Q333" s="1" t="s">
        <v>402</v>
      </c>
      <c r="R333">
        <v>51.311999999999998</v>
      </c>
      <c r="S333" s="1"/>
      <c r="T333" s="1" t="str">
        <f>IF(O333="Furniture","Cardbaord",O333)</f>
        <v>Office Supplies</v>
      </c>
      <c r="U333" s="1" t="str">
        <f>IF(O333="furniture","cardbaord",IF(O333="office supplies","OS",O333))</f>
        <v>OS</v>
      </c>
    </row>
    <row r="334" spans="1:21" x14ac:dyDescent="0.3">
      <c r="A334">
        <v>581</v>
      </c>
      <c r="B334" s="1" t="s">
        <v>1654</v>
      </c>
      <c r="C334" s="1" t="s">
        <v>1655</v>
      </c>
      <c r="D334" s="1" t="s">
        <v>1656</v>
      </c>
      <c r="E334" s="1" t="s">
        <v>49</v>
      </c>
      <c r="F334" s="1" t="s">
        <v>1657</v>
      </c>
      <c r="G334" s="1" t="s">
        <v>1658</v>
      </c>
      <c r="H334" s="1" t="s">
        <v>24</v>
      </c>
      <c r="I334" s="1" t="s">
        <v>25</v>
      </c>
      <c r="J334" s="1" t="s">
        <v>39</v>
      </c>
      <c r="K334" s="1" t="s">
        <v>40</v>
      </c>
      <c r="L334">
        <v>90004</v>
      </c>
      <c r="M334" s="1" t="s">
        <v>41</v>
      </c>
      <c r="N334" s="1" t="s">
        <v>1659</v>
      </c>
      <c r="O334" s="1" t="s">
        <v>43</v>
      </c>
      <c r="P334" s="1" t="s">
        <v>1660</v>
      </c>
      <c r="Q334" s="1" t="s">
        <v>1661</v>
      </c>
      <c r="R334">
        <v>51.52</v>
      </c>
      <c r="S334" s="1"/>
      <c r="T334" s="1" t="str">
        <f>IF(O334="Furniture","Cardbaord",O334)</f>
        <v>Office Supplies</v>
      </c>
      <c r="U334" s="1" t="str">
        <f>IF(O334="furniture","cardbaord",IF(O334="office supplies","OS",O334))</f>
        <v>OS</v>
      </c>
    </row>
    <row r="335" spans="1:21" x14ac:dyDescent="0.3">
      <c r="A335">
        <v>2557</v>
      </c>
      <c r="B335" s="1" t="s">
        <v>3569</v>
      </c>
      <c r="C335" s="1" t="s">
        <v>3570</v>
      </c>
      <c r="D335" s="1" t="s">
        <v>2877</v>
      </c>
      <c r="E335" s="1" t="s">
        <v>49</v>
      </c>
      <c r="F335" s="1" t="s">
        <v>3571</v>
      </c>
      <c r="G335" s="1" t="s">
        <v>3572</v>
      </c>
      <c r="H335" s="1" t="s">
        <v>38</v>
      </c>
      <c r="I335" s="1" t="s">
        <v>25</v>
      </c>
      <c r="J335" s="1" t="s">
        <v>164</v>
      </c>
      <c r="K335" s="1" t="s">
        <v>92</v>
      </c>
      <c r="L335">
        <v>77070</v>
      </c>
      <c r="M335" s="1" t="s">
        <v>93</v>
      </c>
      <c r="N335" s="1" t="s">
        <v>3573</v>
      </c>
      <c r="O335" s="1" t="s">
        <v>30</v>
      </c>
      <c r="P335" s="1" t="s">
        <v>63</v>
      </c>
      <c r="Q335" s="1" t="s">
        <v>3574</v>
      </c>
      <c r="R335">
        <v>51.712000000000003</v>
      </c>
      <c r="S335" s="1"/>
      <c r="T335" s="1" t="str">
        <f>IF(O335="Furniture","Cardbaord",O335)</f>
        <v>Cardbaord</v>
      </c>
      <c r="U335" s="1" t="str">
        <f>IF(O335="furniture","cardbaord",IF(O335="office supplies","OS",O335))</f>
        <v>cardbaord</v>
      </c>
    </row>
    <row r="336" spans="1:21" x14ac:dyDescent="0.3">
      <c r="A336">
        <v>175</v>
      </c>
      <c r="B336" s="1" t="s">
        <v>640</v>
      </c>
      <c r="C336" s="1" t="s">
        <v>641</v>
      </c>
      <c r="D336" s="1" t="s">
        <v>642</v>
      </c>
      <c r="E336" s="1" t="s">
        <v>49</v>
      </c>
      <c r="F336" s="1" t="s">
        <v>643</v>
      </c>
      <c r="G336" s="1" t="s">
        <v>644</v>
      </c>
      <c r="H336" s="1" t="s">
        <v>38</v>
      </c>
      <c r="I336" s="1" t="s">
        <v>25</v>
      </c>
      <c r="J336" s="1" t="s">
        <v>276</v>
      </c>
      <c r="K336" s="1" t="s">
        <v>191</v>
      </c>
      <c r="L336">
        <v>60623</v>
      </c>
      <c r="M336" s="1" t="s">
        <v>93</v>
      </c>
      <c r="N336" s="1" t="s">
        <v>645</v>
      </c>
      <c r="O336" s="1" t="s">
        <v>43</v>
      </c>
      <c r="P336" s="1" t="s">
        <v>95</v>
      </c>
      <c r="Q336" s="1" t="s">
        <v>646</v>
      </c>
      <c r="R336">
        <v>52.448</v>
      </c>
      <c r="S336" s="1"/>
      <c r="T336" s="1" t="str">
        <f>IF(O336="Furniture","Cardbaord",O336)</f>
        <v>Office Supplies</v>
      </c>
      <c r="U336" s="1" t="str">
        <f>IF(O336="furniture","cardbaord",IF(O336="office supplies","OS",O336))</f>
        <v>OS</v>
      </c>
    </row>
    <row r="337" spans="1:21" x14ac:dyDescent="0.3">
      <c r="A337">
        <v>2231</v>
      </c>
      <c r="B337" s="1" t="s">
        <v>3353</v>
      </c>
      <c r="C337" s="1" t="s">
        <v>3354</v>
      </c>
      <c r="D337" s="1" t="s">
        <v>3355</v>
      </c>
      <c r="E337" s="1" t="s">
        <v>49</v>
      </c>
      <c r="F337" s="1" t="s">
        <v>3356</v>
      </c>
      <c r="G337" s="1" t="s">
        <v>3357</v>
      </c>
      <c r="H337" s="1" t="s">
        <v>24</v>
      </c>
      <c r="I337" s="1" t="s">
        <v>25</v>
      </c>
      <c r="J337" s="1" t="s">
        <v>121</v>
      </c>
      <c r="K337" s="1" t="s">
        <v>40</v>
      </c>
      <c r="L337">
        <v>94122</v>
      </c>
      <c r="M337" s="1" t="s">
        <v>41</v>
      </c>
      <c r="N337" s="1" t="s">
        <v>3358</v>
      </c>
      <c r="O337" s="1" t="s">
        <v>43</v>
      </c>
      <c r="P337" s="1" t="s">
        <v>95</v>
      </c>
      <c r="Q337" s="1" t="s">
        <v>3359</v>
      </c>
      <c r="R337">
        <v>52.98</v>
      </c>
      <c r="S337" s="1"/>
      <c r="T337" s="1" t="str">
        <f>IF(O337="Furniture","Cardbaord",O337)</f>
        <v>Office Supplies</v>
      </c>
      <c r="U337" s="1" t="str">
        <f>IF(O337="furniture","cardbaord",IF(O337="office supplies","OS",O337))</f>
        <v>OS</v>
      </c>
    </row>
    <row r="338" spans="1:21" x14ac:dyDescent="0.3">
      <c r="A338">
        <v>1801</v>
      </c>
      <c r="B338" s="1" t="s">
        <v>3121</v>
      </c>
      <c r="C338" s="1" t="s">
        <v>3099</v>
      </c>
      <c r="D338" s="1" t="s">
        <v>3122</v>
      </c>
      <c r="E338" s="1" t="s">
        <v>21</v>
      </c>
      <c r="F338" s="1" t="s">
        <v>3123</v>
      </c>
      <c r="G338" s="1" t="s">
        <v>3124</v>
      </c>
      <c r="H338" s="1" t="s">
        <v>24</v>
      </c>
      <c r="I338" s="1" t="s">
        <v>25</v>
      </c>
      <c r="J338" s="1" t="s">
        <v>748</v>
      </c>
      <c r="K338" s="1" t="s">
        <v>92</v>
      </c>
      <c r="L338">
        <v>75081</v>
      </c>
      <c r="M338" s="1" t="s">
        <v>93</v>
      </c>
      <c r="N338" s="1" t="s">
        <v>3125</v>
      </c>
      <c r="O338" s="1" t="s">
        <v>43</v>
      </c>
      <c r="P338" s="1" t="s">
        <v>73</v>
      </c>
      <c r="Q338" s="1" t="s">
        <v>3126</v>
      </c>
      <c r="R338">
        <v>53.951999999999998</v>
      </c>
      <c r="S338" s="1"/>
      <c r="T338" s="1" t="str">
        <f>IF(O338="Furniture","Cardbaord",O338)</f>
        <v>Office Supplies</v>
      </c>
      <c r="U338" s="1" t="str">
        <f>IF(O338="furniture","cardbaord",IF(O338="office supplies","OS",O338))</f>
        <v>OS</v>
      </c>
    </row>
    <row r="339" spans="1:21" x14ac:dyDescent="0.3">
      <c r="A339">
        <v>162</v>
      </c>
      <c r="B339" s="1" t="s">
        <v>605</v>
      </c>
      <c r="C339" s="1" t="s">
        <v>606</v>
      </c>
      <c r="D339" s="1" t="s">
        <v>179</v>
      </c>
      <c r="E339" s="1" t="s">
        <v>21</v>
      </c>
      <c r="F339" s="1" t="s">
        <v>607</v>
      </c>
      <c r="G339" s="1" t="s">
        <v>608</v>
      </c>
      <c r="H339" s="1" t="s">
        <v>24</v>
      </c>
      <c r="I339" s="1" t="s">
        <v>25</v>
      </c>
      <c r="J339" s="1" t="s">
        <v>139</v>
      </c>
      <c r="K339" s="1" t="s">
        <v>140</v>
      </c>
      <c r="L339">
        <v>19134</v>
      </c>
      <c r="M339" s="1" t="s">
        <v>141</v>
      </c>
      <c r="N339" s="1" t="s">
        <v>609</v>
      </c>
      <c r="O339" s="1" t="s">
        <v>174</v>
      </c>
      <c r="P339" s="1" t="s">
        <v>217</v>
      </c>
      <c r="Q339" s="1" t="s">
        <v>610</v>
      </c>
      <c r="R339">
        <v>54.384</v>
      </c>
      <c r="S339" s="1"/>
      <c r="T339" s="1" t="str">
        <f>IF(O339="Furniture","Cardbaord",O339)</f>
        <v>Technology</v>
      </c>
      <c r="U339" s="1" t="str">
        <f>IF(O339="furniture","cardbaord",IF(O339="office supplies","OS",O339))</f>
        <v>Technology</v>
      </c>
    </row>
    <row r="340" spans="1:21" x14ac:dyDescent="0.3">
      <c r="A340">
        <v>471</v>
      </c>
      <c r="B340" s="1" t="s">
        <v>1383</v>
      </c>
      <c r="C340" s="1" t="s">
        <v>1384</v>
      </c>
      <c r="D340" s="1" t="s">
        <v>796</v>
      </c>
      <c r="E340" s="1" t="s">
        <v>49</v>
      </c>
      <c r="F340" s="1" t="s">
        <v>1385</v>
      </c>
      <c r="G340" s="1" t="s">
        <v>1386</v>
      </c>
      <c r="H340" s="1" t="s">
        <v>38</v>
      </c>
      <c r="I340" s="1" t="s">
        <v>25</v>
      </c>
      <c r="J340" s="1" t="s">
        <v>1387</v>
      </c>
      <c r="K340" s="1" t="s">
        <v>252</v>
      </c>
      <c r="L340">
        <v>11757</v>
      </c>
      <c r="M340" s="1" t="s">
        <v>141</v>
      </c>
      <c r="N340" s="1" t="s">
        <v>1388</v>
      </c>
      <c r="O340" s="1" t="s">
        <v>43</v>
      </c>
      <c r="P340" s="1" t="s">
        <v>73</v>
      </c>
      <c r="Q340" s="1" t="s">
        <v>1389</v>
      </c>
      <c r="R340">
        <v>55.48</v>
      </c>
      <c r="S340" s="1"/>
      <c r="T340" s="1" t="str">
        <f>IF(O340="Furniture","Cardbaord",O340)</f>
        <v>Office Supplies</v>
      </c>
      <c r="U340" s="1" t="str">
        <f>IF(O340="furniture","cardbaord",IF(O340="office supplies","OS",O340))</f>
        <v>OS</v>
      </c>
    </row>
    <row r="341" spans="1:21" x14ac:dyDescent="0.3">
      <c r="A341">
        <v>18</v>
      </c>
      <c r="B341" s="1" t="s">
        <v>107</v>
      </c>
      <c r="C341" s="1" t="s">
        <v>108</v>
      </c>
      <c r="D341" s="1" t="s">
        <v>109</v>
      </c>
      <c r="E341" s="1" t="s">
        <v>21</v>
      </c>
      <c r="F341" s="1" t="s">
        <v>110</v>
      </c>
      <c r="G341" s="1" t="s">
        <v>111</v>
      </c>
      <c r="H341" s="1" t="s">
        <v>24</v>
      </c>
      <c r="I341" s="1" t="s">
        <v>25</v>
      </c>
      <c r="J341" s="1" t="s">
        <v>112</v>
      </c>
      <c r="K341" s="1" t="s">
        <v>113</v>
      </c>
      <c r="L341">
        <v>84084</v>
      </c>
      <c r="M341" s="1" t="s">
        <v>41</v>
      </c>
      <c r="N341" s="1" t="s">
        <v>114</v>
      </c>
      <c r="O341" s="1" t="s">
        <v>43</v>
      </c>
      <c r="P341" s="1" t="s">
        <v>105</v>
      </c>
      <c r="Q341" s="1" t="s">
        <v>115</v>
      </c>
      <c r="R341">
        <v>55.5</v>
      </c>
      <c r="S341" s="1"/>
      <c r="T341" s="1" t="str">
        <f>IF(O341="Furniture","Cardbaord",O341)</f>
        <v>Office Supplies</v>
      </c>
      <c r="U341" s="1" t="str">
        <f>IF(O341="furniture","cardbaord",IF(O341="office supplies","OS",O341))</f>
        <v>OS</v>
      </c>
    </row>
    <row r="342" spans="1:21" x14ac:dyDescent="0.3">
      <c r="A342">
        <v>6523</v>
      </c>
      <c r="B342" s="1" t="s">
        <v>4226</v>
      </c>
      <c r="C342" s="1" t="s">
        <v>4227</v>
      </c>
      <c r="D342" s="1" t="s">
        <v>4228</v>
      </c>
      <c r="E342" s="1" t="s">
        <v>21</v>
      </c>
      <c r="F342" s="1" t="s">
        <v>4229</v>
      </c>
      <c r="G342" s="1" t="s">
        <v>4230</v>
      </c>
      <c r="H342" s="1" t="s">
        <v>24</v>
      </c>
      <c r="I342" s="1" t="s">
        <v>25</v>
      </c>
      <c r="J342" s="1" t="s">
        <v>1299</v>
      </c>
      <c r="K342" s="1" t="s">
        <v>225</v>
      </c>
      <c r="L342">
        <v>49201</v>
      </c>
      <c r="M342" s="1" t="s">
        <v>93</v>
      </c>
      <c r="N342" s="1" t="s">
        <v>4231</v>
      </c>
      <c r="O342" s="1" t="s">
        <v>43</v>
      </c>
      <c r="P342" s="1" t="s">
        <v>73</v>
      </c>
      <c r="Q342" s="1" t="s">
        <v>4232</v>
      </c>
      <c r="R342">
        <v>56.07</v>
      </c>
      <c r="S342" s="1"/>
      <c r="T342" s="1" t="str">
        <f>IF(O342="Furniture","Cardbaord",O342)</f>
        <v>Office Supplies</v>
      </c>
      <c r="U342" s="1" t="str">
        <f>IF(O342="furniture","cardbaord",IF(O342="office supplies","OS",O342))</f>
        <v>OS</v>
      </c>
    </row>
    <row r="343" spans="1:21" x14ac:dyDescent="0.3">
      <c r="A343">
        <v>2848</v>
      </c>
      <c r="B343" s="1" t="s">
        <v>3643</v>
      </c>
      <c r="C343" s="1" t="s">
        <v>3644</v>
      </c>
      <c r="D343" s="1" t="s">
        <v>66</v>
      </c>
      <c r="E343" s="1" t="s">
        <v>49</v>
      </c>
      <c r="F343" s="1" t="s">
        <v>3645</v>
      </c>
      <c r="G343" s="1" t="s">
        <v>3646</v>
      </c>
      <c r="H343" s="1" t="s">
        <v>38</v>
      </c>
      <c r="I343" s="1" t="s">
        <v>25</v>
      </c>
      <c r="J343" s="1" t="s">
        <v>2547</v>
      </c>
      <c r="K343" s="1" t="s">
        <v>1112</v>
      </c>
      <c r="L343">
        <v>30076</v>
      </c>
      <c r="M343" s="1" t="s">
        <v>28</v>
      </c>
      <c r="N343" s="1" t="s">
        <v>3647</v>
      </c>
      <c r="O343" s="1" t="s">
        <v>30</v>
      </c>
      <c r="P343" s="1" t="s">
        <v>63</v>
      </c>
      <c r="Q343" s="1" t="s">
        <v>3648</v>
      </c>
      <c r="R343">
        <v>56.28</v>
      </c>
      <c r="S343" s="1"/>
      <c r="T343" s="1" t="str">
        <f>IF(O343="Furniture","Cardbaord",O343)</f>
        <v>Cardbaord</v>
      </c>
      <c r="U343" s="1" t="str">
        <f>IF(O343="furniture","cardbaord",IF(O343="office supplies","OS",O343))</f>
        <v>cardbaord</v>
      </c>
    </row>
    <row r="344" spans="1:21" x14ac:dyDescent="0.3">
      <c r="A344">
        <v>423</v>
      </c>
      <c r="B344" s="1" t="s">
        <v>1288</v>
      </c>
      <c r="C344" s="1" t="s">
        <v>160</v>
      </c>
      <c r="D344" s="1" t="s">
        <v>161</v>
      </c>
      <c r="E344" s="1" t="s">
        <v>49</v>
      </c>
      <c r="F344" s="1" t="s">
        <v>1289</v>
      </c>
      <c r="G344" s="1" t="s">
        <v>1290</v>
      </c>
      <c r="H344" s="1" t="s">
        <v>38</v>
      </c>
      <c r="I344" s="1" t="s">
        <v>25</v>
      </c>
      <c r="J344" s="1" t="s">
        <v>1291</v>
      </c>
      <c r="K344" s="1" t="s">
        <v>1091</v>
      </c>
      <c r="L344">
        <v>1841</v>
      </c>
      <c r="M344" s="1" t="s">
        <v>141</v>
      </c>
      <c r="N344" s="1" t="s">
        <v>1292</v>
      </c>
      <c r="O344" s="1" t="s">
        <v>30</v>
      </c>
      <c r="P344" s="1" t="s">
        <v>63</v>
      </c>
      <c r="Q344" s="1" t="s">
        <v>1293</v>
      </c>
      <c r="R344">
        <v>56.56</v>
      </c>
      <c r="S344" s="1"/>
      <c r="T344" s="1" t="str">
        <f>IF(O344="Furniture","Cardbaord",O344)</f>
        <v>Cardbaord</v>
      </c>
      <c r="U344" s="1" t="str">
        <f>IF(O344="furniture","cardbaord",IF(O344="office supplies","OS",O344))</f>
        <v>cardbaord</v>
      </c>
    </row>
    <row r="345" spans="1:21" x14ac:dyDescent="0.3">
      <c r="A345">
        <v>5000</v>
      </c>
      <c r="B345" s="1" t="s">
        <v>4118</v>
      </c>
      <c r="C345" s="1" t="s">
        <v>4119</v>
      </c>
      <c r="D345" s="1" t="s">
        <v>4120</v>
      </c>
      <c r="E345" s="1" t="s">
        <v>49</v>
      </c>
      <c r="F345" s="1" t="s">
        <v>4121</v>
      </c>
      <c r="G345" s="1" t="s">
        <v>4122</v>
      </c>
      <c r="H345" s="1" t="s">
        <v>90</v>
      </c>
      <c r="I345" s="1" t="s">
        <v>25</v>
      </c>
      <c r="J345" s="1" t="s">
        <v>39</v>
      </c>
      <c r="K345" s="1" t="s">
        <v>40</v>
      </c>
      <c r="L345">
        <v>90045</v>
      </c>
      <c r="M345" s="1" t="s">
        <v>41</v>
      </c>
      <c r="N345" s="1" t="s">
        <v>4123</v>
      </c>
      <c r="O345" s="1" t="s">
        <v>43</v>
      </c>
      <c r="P345" s="1" t="s">
        <v>73</v>
      </c>
      <c r="Q345" s="1" t="s">
        <v>166</v>
      </c>
      <c r="R345">
        <v>56.7</v>
      </c>
      <c r="S345" s="1"/>
      <c r="T345" s="1" t="str">
        <f>IF(O345="Furniture","Cardbaord",O345)</f>
        <v>Office Supplies</v>
      </c>
      <c r="U345" s="1" t="str">
        <f>IF(O345="furniture","cardbaord",IF(O345="office supplies","OS",O345))</f>
        <v>OS</v>
      </c>
    </row>
    <row r="346" spans="1:21" x14ac:dyDescent="0.3">
      <c r="A346">
        <v>5838</v>
      </c>
      <c r="B346" s="1" t="s">
        <v>4190</v>
      </c>
      <c r="C346" s="1" t="s">
        <v>1479</v>
      </c>
      <c r="D346" s="1" t="s">
        <v>870</v>
      </c>
      <c r="E346" s="1" t="s">
        <v>49</v>
      </c>
      <c r="F346" s="1" t="s">
        <v>4191</v>
      </c>
      <c r="G346" s="1" t="s">
        <v>4192</v>
      </c>
      <c r="H346" s="1" t="s">
        <v>24</v>
      </c>
      <c r="I346" s="1" t="s">
        <v>25</v>
      </c>
      <c r="J346" s="1" t="s">
        <v>39</v>
      </c>
      <c r="K346" s="1" t="s">
        <v>40</v>
      </c>
      <c r="L346">
        <v>90036</v>
      </c>
      <c r="M346" s="1" t="s">
        <v>41</v>
      </c>
      <c r="N346" s="1" t="s">
        <v>4193</v>
      </c>
      <c r="O346" s="1" t="s">
        <v>174</v>
      </c>
      <c r="P346" s="1" t="s">
        <v>175</v>
      </c>
      <c r="Q346" s="1" t="s">
        <v>4194</v>
      </c>
      <c r="R346">
        <v>57.567999999999998</v>
      </c>
      <c r="S346" s="1"/>
      <c r="T346" s="1" t="str">
        <f>IF(O346="Furniture","Cardbaord",O346)</f>
        <v>Technology</v>
      </c>
      <c r="U346" s="1" t="str">
        <f>IF(O346="furniture","cardbaord",IF(O346="office supplies","OS",O346))</f>
        <v>Technology</v>
      </c>
    </row>
    <row r="347" spans="1:21" x14ac:dyDescent="0.3">
      <c r="A347">
        <v>750</v>
      </c>
      <c r="B347" s="1" t="s">
        <v>2000</v>
      </c>
      <c r="C347" s="1" t="s">
        <v>2001</v>
      </c>
      <c r="D347" s="1" t="s">
        <v>2002</v>
      </c>
      <c r="E347" s="1" t="s">
        <v>49</v>
      </c>
      <c r="F347" s="1" t="s">
        <v>2003</v>
      </c>
      <c r="G347" s="1" t="s">
        <v>2004</v>
      </c>
      <c r="H347" s="1" t="s">
        <v>24</v>
      </c>
      <c r="I347" s="1" t="s">
        <v>25</v>
      </c>
      <c r="J347" s="1" t="s">
        <v>2005</v>
      </c>
      <c r="K347" s="1" t="s">
        <v>225</v>
      </c>
      <c r="L347">
        <v>48183</v>
      </c>
      <c r="M347" s="1" t="s">
        <v>93</v>
      </c>
      <c r="N347" s="1" t="s">
        <v>2006</v>
      </c>
      <c r="O347" s="1" t="s">
        <v>43</v>
      </c>
      <c r="P347" s="1" t="s">
        <v>83</v>
      </c>
      <c r="Q347" s="1" t="s">
        <v>2007</v>
      </c>
      <c r="R347">
        <v>58.05</v>
      </c>
      <c r="S347" s="1"/>
      <c r="T347" s="1" t="str">
        <f>IF(O347="Furniture","Cardbaord",O347)</f>
        <v>Office Supplies</v>
      </c>
      <c r="U347" s="1" t="str">
        <f>IF(O347="furniture","cardbaord",IF(O347="office supplies","OS",O347))</f>
        <v>OS</v>
      </c>
    </row>
    <row r="348" spans="1:21" x14ac:dyDescent="0.3">
      <c r="A348">
        <v>154</v>
      </c>
      <c r="B348" s="1" t="s">
        <v>574</v>
      </c>
      <c r="C348" s="1" t="s">
        <v>575</v>
      </c>
      <c r="D348" s="1" t="s">
        <v>576</v>
      </c>
      <c r="E348" s="1" t="s">
        <v>169</v>
      </c>
      <c r="F348" s="1" t="s">
        <v>577</v>
      </c>
      <c r="G348" s="1" t="s">
        <v>578</v>
      </c>
      <c r="H348" s="1" t="s">
        <v>38</v>
      </c>
      <c r="I348" s="1" t="s">
        <v>25</v>
      </c>
      <c r="J348" s="1" t="s">
        <v>579</v>
      </c>
      <c r="K348" s="1" t="s">
        <v>40</v>
      </c>
      <c r="L348">
        <v>95123</v>
      </c>
      <c r="M348" s="1" t="s">
        <v>41</v>
      </c>
      <c r="N348" s="1" t="s">
        <v>580</v>
      </c>
      <c r="O348" s="1" t="s">
        <v>43</v>
      </c>
      <c r="P348" s="1" t="s">
        <v>73</v>
      </c>
      <c r="Q348" s="1" t="s">
        <v>581</v>
      </c>
      <c r="R348">
        <v>58.38</v>
      </c>
      <c r="S348" s="1"/>
      <c r="T348" s="1" t="str">
        <f>IF(O348="Furniture","Cardbaord",O348)</f>
        <v>Office Supplies</v>
      </c>
      <c r="U348" s="1" t="str">
        <f>IF(O348="furniture","cardbaord",IF(O348="office supplies","OS",O348))</f>
        <v>OS</v>
      </c>
    </row>
    <row r="349" spans="1:21" x14ac:dyDescent="0.3">
      <c r="A349">
        <v>448</v>
      </c>
      <c r="B349" s="1" t="s">
        <v>1355</v>
      </c>
      <c r="C349" s="1" t="s">
        <v>1356</v>
      </c>
      <c r="D349" s="1" t="s">
        <v>1357</v>
      </c>
      <c r="E349" s="1" t="s">
        <v>21</v>
      </c>
      <c r="F349" s="1" t="s">
        <v>1358</v>
      </c>
      <c r="G349" s="1" t="s">
        <v>1359</v>
      </c>
      <c r="H349" s="1" t="s">
        <v>24</v>
      </c>
      <c r="I349" s="1" t="s">
        <v>25</v>
      </c>
      <c r="J349" s="1" t="s">
        <v>1360</v>
      </c>
      <c r="K349" s="1" t="s">
        <v>252</v>
      </c>
      <c r="L349">
        <v>13021</v>
      </c>
      <c r="M349" s="1" t="s">
        <v>141</v>
      </c>
      <c r="N349" s="1" t="s">
        <v>1361</v>
      </c>
      <c r="O349" s="1" t="s">
        <v>43</v>
      </c>
      <c r="P349" s="1" t="s">
        <v>123</v>
      </c>
      <c r="Q349" s="1" t="s">
        <v>1362</v>
      </c>
      <c r="R349">
        <v>59.52</v>
      </c>
      <c r="S349" s="1"/>
      <c r="T349" s="1" t="str">
        <f>IF(O349="Furniture","Cardbaord",O349)</f>
        <v>Office Supplies</v>
      </c>
      <c r="U349" s="1" t="str">
        <f>IF(O349="furniture","cardbaord",IF(O349="office supplies","OS",O349))</f>
        <v>OS</v>
      </c>
    </row>
    <row r="350" spans="1:21" x14ac:dyDescent="0.3">
      <c r="A350">
        <v>3164</v>
      </c>
      <c r="B350" s="1" t="s">
        <v>3750</v>
      </c>
      <c r="C350" s="1" t="s">
        <v>884</v>
      </c>
      <c r="D350" s="1" t="s">
        <v>504</v>
      </c>
      <c r="E350" s="1" t="s">
        <v>49</v>
      </c>
      <c r="F350" s="1" t="s">
        <v>3751</v>
      </c>
      <c r="G350" s="1" t="s">
        <v>3752</v>
      </c>
      <c r="H350" s="1" t="s">
        <v>24</v>
      </c>
      <c r="I350" s="1" t="s">
        <v>25</v>
      </c>
      <c r="J350" s="1" t="s">
        <v>121</v>
      </c>
      <c r="K350" s="1" t="s">
        <v>40</v>
      </c>
      <c r="L350">
        <v>94109</v>
      </c>
      <c r="M350" s="1" t="s">
        <v>41</v>
      </c>
      <c r="N350" s="1" t="s">
        <v>3753</v>
      </c>
      <c r="O350" s="1" t="s">
        <v>43</v>
      </c>
      <c r="P350" s="1" t="s">
        <v>123</v>
      </c>
      <c r="Q350" s="1" t="s">
        <v>3754</v>
      </c>
      <c r="R350">
        <v>59.52</v>
      </c>
      <c r="S350" s="1"/>
      <c r="T350" s="1" t="str">
        <f>IF(O350="Furniture","Cardbaord",O350)</f>
        <v>Office Supplies</v>
      </c>
      <c r="U350" s="1" t="str">
        <f>IF(O350="furniture","cardbaord",IF(O350="office supplies","OS",O350))</f>
        <v>OS</v>
      </c>
    </row>
    <row r="351" spans="1:21" x14ac:dyDescent="0.3">
      <c r="A351">
        <v>131</v>
      </c>
      <c r="B351" s="1" t="s">
        <v>523</v>
      </c>
      <c r="C351" s="1" t="s">
        <v>524</v>
      </c>
      <c r="D351" s="1" t="s">
        <v>525</v>
      </c>
      <c r="E351" s="1" t="s">
        <v>169</v>
      </c>
      <c r="F351" s="1" t="s">
        <v>526</v>
      </c>
      <c r="G351" s="1" t="s">
        <v>527</v>
      </c>
      <c r="H351" s="1" t="s">
        <v>38</v>
      </c>
      <c r="I351" s="1" t="s">
        <v>25</v>
      </c>
      <c r="J351" s="1" t="s">
        <v>470</v>
      </c>
      <c r="K351" s="1" t="s">
        <v>471</v>
      </c>
      <c r="L351">
        <v>43229</v>
      </c>
      <c r="M351" s="1" t="s">
        <v>141</v>
      </c>
      <c r="N351" s="1" t="s">
        <v>528</v>
      </c>
      <c r="O351" s="1" t="s">
        <v>174</v>
      </c>
      <c r="P351" s="1" t="s">
        <v>175</v>
      </c>
      <c r="Q351" s="1" t="s">
        <v>529</v>
      </c>
      <c r="R351">
        <v>59.97</v>
      </c>
      <c r="S351" s="1"/>
      <c r="T351" s="1" t="str">
        <f>IF(O351="Furniture","Cardbaord",O351)</f>
        <v>Technology</v>
      </c>
      <c r="U351" s="1" t="str">
        <f>IF(O351="furniture","cardbaord",IF(O351="office supplies","OS",O351))</f>
        <v>Technology</v>
      </c>
    </row>
    <row r="352" spans="1:21" x14ac:dyDescent="0.3">
      <c r="A352">
        <v>2074</v>
      </c>
      <c r="B352" s="1" t="s">
        <v>3295</v>
      </c>
      <c r="C352" s="1" t="s">
        <v>1269</v>
      </c>
      <c r="D352" s="1" t="s">
        <v>382</v>
      </c>
      <c r="E352" s="1" t="s">
        <v>21</v>
      </c>
      <c r="F352" s="1" t="s">
        <v>3296</v>
      </c>
      <c r="G352" s="1" t="s">
        <v>3297</v>
      </c>
      <c r="H352" s="1" t="s">
        <v>90</v>
      </c>
      <c r="I352" s="1" t="s">
        <v>25</v>
      </c>
      <c r="J352" s="1" t="s">
        <v>901</v>
      </c>
      <c r="K352" s="1" t="s">
        <v>40</v>
      </c>
      <c r="L352">
        <v>94513</v>
      </c>
      <c r="M352" s="1" t="s">
        <v>41</v>
      </c>
      <c r="N352" s="1" t="s">
        <v>3298</v>
      </c>
      <c r="O352" s="1" t="s">
        <v>174</v>
      </c>
      <c r="P352" s="1" t="s">
        <v>217</v>
      </c>
      <c r="Q352" s="1" t="s">
        <v>3299</v>
      </c>
      <c r="R352">
        <v>59.97</v>
      </c>
      <c r="S352" s="1"/>
      <c r="T352" s="1" t="str">
        <f>IF(O352="Furniture","Cardbaord",O352)</f>
        <v>Technology</v>
      </c>
      <c r="U352" s="1" t="str">
        <f>IF(O352="furniture","cardbaord",IF(O352="office supplies","OS",O352))</f>
        <v>Technology</v>
      </c>
    </row>
    <row r="353" spans="1:21" x14ac:dyDescent="0.3">
      <c r="A353">
        <v>4348</v>
      </c>
      <c r="B353" s="1" t="s">
        <v>4035</v>
      </c>
      <c r="C353" s="1" t="s">
        <v>298</v>
      </c>
      <c r="D353" s="1" t="s">
        <v>4036</v>
      </c>
      <c r="E353" s="1" t="s">
        <v>49</v>
      </c>
      <c r="F353" s="1" t="s">
        <v>4037</v>
      </c>
      <c r="G353" s="1" t="s">
        <v>4038</v>
      </c>
      <c r="H353" s="1" t="s">
        <v>24</v>
      </c>
      <c r="I353" s="1" t="s">
        <v>25</v>
      </c>
      <c r="J353" s="1" t="s">
        <v>1306</v>
      </c>
      <c r="K353" s="1" t="s">
        <v>252</v>
      </c>
      <c r="L353">
        <v>10801</v>
      </c>
      <c r="M353" s="1" t="s">
        <v>141</v>
      </c>
      <c r="N353" s="1" t="s">
        <v>4039</v>
      </c>
      <c r="O353" s="1" t="s">
        <v>30</v>
      </c>
      <c r="P353" s="1" t="s">
        <v>63</v>
      </c>
      <c r="Q353" s="1" t="s">
        <v>4040</v>
      </c>
      <c r="R353">
        <v>60.72</v>
      </c>
      <c r="S353" s="1"/>
      <c r="T353" s="1" t="str">
        <f>IF(O353="Furniture","Cardbaord",O353)</f>
        <v>Cardbaord</v>
      </c>
      <c r="U353" s="1" t="str">
        <f>IF(O353="furniture","cardbaord",IF(O353="office supplies","OS",O353))</f>
        <v>cardbaord</v>
      </c>
    </row>
    <row r="354" spans="1:21" x14ac:dyDescent="0.3">
      <c r="A354">
        <v>5638</v>
      </c>
      <c r="B354" s="1" t="s">
        <v>4185</v>
      </c>
      <c r="C354" s="1" t="s">
        <v>3467</v>
      </c>
      <c r="D354" s="1" t="s">
        <v>2761</v>
      </c>
      <c r="E354" s="1" t="s">
        <v>49</v>
      </c>
      <c r="F354" s="1" t="s">
        <v>4186</v>
      </c>
      <c r="G354" s="1" t="s">
        <v>4187</v>
      </c>
      <c r="H354" s="1" t="s">
        <v>38</v>
      </c>
      <c r="I354" s="1" t="s">
        <v>25</v>
      </c>
      <c r="J354" s="1" t="s">
        <v>1762</v>
      </c>
      <c r="K354" s="1" t="s">
        <v>225</v>
      </c>
      <c r="L354">
        <v>48126</v>
      </c>
      <c r="M354" s="1" t="s">
        <v>93</v>
      </c>
      <c r="N354" s="1" t="s">
        <v>4188</v>
      </c>
      <c r="O354" s="1" t="s">
        <v>30</v>
      </c>
      <c r="P354" s="1" t="s">
        <v>63</v>
      </c>
      <c r="Q354" s="1" t="s">
        <v>4189</v>
      </c>
      <c r="R354">
        <v>60.84</v>
      </c>
      <c r="S354" s="1"/>
      <c r="T354" s="1" t="str">
        <f>IF(O354="Furniture","Cardbaord",O354)</f>
        <v>Cardbaord</v>
      </c>
      <c r="U354" s="1" t="str">
        <f>IF(O354="furniture","cardbaord",IF(O354="office supplies","OS",O354))</f>
        <v>cardbaord</v>
      </c>
    </row>
    <row r="355" spans="1:21" x14ac:dyDescent="0.3">
      <c r="A355">
        <v>674</v>
      </c>
      <c r="B355" s="1" t="s">
        <v>1842</v>
      </c>
      <c r="C355" s="1" t="s">
        <v>1663</v>
      </c>
      <c r="D355" s="1" t="s">
        <v>1261</v>
      </c>
      <c r="E355" s="1" t="s">
        <v>169</v>
      </c>
      <c r="F355" s="1" t="s">
        <v>1843</v>
      </c>
      <c r="G355" s="1" t="s">
        <v>1844</v>
      </c>
      <c r="H355" s="1" t="s">
        <v>24</v>
      </c>
      <c r="I355" s="1" t="s">
        <v>25</v>
      </c>
      <c r="J355" s="1" t="s">
        <v>470</v>
      </c>
      <c r="K355" s="1" t="s">
        <v>243</v>
      </c>
      <c r="L355">
        <v>47201</v>
      </c>
      <c r="M355" s="1" t="s">
        <v>93</v>
      </c>
      <c r="N355" s="1" t="s">
        <v>1845</v>
      </c>
      <c r="O355" s="1" t="s">
        <v>43</v>
      </c>
      <c r="P355" s="1" t="s">
        <v>95</v>
      </c>
      <c r="Q355" s="1" t="s">
        <v>1846</v>
      </c>
      <c r="R355">
        <v>61.44</v>
      </c>
      <c r="S355" s="1"/>
      <c r="T355" s="1" t="str">
        <f>IF(O355="Furniture","Cardbaord",O355)</f>
        <v>Office Supplies</v>
      </c>
      <c r="U355" s="1" t="str">
        <f>IF(O355="furniture","cardbaord",IF(O355="office supplies","OS",O355))</f>
        <v>OS</v>
      </c>
    </row>
    <row r="356" spans="1:21" x14ac:dyDescent="0.3">
      <c r="A356">
        <v>1303</v>
      </c>
      <c r="B356" s="1" t="s">
        <v>2703</v>
      </c>
      <c r="C356" s="1" t="s">
        <v>2704</v>
      </c>
      <c r="D356" s="1" t="s">
        <v>2705</v>
      </c>
      <c r="E356" s="1" t="s">
        <v>21</v>
      </c>
      <c r="F356" s="1" t="s">
        <v>2706</v>
      </c>
      <c r="G356" s="1" t="s">
        <v>2707</v>
      </c>
      <c r="H356" s="1" t="s">
        <v>90</v>
      </c>
      <c r="I356" s="1" t="s">
        <v>25</v>
      </c>
      <c r="J356" s="1" t="s">
        <v>996</v>
      </c>
      <c r="K356" s="1" t="s">
        <v>294</v>
      </c>
      <c r="L356">
        <v>22204</v>
      </c>
      <c r="M356" s="1" t="s">
        <v>28</v>
      </c>
      <c r="N356" s="1" t="s">
        <v>2708</v>
      </c>
      <c r="O356" s="1" t="s">
        <v>30</v>
      </c>
      <c r="P356" s="1" t="s">
        <v>31</v>
      </c>
      <c r="Q356" s="1" t="s">
        <v>2709</v>
      </c>
      <c r="R356">
        <v>61.96</v>
      </c>
      <c r="S356" s="1"/>
      <c r="T356" s="1" t="str">
        <f>IF(O356="Furniture","Cardbaord",O356)</f>
        <v>Cardbaord</v>
      </c>
      <c r="U356" s="1" t="str">
        <f>IF(O356="furniture","cardbaord",IF(O356="office supplies","OS",O356))</f>
        <v>cardbaord</v>
      </c>
    </row>
    <row r="357" spans="1:21" x14ac:dyDescent="0.3">
      <c r="A357">
        <v>1840</v>
      </c>
      <c r="B357" s="1" t="s">
        <v>3158</v>
      </c>
      <c r="C357" s="1" t="s">
        <v>3159</v>
      </c>
      <c r="D357" s="1" t="s">
        <v>634</v>
      </c>
      <c r="E357" s="1" t="s">
        <v>49</v>
      </c>
      <c r="F357" s="1" t="s">
        <v>3160</v>
      </c>
      <c r="G357" s="1" t="s">
        <v>3161</v>
      </c>
      <c r="H357" s="1" t="s">
        <v>38</v>
      </c>
      <c r="I357" s="1" t="s">
        <v>25</v>
      </c>
      <c r="J357" s="1" t="s">
        <v>439</v>
      </c>
      <c r="K357" s="1" t="s">
        <v>71</v>
      </c>
      <c r="L357">
        <v>28205</v>
      </c>
      <c r="M357" s="1" t="s">
        <v>28</v>
      </c>
      <c r="N357" s="1" t="s">
        <v>3162</v>
      </c>
      <c r="O357" s="1" t="s">
        <v>43</v>
      </c>
      <c r="P357" s="1" t="s">
        <v>95</v>
      </c>
      <c r="Q357" s="1" t="s">
        <v>3163</v>
      </c>
      <c r="R357">
        <v>62.92</v>
      </c>
      <c r="S357" s="1"/>
      <c r="T357" s="1" t="str">
        <f>IF(O357="Furniture","Cardbaord",O357)</f>
        <v>Office Supplies</v>
      </c>
      <c r="U357" s="1" t="str">
        <f>IF(O357="furniture","cardbaord",IF(O357="office supplies","OS",O357))</f>
        <v>OS</v>
      </c>
    </row>
    <row r="358" spans="1:21" x14ac:dyDescent="0.3">
      <c r="A358">
        <v>100</v>
      </c>
      <c r="B358" s="1" t="s">
        <v>411</v>
      </c>
      <c r="C358" s="1" t="s">
        <v>412</v>
      </c>
      <c r="D358" s="1" t="s">
        <v>413</v>
      </c>
      <c r="E358" s="1" t="s">
        <v>49</v>
      </c>
      <c r="F358" s="1" t="s">
        <v>414</v>
      </c>
      <c r="G358" s="1" t="s">
        <v>415</v>
      </c>
      <c r="H358" s="1" t="s">
        <v>90</v>
      </c>
      <c r="I358" s="1" t="s">
        <v>25</v>
      </c>
      <c r="J358" s="1" t="s">
        <v>276</v>
      </c>
      <c r="K358" s="1" t="s">
        <v>191</v>
      </c>
      <c r="L358">
        <v>60610</v>
      </c>
      <c r="M358" s="1" t="s">
        <v>93</v>
      </c>
      <c r="N358" s="1" t="s">
        <v>416</v>
      </c>
      <c r="O358" s="1" t="s">
        <v>43</v>
      </c>
      <c r="P358" s="1" t="s">
        <v>73</v>
      </c>
      <c r="Q358" s="1" t="s">
        <v>417</v>
      </c>
      <c r="R358">
        <v>64.623999999999995</v>
      </c>
      <c r="S358" s="1"/>
      <c r="T358" s="1" t="str">
        <f>IF(O358="Furniture","Cardbaord",O358)</f>
        <v>Office Supplies</v>
      </c>
      <c r="U358" s="1" t="str">
        <f>IF(O358="furniture","cardbaord",IF(O358="office supplies","OS",O358))</f>
        <v>OS</v>
      </c>
    </row>
    <row r="359" spans="1:21" x14ac:dyDescent="0.3">
      <c r="A359">
        <v>3404</v>
      </c>
      <c r="B359" s="1" t="s">
        <v>3794</v>
      </c>
      <c r="C359" s="1" t="s">
        <v>1131</v>
      </c>
      <c r="D359" s="1" t="s">
        <v>3795</v>
      </c>
      <c r="E359" s="1" t="s">
        <v>49</v>
      </c>
      <c r="F359" s="1" t="s">
        <v>3796</v>
      </c>
      <c r="G359" s="1" t="s">
        <v>3797</v>
      </c>
      <c r="H359" s="1" t="s">
        <v>24</v>
      </c>
      <c r="I359" s="1" t="s">
        <v>25</v>
      </c>
      <c r="J359" s="1" t="s">
        <v>164</v>
      </c>
      <c r="K359" s="1" t="s">
        <v>92</v>
      </c>
      <c r="L359">
        <v>77095</v>
      </c>
      <c r="M359" s="1" t="s">
        <v>93</v>
      </c>
      <c r="N359" s="1" t="s">
        <v>3798</v>
      </c>
      <c r="O359" s="1" t="s">
        <v>30</v>
      </c>
      <c r="P359" s="1" t="s">
        <v>63</v>
      </c>
      <c r="Q359" s="1" t="s">
        <v>3799</v>
      </c>
      <c r="R359">
        <v>65.424000000000007</v>
      </c>
      <c r="S359" s="1"/>
      <c r="T359" s="1" t="str">
        <f>IF(O359="Furniture","Cardbaord",O359)</f>
        <v>Cardbaord</v>
      </c>
      <c r="U359" s="1" t="str">
        <f>IF(O359="furniture","cardbaord",IF(O359="office supplies","OS",O359))</f>
        <v>cardbaord</v>
      </c>
    </row>
    <row r="360" spans="1:21" x14ac:dyDescent="0.3">
      <c r="A360">
        <v>204</v>
      </c>
      <c r="B360" s="1" t="s">
        <v>743</v>
      </c>
      <c r="C360" s="1" t="s">
        <v>744</v>
      </c>
      <c r="D360" s="1" t="s">
        <v>745</v>
      </c>
      <c r="E360" s="1" t="s">
        <v>21</v>
      </c>
      <c r="F360" s="1" t="s">
        <v>746</v>
      </c>
      <c r="G360" s="1" t="s">
        <v>747</v>
      </c>
      <c r="H360" s="1" t="s">
        <v>24</v>
      </c>
      <c r="I360" s="1" t="s">
        <v>25</v>
      </c>
      <c r="J360" s="1" t="s">
        <v>748</v>
      </c>
      <c r="K360" s="1" t="s">
        <v>92</v>
      </c>
      <c r="L360">
        <v>75220</v>
      </c>
      <c r="M360" s="1" t="s">
        <v>93</v>
      </c>
      <c r="N360" s="1" t="s">
        <v>749</v>
      </c>
      <c r="O360" s="1" t="s">
        <v>43</v>
      </c>
      <c r="P360" s="1" t="s">
        <v>95</v>
      </c>
      <c r="Q360" s="1" t="s">
        <v>750</v>
      </c>
      <c r="R360">
        <v>66.284000000000006</v>
      </c>
      <c r="S360" s="1"/>
      <c r="T360" s="1" t="str">
        <f>IF(O360="Furniture","Cardbaord",O360)</f>
        <v>Office Supplies</v>
      </c>
      <c r="U360" s="1" t="str">
        <f>IF(O360="furniture","cardbaord",IF(O360="office supplies","OS",O360))</f>
        <v>OS</v>
      </c>
    </row>
    <row r="361" spans="1:21" x14ac:dyDescent="0.3">
      <c r="A361">
        <v>825</v>
      </c>
      <c r="B361" s="1" t="s">
        <v>2104</v>
      </c>
      <c r="C361" s="1" t="s">
        <v>2105</v>
      </c>
      <c r="D361" s="1" t="s">
        <v>109</v>
      </c>
      <c r="E361" s="1" t="s">
        <v>49</v>
      </c>
      <c r="F361" s="1" t="s">
        <v>2106</v>
      </c>
      <c r="G361" s="1" t="s">
        <v>2107</v>
      </c>
      <c r="H361" s="1" t="s">
        <v>24</v>
      </c>
      <c r="I361" s="1" t="s">
        <v>25</v>
      </c>
      <c r="J361" s="1" t="s">
        <v>121</v>
      </c>
      <c r="K361" s="1" t="s">
        <v>40</v>
      </c>
      <c r="L361">
        <v>94110</v>
      </c>
      <c r="M361" s="1" t="s">
        <v>41</v>
      </c>
      <c r="N361" s="1" t="s">
        <v>2108</v>
      </c>
      <c r="O361" s="1" t="s">
        <v>174</v>
      </c>
      <c r="P361" s="1" t="s">
        <v>217</v>
      </c>
      <c r="Q361" s="1" t="s">
        <v>2109</v>
      </c>
      <c r="R361">
        <v>67.8</v>
      </c>
      <c r="S361" s="1"/>
      <c r="T361" s="1" t="str">
        <f>IF(O361="Furniture","Cardbaord",O361)</f>
        <v>Technology</v>
      </c>
      <c r="U361" s="1" t="str">
        <f>IF(O361="furniture","cardbaord",IF(O361="office supplies","OS",O361))</f>
        <v>Technology</v>
      </c>
    </row>
    <row r="362" spans="1:21" x14ac:dyDescent="0.3">
      <c r="A362">
        <v>15</v>
      </c>
      <c r="B362" s="1" t="s">
        <v>85</v>
      </c>
      <c r="C362" s="1" t="s">
        <v>86</v>
      </c>
      <c r="D362" s="1" t="s">
        <v>87</v>
      </c>
      <c r="E362" s="1" t="s">
        <v>49</v>
      </c>
      <c r="F362" s="1" t="s">
        <v>88</v>
      </c>
      <c r="G362" s="1" t="s">
        <v>89</v>
      </c>
      <c r="H362" s="1" t="s">
        <v>90</v>
      </c>
      <c r="I362" s="1" t="s">
        <v>25</v>
      </c>
      <c r="J362" s="1" t="s">
        <v>91</v>
      </c>
      <c r="K362" s="1" t="s">
        <v>92</v>
      </c>
      <c r="L362">
        <v>76106</v>
      </c>
      <c r="M362" s="1" t="s">
        <v>93</v>
      </c>
      <c r="N362" s="1" t="s">
        <v>94</v>
      </c>
      <c r="O362" s="1" t="s">
        <v>43</v>
      </c>
      <c r="P362" s="1" t="s">
        <v>95</v>
      </c>
      <c r="Q362" s="1" t="s">
        <v>96</v>
      </c>
      <c r="R362">
        <v>68.81</v>
      </c>
      <c r="S362" s="1"/>
      <c r="T362" s="1" t="str">
        <f>IF(O362="Furniture","Cardbaord",O362)</f>
        <v>Office Supplies</v>
      </c>
      <c r="U362" s="1" t="str">
        <f>IF(O362="furniture","cardbaord",IF(O362="office supplies","OS",O362))</f>
        <v>OS</v>
      </c>
    </row>
    <row r="363" spans="1:21" x14ac:dyDescent="0.3">
      <c r="A363">
        <v>1809</v>
      </c>
      <c r="B363" s="1" t="s">
        <v>3127</v>
      </c>
      <c r="C363" s="1" t="s">
        <v>3128</v>
      </c>
      <c r="D363" s="1" t="s">
        <v>1937</v>
      </c>
      <c r="E363" s="1" t="s">
        <v>169</v>
      </c>
      <c r="F363" s="1" t="s">
        <v>3129</v>
      </c>
      <c r="G363" s="1" t="s">
        <v>3130</v>
      </c>
      <c r="H363" s="1" t="s">
        <v>38</v>
      </c>
      <c r="I363" s="1" t="s">
        <v>25</v>
      </c>
      <c r="J363" s="1" t="s">
        <v>3131</v>
      </c>
      <c r="K363" s="1" t="s">
        <v>595</v>
      </c>
      <c r="L363">
        <v>74133</v>
      </c>
      <c r="M363" s="1" t="s">
        <v>93</v>
      </c>
      <c r="N363" s="1" t="s">
        <v>3132</v>
      </c>
      <c r="O363" s="1" t="s">
        <v>174</v>
      </c>
      <c r="P363" s="1" t="s">
        <v>175</v>
      </c>
      <c r="Q363" s="1" t="s">
        <v>3133</v>
      </c>
      <c r="R363">
        <v>69.930000000000007</v>
      </c>
      <c r="S363" s="1"/>
      <c r="T363" s="1" t="str">
        <f>IF(O363="Furniture","Cardbaord",O363)</f>
        <v>Technology</v>
      </c>
      <c r="U363" s="1" t="str">
        <f>IF(O363="furniture","cardbaord",IF(O363="office supplies","OS",O363))</f>
        <v>Technology</v>
      </c>
    </row>
    <row r="364" spans="1:21" x14ac:dyDescent="0.3">
      <c r="A364">
        <v>428</v>
      </c>
      <c r="B364" s="1" t="s">
        <v>1303</v>
      </c>
      <c r="C364" s="1" t="s">
        <v>627</v>
      </c>
      <c r="D364" s="1" t="s">
        <v>819</v>
      </c>
      <c r="E364" s="1" t="s">
        <v>169</v>
      </c>
      <c r="F364" s="1" t="s">
        <v>1304</v>
      </c>
      <c r="G364" s="1" t="s">
        <v>1305</v>
      </c>
      <c r="H364" s="1" t="s">
        <v>90</v>
      </c>
      <c r="I364" s="1" t="s">
        <v>25</v>
      </c>
      <c r="J364" s="1" t="s">
        <v>1306</v>
      </c>
      <c r="K364" s="1" t="s">
        <v>252</v>
      </c>
      <c r="L364">
        <v>10801</v>
      </c>
      <c r="M364" s="1" t="s">
        <v>141</v>
      </c>
      <c r="N364" s="1" t="s">
        <v>1307</v>
      </c>
      <c r="O364" s="1" t="s">
        <v>174</v>
      </c>
      <c r="P364" s="1" t="s">
        <v>888</v>
      </c>
      <c r="Q364" s="1" t="s">
        <v>1308</v>
      </c>
      <c r="R364">
        <v>69.989999999999995</v>
      </c>
      <c r="S364" s="1"/>
      <c r="T364" s="1" t="str">
        <f>IF(O364="Furniture","Cardbaord",O364)</f>
        <v>Technology</v>
      </c>
      <c r="U364" s="1" t="str">
        <f>IF(O364="furniture","cardbaord",IF(O364="office supplies","OS",O364))</f>
        <v>Technology</v>
      </c>
    </row>
    <row r="365" spans="1:21" x14ac:dyDescent="0.3">
      <c r="A365">
        <v>896</v>
      </c>
      <c r="B365" s="1" t="s">
        <v>2220</v>
      </c>
      <c r="C365" s="1" t="s">
        <v>459</v>
      </c>
      <c r="D365" s="1" t="s">
        <v>2221</v>
      </c>
      <c r="E365" s="1" t="s">
        <v>169</v>
      </c>
      <c r="F365" s="1" t="s">
        <v>2222</v>
      </c>
      <c r="G365" s="1" t="s">
        <v>2223</v>
      </c>
      <c r="H365" s="1" t="s">
        <v>38</v>
      </c>
      <c r="I365" s="1" t="s">
        <v>25</v>
      </c>
      <c r="J365" s="1" t="s">
        <v>121</v>
      </c>
      <c r="K365" s="1" t="s">
        <v>40</v>
      </c>
      <c r="L365">
        <v>94122</v>
      </c>
      <c r="M365" s="1" t="s">
        <v>41</v>
      </c>
      <c r="N365" s="1" t="s">
        <v>2224</v>
      </c>
      <c r="O365" s="1" t="s">
        <v>43</v>
      </c>
      <c r="P365" s="1" t="s">
        <v>83</v>
      </c>
      <c r="Q365" s="1" t="s">
        <v>2225</v>
      </c>
      <c r="R365">
        <v>70.007999999999996</v>
      </c>
      <c r="S365" s="1"/>
      <c r="T365" s="1" t="str">
        <f>IF(O365="Furniture","Cardbaord",O365)</f>
        <v>Office Supplies</v>
      </c>
      <c r="U365" s="1" t="str">
        <f>IF(O365="furniture","cardbaord",IF(O365="office supplies","OS",O365))</f>
        <v>OS</v>
      </c>
    </row>
    <row r="366" spans="1:21" x14ac:dyDescent="0.3">
      <c r="A366">
        <v>1874</v>
      </c>
      <c r="B366" s="1" t="s">
        <v>3191</v>
      </c>
      <c r="C366" s="1" t="s">
        <v>2440</v>
      </c>
      <c r="D366" s="1" t="s">
        <v>3192</v>
      </c>
      <c r="E366" s="1" t="s">
        <v>49</v>
      </c>
      <c r="F366" s="1" t="s">
        <v>3193</v>
      </c>
      <c r="G366" s="1" t="s">
        <v>3194</v>
      </c>
      <c r="H366" s="1" t="s">
        <v>24</v>
      </c>
      <c r="I366" s="1" t="s">
        <v>25</v>
      </c>
      <c r="J366" s="1" t="s">
        <v>3195</v>
      </c>
      <c r="K366" s="1" t="s">
        <v>81</v>
      </c>
      <c r="L366">
        <v>99207</v>
      </c>
      <c r="M366" s="1" t="s">
        <v>41</v>
      </c>
      <c r="N366" s="1" t="s">
        <v>3196</v>
      </c>
      <c r="O366" s="1" t="s">
        <v>30</v>
      </c>
      <c r="P366" s="1" t="s">
        <v>55</v>
      </c>
      <c r="Q366" s="1" t="s">
        <v>3197</v>
      </c>
      <c r="R366">
        <v>70.98</v>
      </c>
      <c r="S366" s="1"/>
      <c r="T366" s="1" t="str">
        <f>IF(O366="Furniture","Cardbaord",O366)</f>
        <v>Cardbaord</v>
      </c>
      <c r="U366" s="1" t="str">
        <f>IF(O366="furniture","cardbaord",IF(O366="office supplies","OS",O366))</f>
        <v>cardbaord</v>
      </c>
    </row>
    <row r="367" spans="1:21" x14ac:dyDescent="0.3">
      <c r="A367">
        <v>24</v>
      </c>
      <c r="B367" s="1" t="s">
        <v>134</v>
      </c>
      <c r="C367" s="1" t="s">
        <v>135</v>
      </c>
      <c r="D367" s="1" t="s">
        <v>136</v>
      </c>
      <c r="E367" s="1" t="s">
        <v>21</v>
      </c>
      <c r="F367" s="1" t="s">
        <v>137</v>
      </c>
      <c r="G367" s="1" t="s">
        <v>138</v>
      </c>
      <c r="H367" s="1" t="s">
        <v>24</v>
      </c>
      <c r="I367" s="1" t="s">
        <v>25</v>
      </c>
      <c r="J367" s="1" t="s">
        <v>139</v>
      </c>
      <c r="K367" s="1" t="s">
        <v>140</v>
      </c>
      <c r="L367">
        <v>19140</v>
      </c>
      <c r="M367" s="1" t="s">
        <v>141</v>
      </c>
      <c r="N367" s="1" t="s">
        <v>142</v>
      </c>
      <c r="O367" s="1" t="s">
        <v>30</v>
      </c>
      <c r="P367" s="1" t="s">
        <v>143</v>
      </c>
      <c r="Q367" s="1" t="s">
        <v>144</v>
      </c>
      <c r="R367">
        <v>71.372</v>
      </c>
      <c r="S367" s="1"/>
      <c r="T367" s="1" t="str">
        <f>IF(O367="Furniture","Cardbaord",O367)</f>
        <v>Cardbaord</v>
      </c>
      <c r="U367" s="1" t="str">
        <f>IF(O367="furniture","cardbaord",IF(O367="office supplies","OS",O367))</f>
        <v>cardbaord</v>
      </c>
    </row>
    <row r="368" spans="1:21" x14ac:dyDescent="0.3">
      <c r="A368">
        <v>1091</v>
      </c>
      <c r="B368" s="1" t="s">
        <v>2515</v>
      </c>
      <c r="C368" s="1" t="s">
        <v>1132</v>
      </c>
      <c r="D368" s="1" t="s">
        <v>1416</v>
      </c>
      <c r="E368" s="1" t="s">
        <v>49</v>
      </c>
      <c r="F368" s="1" t="s">
        <v>2516</v>
      </c>
      <c r="G368" s="1" t="s">
        <v>2517</v>
      </c>
      <c r="H368" s="1" t="s">
        <v>38</v>
      </c>
      <c r="I368" s="1" t="s">
        <v>25</v>
      </c>
      <c r="J368" s="1" t="s">
        <v>672</v>
      </c>
      <c r="K368" s="1" t="s">
        <v>71</v>
      </c>
      <c r="L368">
        <v>28110</v>
      </c>
      <c r="M368" s="1" t="s">
        <v>28</v>
      </c>
      <c r="N368" s="1" t="s">
        <v>2518</v>
      </c>
      <c r="O368" s="1" t="s">
        <v>174</v>
      </c>
      <c r="P368" s="1" t="s">
        <v>175</v>
      </c>
      <c r="Q368" s="1" t="s">
        <v>2519</v>
      </c>
      <c r="R368">
        <v>71.983999999999995</v>
      </c>
      <c r="S368" s="1"/>
      <c r="T368" s="1" t="str">
        <f>IF(O368="Furniture","Cardbaord",O368)</f>
        <v>Technology</v>
      </c>
      <c r="U368" s="1" t="str">
        <f>IF(O368="furniture","cardbaord",IF(O368="office supplies","OS",O368))</f>
        <v>Technology</v>
      </c>
    </row>
    <row r="369" spans="1:21" x14ac:dyDescent="0.3">
      <c r="A369">
        <v>2226</v>
      </c>
      <c r="B369" s="1" t="s">
        <v>3346</v>
      </c>
      <c r="C369" s="1" t="s">
        <v>3347</v>
      </c>
      <c r="D369" s="1" t="s">
        <v>1450</v>
      </c>
      <c r="E369" s="1" t="s">
        <v>21</v>
      </c>
      <c r="F369" s="1" t="s">
        <v>3348</v>
      </c>
      <c r="G369" s="1" t="s">
        <v>3349</v>
      </c>
      <c r="H369" s="1" t="s">
        <v>24</v>
      </c>
      <c r="I369" s="1" t="s">
        <v>25</v>
      </c>
      <c r="J369" s="1" t="s">
        <v>3350</v>
      </c>
      <c r="K369" s="1" t="s">
        <v>431</v>
      </c>
      <c r="L369">
        <v>80122</v>
      </c>
      <c r="M369" s="1" t="s">
        <v>41</v>
      </c>
      <c r="N369" s="1" t="s">
        <v>3351</v>
      </c>
      <c r="O369" s="1" t="s">
        <v>30</v>
      </c>
      <c r="P369" s="1" t="s">
        <v>31</v>
      </c>
      <c r="Q369" s="1" t="s">
        <v>3352</v>
      </c>
      <c r="R369">
        <v>72.293999999999997</v>
      </c>
      <c r="S369" s="1"/>
      <c r="T369" s="1" t="str">
        <f>IF(O369="Furniture","Cardbaord",O369)</f>
        <v>Cardbaord</v>
      </c>
      <c r="U369" s="1" t="str">
        <f>IF(O369="furniture","cardbaord",IF(O369="office supplies","OS",O369))</f>
        <v>cardbaord</v>
      </c>
    </row>
    <row r="370" spans="1:21" x14ac:dyDescent="0.3">
      <c r="A370">
        <v>1323</v>
      </c>
      <c r="B370" s="1" t="s">
        <v>2723</v>
      </c>
      <c r="C370" s="1" t="s">
        <v>2724</v>
      </c>
      <c r="D370" s="1" t="s">
        <v>1108</v>
      </c>
      <c r="E370" s="1" t="s">
        <v>49</v>
      </c>
      <c r="F370" s="1" t="s">
        <v>2725</v>
      </c>
      <c r="G370" s="1" t="s">
        <v>2726</v>
      </c>
      <c r="H370" s="1" t="s">
        <v>24</v>
      </c>
      <c r="I370" s="1" t="s">
        <v>25</v>
      </c>
      <c r="J370" s="1" t="s">
        <v>2727</v>
      </c>
      <c r="K370" s="1" t="s">
        <v>27</v>
      </c>
      <c r="L370">
        <v>42071</v>
      </c>
      <c r="M370" s="1" t="s">
        <v>28</v>
      </c>
      <c r="N370" s="1" t="s">
        <v>2728</v>
      </c>
      <c r="O370" s="1" t="s">
        <v>43</v>
      </c>
      <c r="P370" s="1" t="s">
        <v>95</v>
      </c>
      <c r="Q370" s="1" t="s">
        <v>2729</v>
      </c>
      <c r="R370">
        <v>72.8</v>
      </c>
      <c r="S370" s="1"/>
      <c r="T370" s="1" t="str">
        <f>IF(O370="Furniture","Cardbaord",O370)</f>
        <v>Office Supplies</v>
      </c>
      <c r="U370" s="1" t="str">
        <f>IF(O370="furniture","cardbaord",IF(O370="office supplies","OS",O370))</f>
        <v>OS</v>
      </c>
    </row>
    <row r="371" spans="1:21" x14ac:dyDescent="0.3">
      <c r="A371">
        <v>107</v>
      </c>
      <c r="B371" s="1" t="s">
        <v>434</v>
      </c>
      <c r="C371" s="1" t="s">
        <v>435</v>
      </c>
      <c r="D371" s="1" t="s">
        <v>436</v>
      </c>
      <c r="E371" s="1" t="s">
        <v>49</v>
      </c>
      <c r="F371" s="1" t="s">
        <v>437</v>
      </c>
      <c r="G371" s="1" t="s">
        <v>438</v>
      </c>
      <c r="H371" s="1" t="s">
        <v>24</v>
      </c>
      <c r="I371" s="1" t="s">
        <v>25</v>
      </c>
      <c r="J371" s="1" t="s">
        <v>439</v>
      </c>
      <c r="K371" s="1" t="s">
        <v>71</v>
      </c>
      <c r="L371">
        <v>28205</v>
      </c>
      <c r="M371" s="1" t="s">
        <v>28</v>
      </c>
      <c r="N371" s="1" t="s">
        <v>440</v>
      </c>
      <c r="O371" s="1" t="s">
        <v>174</v>
      </c>
      <c r="P371" s="1" t="s">
        <v>217</v>
      </c>
      <c r="Q371" s="1" t="s">
        <v>441</v>
      </c>
      <c r="R371">
        <v>74.111999999999995</v>
      </c>
      <c r="S371" s="1"/>
      <c r="T371" s="1" t="str">
        <f>IF(O371="Furniture","Cardbaord",O371)</f>
        <v>Technology</v>
      </c>
      <c r="U371" s="1" t="str">
        <f>IF(O371="furniture","cardbaord",IF(O371="office supplies","OS",O371))</f>
        <v>Technology</v>
      </c>
    </row>
    <row r="372" spans="1:21" x14ac:dyDescent="0.3">
      <c r="A372">
        <v>3187</v>
      </c>
      <c r="B372" s="1" t="s">
        <v>3755</v>
      </c>
      <c r="C372" s="1" t="s">
        <v>3756</v>
      </c>
      <c r="D372" s="1" t="s">
        <v>1030</v>
      </c>
      <c r="E372" s="1" t="s">
        <v>169</v>
      </c>
      <c r="F372" s="1" t="s">
        <v>3757</v>
      </c>
      <c r="G372" s="1" t="s">
        <v>3758</v>
      </c>
      <c r="H372" s="1" t="s">
        <v>38</v>
      </c>
      <c r="I372" s="1" t="s">
        <v>25</v>
      </c>
      <c r="J372" s="1" t="s">
        <v>164</v>
      </c>
      <c r="K372" s="1" t="s">
        <v>92</v>
      </c>
      <c r="L372">
        <v>77041</v>
      </c>
      <c r="M372" s="1" t="s">
        <v>93</v>
      </c>
      <c r="N372" s="1" t="s">
        <v>3759</v>
      </c>
      <c r="O372" s="1" t="s">
        <v>43</v>
      </c>
      <c r="P372" s="1" t="s">
        <v>183</v>
      </c>
      <c r="Q372" s="1" t="s">
        <v>618</v>
      </c>
      <c r="R372">
        <v>74.352000000000004</v>
      </c>
      <c r="S372" s="1"/>
      <c r="T372" s="1" t="str">
        <f>IF(O372="Furniture","Cardbaord",O372)</f>
        <v>Office Supplies</v>
      </c>
      <c r="U372" s="1" t="str">
        <f>IF(O372="furniture","cardbaord",IF(O372="office supplies","OS",O372))</f>
        <v>OS</v>
      </c>
    </row>
    <row r="373" spans="1:21" x14ac:dyDescent="0.3">
      <c r="A373">
        <v>1819</v>
      </c>
      <c r="B373" s="1" t="s">
        <v>3139</v>
      </c>
      <c r="C373" s="1" t="s">
        <v>2357</v>
      </c>
      <c r="D373" s="1" t="s">
        <v>3140</v>
      </c>
      <c r="E373" s="1" t="s">
        <v>49</v>
      </c>
      <c r="F373" s="1" t="s">
        <v>3141</v>
      </c>
      <c r="G373" s="1" t="s">
        <v>3142</v>
      </c>
      <c r="H373" s="1" t="s">
        <v>24</v>
      </c>
      <c r="I373" s="1" t="s">
        <v>25</v>
      </c>
      <c r="J373" s="1" t="s">
        <v>276</v>
      </c>
      <c r="K373" s="1" t="s">
        <v>191</v>
      </c>
      <c r="L373">
        <v>60623</v>
      </c>
      <c r="M373" s="1" t="s">
        <v>93</v>
      </c>
      <c r="N373" s="1" t="s">
        <v>3143</v>
      </c>
      <c r="O373" s="1" t="s">
        <v>43</v>
      </c>
      <c r="P373" s="1" t="s">
        <v>95</v>
      </c>
      <c r="Q373" s="1" t="s">
        <v>3144</v>
      </c>
      <c r="R373">
        <v>75.599999999999994</v>
      </c>
      <c r="S373" s="1"/>
      <c r="T373" s="1" t="str">
        <f>IF(O373="Furniture","Cardbaord",O373)</f>
        <v>Office Supplies</v>
      </c>
      <c r="U373" s="1" t="str">
        <f>IF(O373="furniture","cardbaord",IF(O373="office supplies","OS",O373))</f>
        <v>OS</v>
      </c>
    </row>
    <row r="374" spans="1:21" x14ac:dyDescent="0.3">
      <c r="A374">
        <v>395</v>
      </c>
      <c r="B374" s="1" t="s">
        <v>1223</v>
      </c>
      <c r="C374" s="1" t="s">
        <v>1224</v>
      </c>
      <c r="D374" s="1" t="s">
        <v>1225</v>
      </c>
      <c r="E374" s="1" t="s">
        <v>49</v>
      </c>
      <c r="F374" s="1" t="s">
        <v>1226</v>
      </c>
      <c r="G374" s="1" t="s">
        <v>1227</v>
      </c>
      <c r="H374" s="1" t="s">
        <v>90</v>
      </c>
      <c r="I374" s="1" t="s">
        <v>25</v>
      </c>
      <c r="J374" s="1" t="s">
        <v>1228</v>
      </c>
      <c r="K374" s="1" t="s">
        <v>1229</v>
      </c>
      <c r="L374">
        <v>89115</v>
      </c>
      <c r="M374" s="1" t="s">
        <v>41</v>
      </c>
      <c r="N374" s="1" t="s">
        <v>1230</v>
      </c>
      <c r="O374" s="1" t="s">
        <v>43</v>
      </c>
      <c r="P374" s="1" t="s">
        <v>83</v>
      </c>
      <c r="Q374" s="1" t="s">
        <v>1231</v>
      </c>
      <c r="R374">
        <v>75.792000000000002</v>
      </c>
      <c r="S374" s="1"/>
      <c r="T374" s="1" t="str">
        <f>IF(O374="Furniture","Cardbaord",O374)</f>
        <v>Office Supplies</v>
      </c>
      <c r="U374" s="1" t="str">
        <f>IF(O374="furniture","cardbaord",IF(O374="office supplies","OS",O374))</f>
        <v>OS</v>
      </c>
    </row>
    <row r="375" spans="1:21" x14ac:dyDescent="0.3">
      <c r="A375">
        <v>70</v>
      </c>
      <c r="B375" s="1" t="s">
        <v>288</v>
      </c>
      <c r="C375" s="1" t="s">
        <v>289</v>
      </c>
      <c r="D375" s="1" t="s">
        <v>290</v>
      </c>
      <c r="E375" s="1" t="s">
        <v>169</v>
      </c>
      <c r="F375" s="1" t="s">
        <v>291</v>
      </c>
      <c r="G375" s="1" t="s">
        <v>292</v>
      </c>
      <c r="H375" s="1" t="s">
        <v>24</v>
      </c>
      <c r="I375" s="1" t="s">
        <v>25</v>
      </c>
      <c r="J375" s="1" t="s">
        <v>293</v>
      </c>
      <c r="K375" s="1" t="s">
        <v>294</v>
      </c>
      <c r="L375">
        <v>22153</v>
      </c>
      <c r="M375" s="1" t="s">
        <v>28</v>
      </c>
      <c r="N375" s="1" t="s">
        <v>295</v>
      </c>
      <c r="O375" s="1" t="s">
        <v>43</v>
      </c>
      <c r="P375" s="1" t="s">
        <v>73</v>
      </c>
      <c r="Q375" s="1" t="s">
        <v>296</v>
      </c>
      <c r="R375">
        <v>75.88</v>
      </c>
      <c r="S375" s="1"/>
      <c r="T375" s="1" t="str">
        <f>IF(O375="Furniture","Cardbaord",O375)</f>
        <v>Office Supplies</v>
      </c>
      <c r="U375" s="1" t="str">
        <f>IF(O375="furniture","cardbaord",IF(O375="office supplies","OS",O375))</f>
        <v>OS</v>
      </c>
    </row>
    <row r="376" spans="1:21" x14ac:dyDescent="0.3">
      <c r="A376">
        <v>112</v>
      </c>
      <c r="B376" s="1" t="s">
        <v>457</v>
      </c>
      <c r="C376" s="1" t="s">
        <v>458</v>
      </c>
      <c r="D376" s="1" t="s">
        <v>459</v>
      </c>
      <c r="E376" s="1" t="s">
        <v>49</v>
      </c>
      <c r="F376" s="1" t="s">
        <v>460</v>
      </c>
      <c r="G376" s="1" t="s">
        <v>461</v>
      </c>
      <c r="H376" s="1" t="s">
        <v>24</v>
      </c>
      <c r="I376" s="1" t="s">
        <v>25</v>
      </c>
      <c r="J376" s="1" t="s">
        <v>462</v>
      </c>
      <c r="K376" s="1" t="s">
        <v>463</v>
      </c>
      <c r="L376">
        <v>50322</v>
      </c>
      <c r="M376" s="1" t="s">
        <v>93</v>
      </c>
      <c r="N376" s="1" t="s">
        <v>464</v>
      </c>
      <c r="O376" s="1" t="s">
        <v>43</v>
      </c>
      <c r="P376" s="1" t="s">
        <v>123</v>
      </c>
      <c r="Q376" s="1" t="s">
        <v>465</v>
      </c>
      <c r="R376">
        <v>75.959999999999994</v>
      </c>
      <c r="S376" s="1"/>
      <c r="T376" s="1" t="str">
        <f>IF(O376="Furniture","Cardbaord",O376)</f>
        <v>Office Supplies</v>
      </c>
      <c r="U376" s="1" t="str">
        <f>IF(O376="furniture","cardbaord",IF(O376="office supplies","OS",O376))</f>
        <v>OS</v>
      </c>
    </row>
    <row r="377" spans="1:21" x14ac:dyDescent="0.3">
      <c r="A377">
        <v>595</v>
      </c>
      <c r="B377" s="1" t="s">
        <v>1692</v>
      </c>
      <c r="C377" s="1" t="s">
        <v>1693</v>
      </c>
      <c r="D377" s="1" t="s">
        <v>1694</v>
      </c>
      <c r="E377" s="1" t="s">
        <v>49</v>
      </c>
      <c r="F377" s="1" t="s">
        <v>1695</v>
      </c>
      <c r="G377" s="1" t="s">
        <v>1696</v>
      </c>
      <c r="H377" s="1" t="s">
        <v>24</v>
      </c>
      <c r="I377" s="1" t="s">
        <v>25</v>
      </c>
      <c r="J377" s="1" t="s">
        <v>854</v>
      </c>
      <c r="K377" s="1" t="s">
        <v>40</v>
      </c>
      <c r="L377">
        <v>92024</v>
      </c>
      <c r="M377" s="1" t="s">
        <v>41</v>
      </c>
      <c r="N377" s="1" t="s">
        <v>1697</v>
      </c>
      <c r="O377" s="1" t="s">
        <v>43</v>
      </c>
      <c r="P377" s="1" t="s">
        <v>95</v>
      </c>
      <c r="Q377" s="1" t="s">
        <v>1698</v>
      </c>
      <c r="R377">
        <v>76.12</v>
      </c>
      <c r="S377" s="1"/>
      <c r="T377" s="1" t="str">
        <f>IF(O377="Furniture","Cardbaord",O377)</f>
        <v>Office Supplies</v>
      </c>
      <c r="U377" s="1" t="str">
        <f>IF(O377="furniture","cardbaord",IF(O377="office supplies","OS",O377))</f>
        <v>OS</v>
      </c>
    </row>
    <row r="378" spans="1:21" x14ac:dyDescent="0.3">
      <c r="A378">
        <v>43</v>
      </c>
      <c r="B378" s="1" t="s">
        <v>194</v>
      </c>
      <c r="C378" s="1" t="s">
        <v>195</v>
      </c>
      <c r="D378" s="1" t="s">
        <v>196</v>
      </c>
      <c r="E378" s="1" t="s">
        <v>49</v>
      </c>
      <c r="F378" s="1" t="s">
        <v>197</v>
      </c>
      <c r="G378" s="1" t="s">
        <v>198</v>
      </c>
      <c r="H378" s="1" t="s">
        <v>38</v>
      </c>
      <c r="I378" s="1" t="s">
        <v>25</v>
      </c>
      <c r="J378" s="1" t="s">
        <v>39</v>
      </c>
      <c r="K378" s="1" t="s">
        <v>40</v>
      </c>
      <c r="L378">
        <v>90049</v>
      </c>
      <c r="M378" s="1" t="s">
        <v>41</v>
      </c>
      <c r="N378" s="1" t="s">
        <v>199</v>
      </c>
      <c r="O378" s="1" t="s">
        <v>43</v>
      </c>
      <c r="P378" s="1" t="s">
        <v>105</v>
      </c>
      <c r="Q378" s="1" t="s">
        <v>200</v>
      </c>
      <c r="R378">
        <v>77.88</v>
      </c>
      <c r="S378" s="1"/>
      <c r="T378" s="1" t="str">
        <f>IF(O378="Furniture","Cardbaord",O378)</f>
        <v>Office Supplies</v>
      </c>
      <c r="U378" s="1" t="str">
        <f>IF(O378="furniture","cardbaord",IF(O378="office supplies","OS",O378))</f>
        <v>OS</v>
      </c>
    </row>
    <row r="379" spans="1:21" x14ac:dyDescent="0.3">
      <c r="A379">
        <v>99</v>
      </c>
      <c r="B379" s="1" t="s">
        <v>403</v>
      </c>
      <c r="C379" s="1" t="s">
        <v>404</v>
      </c>
      <c r="D379" s="1" t="s">
        <v>405</v>
      </c>
      <c r="E379" s="1" t="s">
        <v>49</v>
      </c>
      <c r="F379" s="1" t="s">
        <v>406</v>
      </c>
      <c r="G379" s="1" t="s">
        <v>407</v>
      </c>
      <c r="H379" s="1" t="s">
        <v>38</v>
      </c>
      <c r="I379" s="1" t="s">
        <v>25</v>
      </c>
      <c r="J379" s="1" t="s">
        <v>408</v>
      </c>
      <c r="K379" s="1" t="s">
        <v>215</v>
      </c>
      <c r="L379">
        <v>55106</v>
      </c>
      <c r="M379" s="1" t="s">
        <v>93</v>
      </c>
      <c r="N379" s="1" t="s">
        <v>409</v>
      </c>
      <c r="O379" s="1" t="s">
        <v>43</v>
      </c>
      <c r="P379" s="1" t="s">
        <v>95</v>
      </c>
      <c r="Q379" s="1" t="s">
        <v>410</v>
      </c>
      <c r="R379">
        <v>77.88</v>
      </c>
      <c r="S379" s="1"/>
      <c r="T379" s="1" t="str">
        <f>IF(O379="Furniture","Cardbaord",O379)</f>
        <v>Office Supplies</v>
      </c>
      <c r="U379" s="1" t="str">
        <f>IF(O379="furniture","cardbaord",IF(O379="office supplies","OS",O379))</f>
        <v>OS</v>
      </c>
    </row>
    <row r="380" spans="1:21" x14ac:dyDescent="0.3">
      <c r="A380">
        <v>3989</v>
      </c>
      <c r="B380" s="1" t="s">
        <v>3934</v>
      </c>
      <c r="C380" s="1" t="s">
        <v>1574</v>
      </c>
      <c r="D380" s="1" t="s">
        <v>1378</v>
      </c>
      <c r="E380" s="1" t="s">
        <v>49</v>
      </c>
      <c r="F380" s="1" t="s">
        <v>3935</v>
      </c>
      <c r="G380" s="1" t="s">
        <v>3936</v>
      </c>
      <c r="H380" s="1" t="s">
        <v>38</v>
      </c>
      <c r="I380" s="1" t="s">
        <v>25</v>
      </c>
      <c r="J380" s="1" t="s">
        <v>815</v>
      </c>
      <c r="K380" s="1" t="s">
        <v>310</v>
      </c>
      <c r="L380">
        <v>38401</v>
      </c>
      <c r="M380" s="1" t="s">
        <v>28</v>
      </c>
      <c r="N380" s="1" t="s">
        <v>3937</v>
      </c>
      <c r="O380" s="1" t="s">
        <v>30</v>
      </c>
      <c r="P380" s="1" t="s">
        <v>63</v>
      </c>
      <c r="Q380" s="1" t="s">
        <v>3938</v>
      </c>
      <c r="R380">
        <v>79.12</v>
      </c>
      <c r="S380" s="1"/>
      <c r="T380" s="1" t="str">
        <f>IF(O380="Furniture","Cardbaord",O380)</f>
        <v>Cardbaord</v>
      </c>
      <c r="U380" s="1" t="str">
        <f>IF(O380="furniture","cardbaord",IF(O380="office supplies","OS",O380))</f>
        <v>cardbaord</v>
      </c>
    </row>
    <row r="381" spans="1:21" x14ac:dyDescent="0.3">
      <c r="A381">
        <v>1358</v>
      </c>
      <c r="B381" s="1" t="s">
        <v>2773</v>
      </c>
      <c r="C381" s="1" t="s">
        <v>2774</v>
      </c>
      <c r="D381" s="1" t="s">
        <v>2692</v>
      </c>
      <c r="E381" s="1" t="s">
        <v>169</v>
      </c>
      <c r="F381" s="1" t="s">
        <v>2775</v>
      </c>
      <c r="G381" s="1" t="s">
        <v>2776</v>
      </c>
      <c r="H381" s="1" t="s">
        <v>24</v>
      </c>
      <c r="I381" s="1" t="s">
        <v>25</v>
      </c>
      <c r="J381" s="1" t="s">
        <v>2339</v>
      </c>
      <c r="K381" s="1" t="s">
        <v>27</v>
      </c>
      <c r="L381">
        <v>40214</v>
      </c>
      <c r="M381" s="1" t="s">
        <v>28</v>
      </c>
      <c r="N381" s="1" t="s">
        <v>2777</v>
      </c>
      <c r="O381" s="1" t="s">
        <v>43</v>
      </c>
      <c r="P381" s="1" t="s">
        <v>73</v>
      </c>
      <c r="Q381" s="1" t="s">
        <v>2778</v>
      </c>
      <c r="R381">
        <v>79.14</v>
      </c>
      <c r="S381" s="1"/>
      <c r="T381" s="1" t="str">
        <f>IF(O381="Furniture","Cardbaord",O381)</f>
        <v>Office Supplies</v>
      </c>
      <c r="U381" s="1" t="str">
        <f>IF(O381="furniture","cardbaord",IF(O381="office supplies","OS",O381))</f>
        <v>OS</v>
      </c>
    </row>
    <row r="382" spans="1:21" x14ac:dyDescent="0.3">
      <c r="A382">
        <v>266</v>
      </c>
      <c r="B382" s="1" t="s">
        <v>896</v>
      </c>
      <c r="C382" s="1" t="s">
        <v>897</v>
      </c>
      <c r="D382" s="1" t="s">
        <v>898</v>
      </c>
      <c r="E382" s="1" t="s">
        <v>49</v>
      </c>
      <c r="F382" s="1" t="s">
        <v>899</v>
      </c>
      <c r="G382" s="1" t="s">
        <v>900</v>
      </c>
      <c r="H382" s="1" t="s">
        <v>24</v>
      </c>
      <c r="I382" s="1" t="s">
        <v>25</v>
      </c>
      <c r="J382" s="1" t="s">
        <v>901</v>
      </c>
      <c r="K382" s="1" t="s">
        <v>40</v>
      </c>
      <c r="L382">
        <v>94513</v>
      </c>
      <c r="M382" s="1" t="s">
        <v>41</v>
      </c>
      <c r="N382" s="1" t="s">
        <v>902</v>
      </c>
      <c r="O382" s="1" t="s">
        <v>174</v>
      </c>
      <c r="P382" s="1" t="s">
        <v>217</v>
      </c>
      <c r="Q382" s="1" t="s">
        <v>903</v>
      </c>
      <c r="R382">
        <v>79.900000000000006</v>
      </c>
      <c r="S382" s="1"/>
      <c r="T382" s="1" t="str">
        <f>IF(O382="Furniture","Cardbaord",O382)</f>
        <v>Technology</v>
      </c>
      <c r="U382" s="1" t="str">
        <f>IF(O382="furniture","cardbaord",IF(O382="office supplies","OS",O382))</f>
        <v>Technology</v>
      </c>
    </row>
    <row r="383" spans="1:21" x14ac:dyDescent="0.3">
      <c r="A383">
        <v>1233</v>
      </c>
      <c r="B383" s="1" t="s">
        <v>2621</v>
      </c>
      <c r="C383" s="1" t="s">
        <v>2622</v>
      </c>
      <c r="D383" s="1" t="s">
        <v>948</v>
      </c>
      <c r="E383" s="1" t="s">
        <v>21</v>
      </c>
      <c r="F383" s="1" t="s">
        <v>2623</v>
      </c>
      <c r="G383" s="1" t="s">
        <v>2624</v>
      </c>
      <c r="H383" s="1" t="s">
        <v>24</v>
      </c>
      <c r="I383" s="1" t="s">
        <v>25</v>
      </c>
      <c r="J383" s="1" t="s">
        <v>2625</v>
      </c>
      <c r="K383" s="1" t="s">
        <v>252</v>
      </c>
      <c r="L383">
        <v>14215</v>
      </c>
      <c r="M383" s="1" t="s">
        <v>141</v>
      </c>
      <c r="N383" s="1" t="s">
        <v>2626</v>
      </c>
      <c r="O383" s="1" t="s">
        <v>43</v>
      </c>
      <c r="P383" s="1" t="s">
        <v>183</v>
      </c>
      <c r="Q383" s="1" t="s">
        <v>2627</v>
      </c>
      <c r="R383">
        <v>79.959999999999994</v>
      </c>
      <c r="S383" s="1"/>
      <c r="T383" s="1" t="str">
        <f>IF(O383="Furniture","Cardbaord",O383)</f>
        <v>Office Supplies</v>
      </c>
      <c r="U383" s="1" t="str">
        <f>IF(O383="furniture","cardbaord",IF(O383="office supplies","OS",O383))</f>
        <v>OS</v>
      </c>
    </row>
    <row r="384" spans="1:21" x14ac:dyDescent="0.3">
      <c r="A384">
        <v>253</v>
      </c>
      <c r="B384" s="1" t="s">
        <v>857</v>
      </c>
      <c r="C384" s="1" t="s">
        <v>77</v>
      </c>
      <c r="D384" s="1" t="s">
        <v>127</v>
      </c>
      <c r="E384" s="1" t="s">
        <v>169</v>
      </c>
      <c r="F384" s="1" t="s">
        <v>858</v>
      </c>
      <c r="G384" s="1" t="s">
        <v>859</v>
      </c>
      <c r="H384" s="1" t="s">
        <v>24</v>
      </c>
      <c r="I384" s="1" t="s">
        <v>25</v>
      </c>
      <c r="J384" s="1" t="s">
        <v>251</v>
      </c>
      <c r="K384" s="1" t="s">
        <v>252</v>
      </c>
      <c r="L384">
        <v>10024</v>
      </c>
      <c r="M384" s="1" t="s">
        <v>141</v>
      </c>
      <c r="N384" s="1" t="s">
        <v>860</v>
      </c>
      <c r="O384" s="1" t="s">
        <v>43</v>
      </c>
      <c r="P384" s="1" t="s">
        <v>105</v>
      </c>
      <c r="Q384" s="1" t="s">
        <v>861</v>
      </c>
      <c r="R384">
        <v>80.58</v>
      </c>
      <c r="S384" s="1"/>
      <c r="T384" s="1" t="str">
        <f>IF(O384="Furniture","Cardbaord",O384)</f>
        <v>Office Supplies</v>
      </c>
      <c r="U384" s="1" t="str">
        <f>IF(O384="furniture","cardbaord",IF(O384="office supplies","OS",O384))</f>
        <v>OS</v>
      </c>
    </row>
    <row r="385" spans="1:21" x14ac:dyDescent="0.3">
      <c r="A385">
        <v>4185</v>
      </c>
      <c r="B385" s="1" t="s">
        <v>3988</v>
      </c>
      <c r="C385" s="1" t="s">
        <v>76</v>
      </c>
      <c r="D385" s="1" t="s">
        <v>3989</v>
      </c>
      <c r="E385" s="1" t="s">
        <v>169</v>
      </c>
      <c r="F385" s="1" t="s">
        <v>3990</v>
      </c>
      <c r="G385" s="1" t="s">
        <v>3991</v>
      </c>
      <c r="H385" s="1" t="s">
        <v>38</v>
      </c>
      <c r="I385" s="1" t="s">
        <v>25</v>
      </c>
      <c r="J385" s="1" t="s">
        <v>564</v>
      </c>
      <c r="K385" s="1" t="s">
        <v>1091</v>
      </c>
      <c r="L385">
        <v>2038</v>
      </c>
      <c r="M385" s="1" t="s">
        <v>141</v>
      </c>
      <c r="N385" s="1" t="s">
        <v>3992</v>
      </c>
      <c r="O385" s="1" t="s">
        <v>30</v>
      </c>
      <c r="P385" s="1" t="s">
        <v>31</v>
      </c>
      <c r="Q385" s="1" t="s">
        <v>3993</v>
      </c>
      <c r="R385">
        <v>81.94</v>
      </c>
      <c r="S385" s="1"/>
      <c r="T385" s="1" t="str">
        <f>IF(O385="Furniture","Cardbaord",O385)</f>
        <v>Cardbaord</v>
      </c>
      <c r="U385" s="1" t="str">
        <f>IF(O385="furniture","cardbaord",IF(O385="office supplies","OS",O385))</f>
        <v>cardbaord</v>
      </c>
    </row>
    <row r="386" spans="1:21" x14ac:dyDescent="0.3">
      <c r="A386">
        <v>256</v>
      </c>
      <c r="B386" s="1" t="s">
        <v>862</v>
      </c>
      <c r="C386" s="1" t="s">
        <v>863</v>
      </c>
      <c r="D386" s="1" t="s">
        <v>864</v>
      </c>
      <c r="E386" s="1" t="s">
        <v>49</v>
      </c>
      <c r="F386" s="1" t="s">
        <v>865</v>
      </c>
      <c r="G386" s="1" t="s">
        <v>866</v>
      </c>
      <c r="H386" s="1" t="s">
        <v>38</v>
      </c>
      <c r="I386" s="1" t="s">
        <v>25</v>
      </c>
      <c r="J386" s="1" t="s">
        <v>276</v>
      </c>
      <c r="K386" s="1" t="s">
        <v>191</v>
      </c>
      <c r="L386">
        <v>60623</v>
      </c>
      <c r="M386" s="1" t="s">
        <v>93</v>
      </c>
      <c r="N386" s="1" t="s">
        <v>867</v>
      </c>
      <c r="O386" s="1" t="s">
        <v>43</v>
      </c>
      <c r="P386" s="1" t="s">
        <v>105</v>
      </c>
      <c r="Q386" s="1" t="s">
        <v>868</v>
      </c>
      <c r="R386">
        <v>82.367999999999995</v>
      </c>
      <c r="S386" s="1"/>
      <c r="T386" s="1" t="str">
        <f>IF(O386="Furniture","Cardbaord",O386)</f>
        <v>Office Supplies</v>
      </c>
      <c r="U386" s="1" t="str">
        <f>IF(O386="furniture","cardbaord",IF(O386="office supplies","OS",O386))</f>
        <v>OS</v>
      </c>
    </row>
    <row r="387" spans="1:21" x14ac:dyDescent="0.3">
      <c r="A387">
        <v>332</v>
      </c>
      <c r="B387" s="1" t="s">
        <v>1064</v>
      </c>
      <c r="C387" s="1" t="s">
        <v>1065</v>
      </c>
      <c r="D387" s="1" t="s">
        <v>1066</v>
      </c>
      <c r="E387" s="1" t="s">
        <v>21</v>
      </c>
      <c r="F387" s="1" t="s">
        <v>1067</v>
      </c>
      <c r="G387" s="1" t="s">
        <v>1068</v>
      </c>
      <c r="H387" s="1" t="s">
        <v>24</v>
      </c>
      <c r="I387" s="1" t="s">
        <v>25</v>
      </c>
      <c r="J387" s="1" t="s">
        <v>139</v>
      </c>
      <c r="K387" s="1" t="s">
        <v>140</v>
      </c>
      <c r="L387">
        <v>19134</v>
      </c>
      <c r="M387" s="1" t="s">
        <v>141</v>
      </c>
      <c r="N387" s="1" t="s">
        <v>1069</v>
      </c>
      <c r="O387" s="1" t="s">
        <v>174</v>
      </c>
      <c r="P387" s="1" t="s">
        <v>175</v>
      </c>
      <c r="Q387" s="1" t="s">
        <v>1070</v>
      </c>
      <c r="R387">
        <v>82.8</v>
      </c>
      <c r="S387" s="1"/>
      <c r="T387" s="1" t="str">
        <f>IF(O387="Furniture","Cardbaord",O387)</f>
        <v>Technology</v>
      </c>
      <c r="U387" s="1" t="str">
        <f>IF(O387="furniture","cardbaord",IF(O387="office supplies","OS",O387))</f>
        <v>Technology</v>
      </c>
    </row>
    <row r="388" spans="1:21" x14ac:dyDescent="0.3">
      <c r="A388">
        <v>5839</v>
      </c>
      <c r="B388" s="1" t="s">
        <v>4195</v>
      </c>
      <c r="C388" s="1" t="s">
        <v>2979</v>
      </c>
      <c r="D388" s="1" t="s">
        <v>4196</v>
      </c>
      <c r="E388" s="1" t="s">
        <v>49</v>
      </c>
      <c r="F388" s="1" t="s">
        <v>4197</v>
      </c>
      <c r="G388" s="1" t="s">
        <v>4198</v>
      </c>
      <c r="H388" s="1" t="s">
        <v>24</v>
      </c>
      <c r="I388" s="1" t="s">
        <v>25</v>
      </c>
      <c r="J388" s="1" t="s">
        <v>80</v>
      </c>
      <c r="K388" s="1" t="s">
        <v>81</v>
      </c>
      <c r="L388">
        <v>98115</v>
      </c>
      <c r="M388" s="1" t="s">
        <v>41</v>
      </c>
      <c r="N388" s="1" t="s">
        <v>4199</v>
      </c>
      <c r="O388" s="1" t="s">
        <v>43</v>
      </c>
      <c r="P388" s="1" t="s">
        <v>105</v>
      </c>
      <c r="Q388" s="1" t="s">
        <v>4200</v>
      </c>
      <c r="R388">
        <v>83.7</v>
      </c>
      <c r="S388" s="1"/>
      <c r="T388" s="1" t="str">
        <f>IF(O388="Furniture","Cardbaord",O388)</f>
        <v>Office Supplies</v>
      </c>
      <c r="U388" s="1" t="str">
        <f>IF(O388="furniture","cardbaord",IF(O388="office supplies","OS",O388))</f>
        <v>OS</v>
      </c>
    </row>
    <row r="389" spans="1:21" x14ac:dyDescent="0.3">
      <c r="A389">
        <v>207</v>
      </c>
      <c r="B389" s="1" t="s">
        <v>765</v>
      </c>
      <c r="C389" s="1" t="s">
        <v>766</v>
      </c>
      <c r="D389" s="1" t="s">
        <v>767</v>
      </c>
      <c r="E389" s="1" t="s">
        <v>49</v>
      </c>
      <c r="F389" s="1" t="s">
        <v>768</v>
      </c>
      <c r="G389" s="1" t="s">
        <v>769</v>
      </c>
      <c r="H389" s="1" t="s">
        <v>24</v>
      </c>
      <c r="I389" s="1" t="s">
        <v>25</v>
      </c>
      <c r="J389" s="1" t="s">
        <v>770</v>
      </c>
      <c r="K389" s="1" t="s">
        <v>225</v>
      </c>
      <c r="L389">
        <v>48601</v>
      </c>
      <c r="M389" s="1" t="s">
        <v>93</v>
      </c>
      <c r="N389" s="1" t="s">
        <v>771</v>
      </c>
      <c r="O389" s="1" t="s">
        <v>43</v>
      </c>
      <c r="P389" s="1" t="s">
        <v>105</v>
      </c>
      <c r="Q389" s="1" t="s">
        <v>772</v>
      </c>
      <c r="R389">
        <v>83.92</v>
      </c>
      <c r="S389" s="1"/>
      <c r="T389" s="1" t="str">
        <f>IF(O389="Furniture","Cardbaord",O389)</f>
        <v>Office Supplies</v>
      </c>
      <c r="U389" s="1" t="str">
        <f>IF(O389="furniture","cardbaord",IF(O389="office supplies","OS",O389))</f>
        <v>OS</v>
      </c>
    </row>
    <row r="390" spans="1:21" x14ac:dyDescent="0.3">
      <c r="A390">
        <v>561</v>
      </c>
      <c r="B390" s="1" t="s">
        <v>1598</v>
      </c>
      <c r="C390" s="1" t="s">
        <v>1599</v>
      </c>
      <c r="D390" s="1" t="s">
        <v>1568</v>
      </c>
      <c r="E390" s="1" t="s">
        <v>21</v>
      </c>
      <c r="F390" s="1" t="s">
        <v>1600</v>
      </c>
      <c r="G390" s="1" t="s">
        <v>1601</v>
      </c>
      <c r="H390" s="1" t="s">
        <v>24</v>
      </c>
      <c r="I390" s="1" t="s">
        <v>25</v>
      </c>
      <c r="J390" s="1" t="s">
        <v>121</v>
      </c>
      <c r="K390" s="1" t="s">
        <v>40</v>
      </c>
      <c r="L390">
        <v>94110</v>
      </c>
      <c r="M390" s="1" t="s">
        <v>41</v>
      </c>
      <c r="N390" s="1" t="s">
        <v>1602</v>
      </c>
      <c r="O390" s="1" t="s">
        <v>43</v>
      </c>
      <c r="P390" s="1" t="s">
        <v>83</v>
      </c>
      <c r="Q390" s="1" t="s">
        <v>1603</v>
      </c>
      <c r="R390">
        <v>84.055999999999997</v>
      </c>
      <c r="S390" s="1"/>
      <c r="T390" s="1" t="str">
        <f>IF(O390="Furniture","Cardbaord",O390)</f>
        <v>Office Supplies</v>
      </c>
      <c r="U390" s="1" t="str">
        <f>IF(O390="furniture","cardbaord",IF(O390="office supplies","OS",O390))</f>
        <v>OS</v>
      </c>
    </row>
    <row r="391" spans="1:21" x14ac:dyDescent="0.3">
      <c r="A391">
        <v>589</v>
      </c>
      <c r="B391" s="1" t="s">
        <v>1676</v>
      </c>
      <c r="C391" s="1" t="s">
        <v>1677</v>
      </c>
      <c r="D391" s="1" t="s">
        <v>1678</v>
      </c>
      <c r="E391" s="1" t="s">
        <v>49</v>
      </c>
      <c r="F391" s="1" t="s">
        <v>1679</v>
      </c>
      <c r="G391" s="1" t="s">
        <v>1680</v>
      </c>
      <c r="H391" s="1" t="s">
        <v>24</v>
      </c>
      <c r="I391" s="1" t="s">
        <v>25</v>
      </c>
      <c r="J391" s="1" t="s">
        <v>1681</v>
      </c>
      <c r="K391" s="1" t="s">
        <v>386</v>
      </c>
      <c r="L391">
        <v>97301</v>
      </c>
      <c r="M391" s="1" t="s">
        <v>41</v>
      </c>
      <c r="N391" s="1" t="s">
        <v>1682</v>
      </c>
      <c r="O391" s="1" t="s">
        <v>174</v>
      </c>
      <c r="P391" s="1" t="s">
        <v>175</v>
      </c>
      <c r="Q391" s="1" t="s">
        <v>1683</v>
      </c>
      <c r="R391">
        <v>84.784000000000006</v>
      </c>
      <c r="S391" s="1"/>
      <c r="T391" s="1" t="str">
        <f>IF(O391="Furniture","Cardbaord",O391)</f>
        <v>Technology</v>
      </c>
      <c r="U391" s="1" t="str">
        <f>IF(O391="furniture","cardbaord",IF(O391="office supplies","OS",O391))</f>
        <v>Technology</v>
      </c>
    </row>
    <row r="392" spans="1:21" x14ac:dyDescent="0.3">
      <c r="A392">
        <v>922</v>
      </c>
      <c r="B392" s="1" t="s">
        <v>2257</v>
      </c>
      <c r="C392" s="1" t="s">
        <v>2258</v>
      </c>
      <c r="D392" s="1" t="s">
        <v>2259</v>
      </c>
      <c r="E392" s="1" t="s">
        <v>49</v>
      </c>
      <c r="F392" s="1" t="s">
        <v>2260</v>
      </c>
      <c r="G392" s="1" t="s">
        <v>2261</v>
      </c>
      <c r="H392" s="1" t="s">
        <v>24</v>
      </c>
      <c r="I392" s="1" t="s">
        <v>25</v>
      </c>
      <c r="J392" s="1" t="s">
        <v>251</v>
      </c>
      <c r="K392" s="1" t="s">
        <v>252</v>
      </c>
      <c r="L392">
        <v>10009</v>
      </c>
      <c r="M392" s="1" t="s">
        <v>141</v>
      </c>
      <c r="N392" s="1" t="s">
        <v>2262</v>
      </c>
      <c r="O392" s="1" t="s">
        <v>174</v>
      </c>
      <c r="P392" s="1" t="s">
        <v>217</v>
      </c>
      <c r="Q392" s="1" t="s">
        <v>2263</v>
      </c>
      <c r="R392">
        <v>85.14</v>
      </c>
      <c r="S392" s="1"/>
      <c r="T392" s="1" t="str">
        <f>IF(O392="Furniture","Cardbaord",O392)</f>
        <v>Technology</v>
      </c>
      <c r="U392" s="1" t="str">
        <f>IF(O392="furniture","cardbaord",IF(O392="office supplies","OS",O392))</f>
        <v>Technology</v>
      </c>
    </row>
    <row r="393" spans="1:21" x14ac:dyDescent="0.3">
      <c r="A393">
        <v>1420</v>
      </c>
      <c r="B393" s="1" t="s">
        <v>2830</v>
      </c>
      <c r="C393" s="1" t="s">
        <v>2831</v>
      </c>
      <c r="D393" s="1" t="s">
        <v>2832</v>
      </c>
      <c r="E393" s="1" t="s">
        <v>49</v>
      </c>
      <c r="F393" s="1" t="s">
        <v>2833</v>
      </c>
      <c r="G393" s="1" t="s">
        <v>2834</v>
      </c>
      <c r="H393" s="1" t="s">
        <v>38</v>
      </c>
      <c r="I393" s="1" t="s">
        <v>25</v>
      </c>
      <c r="J393" s="1" t="s">
        <v>1542</v>
      </c>
      <c r="K393" s="1" t="s">
        <v>285</v>
      </c>
      <c r="L393">
        <v>85204</v>
      </c>
      <c r="M393" s="1" t="s">
        <v>41</v>
      </c>
      <c r="N393" s="1" t="s">
        <v>2835</v>
      </c>
      <c r="O393" s="1" t="s">
        <v>43</v>
      </c>
      <c r="P393" s="1" t="s">
        <v>73</v>
      </c>
      <c r="Q393" s="1" t="s">
        <v>2836</v>
      </c>
      <c r="R393">
        <v>86.272000000000006</v>
      </c>
      <c r="S393" s="1"/>
      <c r="T393" s="1" t="str">
        <f>IF(O393="Furniture","Cardbaord",O393)</f>
        <v>Office Supplies</v>
      </c>
      <c r="U393" s="1" t="str">
        <f>IF(O393="furniture","cardbaord",IF(O393="office supplies","OS",O393))</f>
        <v>OS</v>
      </c>
    </row>
    <row r="394" spans="1:21" x14ac:dyDescent="0.3">
      <c r="A394">
        <v>1278</v>
      </c>
      <c r="B394" s="1" t="s">
        <v>2690</v>
      </c>
      <c r="C394" s="1" t="s">
        <v>2691</v>
      </c>
      <c r="D394" s="1" t="s">
        <v>2692</v>
      </c>
      <c r="E394" s="1" t="s">
        <v>49</v>
      </c>
      <c r="F394" s="1" t="s">
        <v>2693</v>
      </c>
      <c r="G394" s="1" t="s">
        <v>2694</v>
      </c>
      <c r="H394" s="1" t="s">
        <v>24</v>
      </c>
      <c r="I394" s="1" t="s">
        <v>25</v>
      </c>
      <c r="J394" s="1" t="s">
        <v>164</v>
      </c>
      <c r="K394" s="1" t="s">
        <v>92</v>
      </c>
      <c r="L394">
        <v>77070</v>
      </c>
      <c r="M394" s="1" t="s">
        <v>93</v>
      </c>
      <c r="N394" s="1" t="s">
        <v>2695</v>
      </c>
      <c r="O394" s="1" t="s">
        <v>43</v>
      </c>
      <c r="P394" s="1" t="s">
        <v>123</v>
      </c>
      <c r="Q394" s="1" t="s">
        <v>2696</v>
      </c>
      <c r="R394">
        <v>86.352000000000004</v>
      </c>
      <c r="S394" s="1"/>
      <c r="T394" s="1" t="str">
        <f>IF(O394="Furniture","Cardbaord",O394)</f>
        <v>Office Supplies</v>
      </c>
      <c r="U394" s="1" t="str">
        <f>IF(O394="furniture","cardbaord",IF(O394="office supplies","OS",O394))</f>
        <v>OS</v>
      </c>
    </row>
    <row r="395" spans="1:21" x14ac:dyDescent="0.3">
      <c r="A395">
        <v>1037</v>
      </c>
      <c r="B395" s="1" t="s">
        <v>2425</v>
      </c>
      <c r="C395" s="1" t="s">
        <v>1378</v>
      </c>
      <c r="D395" s="1" t="s">
        <v>2426</v>
      </c>
      <c r="E395" s="1" t="s">
        <v>49</v>
      </c>
      <c r="F395" s="1" t="s">
        <v>2427</v>
      </c>
      <c r="G395" s="1" t="s">
        <v>2428</v>
      </c>
      <c r="H395" s="1" t="s">
        <v>90</v>
      </c>
      <c r="I395" s="1" t="s">
        <v>25</v>
      </c>
      <c r="J395" s="1" t="s">
        <v>2429</v>
      </c>
      <c r="K395" s="1" t="s">
        <v>550</v>
      </c>
      <c r="L395">
        <v>65109</v>
      </c>
      <c r="M395" s="1" t="s">
        <v>93</v>
      </c>
      <c r="N395" s="1" t="s">
        <v>2430</v>
      </c>
      <c r="O395" s="1" t="s">
        <v>30</v>
      </c>
      <c r="P395" s="1" t="s">
        <v>63</v>
      </c>
      <c r="Q395" s="1" t="s">
        <v>2431</v>
      </c>
      <c r="R395">
        <v>86.62</v>
      </c>
      <c r="S395" s="1"/>
      <c r="T395" s="1" t="str">
        <f>IF(O395="Furniture","Cardbaord",O395)</f>
        <v>Cardbaord</v>
      </c>
      <c r="U395" s="1" t="str">
        <f>IF(O395="furniture","cardbaord",IF(O395="office supplies","OS",O395))</f>
        <v>cardbaord</v>
      </c>
    </row>
    <row r="396" spans="1:21" x14ac:dyDescent="0.3">
      <c r="A396">
        <v>1787</v>
      </c>
      <c r="B396" s="1" t="s">
        <v>3105</v>
      </c>
      <c r="C396" s="1" t="s">
        <v>3106</v>
      </c>
      <c r="D396" s="1" t="s">
        <v>3107</v>
      </c>
      <c r="E396" s="1" t="s">
        <v>49</v>
      </c>
      <c r="F396" s="1" t="s">
        <v>3108</v>
      </c>
      <c r="G396" s="1" t="s">
        <v>3109</v>
      </c>
      <c r="H396" s="1" t="s">
        <v>38</v>
      </c>
      <c r="I396" s="1" t="s">
        <v>25</v>
      </c>
      <c r="J396" s="1" t="s">
        <v>3110</v>
      </c>
      <c r="K396" s="1" t="s">
        <v>103</v>
      </c>
      <c r="L396">
        <v>53209</v>
      </c>
      <c r="M396" s="1" t="s">
        <v>93</v>
      </c>
      <c r="N396" s="1" t="s">
        <v>3111</v>
      </c>
      <c r="O396" s="1" t="s">
        <v>174</v>
      </c>
      <c r="P396" s="1" t="s">
        <v>175</v>
      </c>
      <c r="Q396" s="1" t="s">
        <v>3112</v>
      </c>
      <c r="R396">
        <v>86.97</v>
      </c>
      <c r="S396" s="1"/>
      <c r="T396" s="1" t="str">
        <f>IF(O396="Furniture","Cardbaord",O396)</f>
        <v>Technology</v>
      </c>
      <c r="U396" s="1" t="str">
        <f>IF(O396="furniture","cardbaord",IF(O396="office supplies","OS",O396))</f>
        <v>Technology</v>
      </c>
    </row>
    <row r="397" spans="1:21" x14ac:dyDescent="0.3">
      <c r="A397">
        <v>314</v>
      </c>
      <c r="B397" s="1" t="s">
        <v>1007</v>
      </c>
      <c r="C397" s="1" t="s">
        <v>1008</v>
      </c>
      <c r="D397" s="1" t="s">
        <v>1009</v>
      </c>
      <c r="E397" s="1" t="s">
        <v>49</v>
      </c>
      <c r="F397" s="1" t="s">
        <v>1010</v>
      </c>
      <c r="G397" s="1" t="s">
        <v>1011</v>
      </c>
      <c r="H397" s="1" t="s">
        <v>38</v>
      </c>
      <c r="I397" s="1" t="s">
        <v>25</v>
      </c>
      <c r="J397" s="1" t="s">
        <v>1012</v>
      </c>
      <c r="K397" s="1" t="s">
        <v>718</v>
      </c>
      <c r="L397">
        <v>7601</v>
      </c>
      <c r="M397" s="1" t="s">
        <v>141</v>
      </c>
      <c r="N397" s="1" t="s">
        <v>1013</v>
      </c>
      <c r="O397" s="1" t="s">
        <v>30</v>
      </c>
      <c r="P397" s="1" t="s">
        <v>63</v>
      </c>
      <c r="Q397" s="1" t="s">
        <v>1014</v>
      </c>
      <c r="R397">
        <v>87.54</v>
      </c>
      <c r="S397" s="1"/>
      <c r="T397" s="1" t="str">
        <f>IF(O397="Furniture","Cardbaord",O397)</f>
        <v>Cardbaord</v>
      </c>
      <c r="U397" s="1" t="str">
        <f>IF(O397="furniture","cardbaord",IF(O397="office supplies","OS",O397))</f>
        <v>cardbaord</v>
      </c>
    </row>
    <row r="398" spans="1:21" x14ac:dyDescent="0.3">
      <c r="A398">
        <v>1329</v>
      </c>
      <c r="B398" s="1" t="s">
        <v>2737</v>
      </c>
      <c r="C398" s="1" t="s">
        <v>2738</v>
      </c>
      <c r="D398" s="1" t="s">
        <v>2739</v>
      </c>
      <c r="E398" s="1" t="s">
        <v>21</v>
      </c>
      <c r="F398" s="1" t="s">
        <v>2740</v>
      </c>
      <c r="G398" s="1" t="s">
        <v>2741</v>
      </c>
      <c r="H398" s="1" t="s">
        <v>90</v>
      </c>
      <c r="I398" s="1" t="s">
        <v>25</v>
      </c>
      <c r="J398" s="1" t="s">
        <v>121</v>
      </c>
      <c r="K398" s="1" t="s">
        <v>40</v>
      </c>
      <c r="L398">
        <v>94110</v>
      </c>
      <c r="M398" s="1" t="s">
        <v>41</v>
      </c>
      <c r="N398" s="1" t="s">
        <v>2742</v>
      </c>
      <c r="O398" s="1" t="s">
        <v>43</v>
      </c>
      <c r="P398" s="1" t="s">
        <v>123</v>
      </c>
      <c r="Q398" s="1" t="s">
        <v>2743</v>
      </c>
      <c r="R398">
        <v>87.92</v>
      </c>
      <c r="S398" s="1"/>
      <c r="T398" s="1" t="str">
        <f>IF(O398="Furniture","Cardbaord",O398)</f>
        <v>Office Supplies</v>
      </c>
      <c r="U398" s="1" t="str">
        <f>IF(O398="furniture","cardbaord",IF(O398="office supplies","OS",O398))</f>
        <v>OS</v>
      </c>
    </row>
    <row r="399" spans="1:21" x14ac:dyDescent="0.3">
      <c r="A399">
        <v>7968</v>
      </c>
      <c r="B399" s="1" t="s">
        <v>4268</v>
      </c>
      <c r="C399" s="1" t="s">
        <v>4269</v>
      </c>
      <c r="D399" s="1" t="s">
        <v>4126</v>
      </c>
      <c r="E399" s="1" t="s">
        <v>169</v>
      </c>
      <c r="F399" s="1" t="s">
        <v>4270</v>
      </c>
      <c r="G399" s="1" t="s">
        <v>4271</v>
      </c>
      <c r="H399" s="1" t="s">
        <v>38</v>
      </c>
      <c r="I399" s="1" t="s">
        <v>25</v>
      </c>
      <c r="J399" s="1" t="s">
        <v>740</v>
      </c>
      <c r="K399" s="1" t="s">
        <v>431</v>
      </c>
      <c r="L399">
        <v>80219</v>
      </c>
      <c r="M399" s="1" t="s">
        <v>41</v>
      </c>
      <c r="N399" s="1" t="s">
        <v>4272</v>
      </c>
      <c r="O399" s="1" t="s">
        <v>30</v>
      </c>
      <c r="P399" s="1" t="s">
        <v>31</v>
      </c>
      <c r="Q399" s="1" t="s">
        <v>4273</v>
      </c>
      <c r="R399">
        <v>90.882000000000005</v>
      </c>
      <c r="S399" s="1"/>
      <c r="T399" s="1" t="str">
        <f>IF(O399="Furniture","Cardbaord",O399)</f>
        <v>Cardbaord</v>
      </c>
      <c r="U399" s="1" t="str">
        <f>IF(O399="furniture","cardbaord",IF(O399="office supplies","OS",O399))</f>
        <v>cardbaord</v>
      </c>
    </row>
    <row r="400" spans="1:21" x14ac:dyDescent="0.3">
      <c r="A400">
        <v>1456</v>
      </c>
      <c r="B400" s="1" t="s">
        <v>2863</v>
      </c>
      <c r="C400" s="1" t="s">
        <v>877</v>
      </c>
      <c r="D400" s="1" t="s">
        <v>2864</v>
      </c>
      <c r="E400" s="1" t="s">
        <v>49</v>
      </c>
      <c r="F400" s="1" t="s">
        <v>2865</v>
      </c>
      <c r="G400" s="1" t="s">
        <v>2866</v>
      </c>
      <c r="H400" s="1" t="s">
        <v>90</v>
      </c>
      <c r="I400" s="1" t="s">
        <v>25</v>
      </c>
      <c r="J400" s="1" t="s">
        <v>470</v>
      </c>
      <c r="K400" s="1" t="s">
        <v>1112</v>
      </c>
      <c r="L400">
        <v>31907</v>
      </c>
      <c r="M400" s="1" t="s">
        <v>28</v>
      </c>
      <c r="N400" s="1" t="s">
        <v>2867</v>
      </c>
      <c r="O400" s="1" t="s">
        <v>43</v>
      </c>
      <c r="P400" s="1" t="s">
        <v>83</v>
      </c>
      <c r="Q400" s="1" t="s">
        <v>2868</v>
      </c>
      <c r="R400">
        <v>91.2</v>
      </c>
      <c r="S400" s="1"/>
      <c r="T400" s="1" t="str">
        <f>IF(O400="Furniture","Cardbaord",O400)</f>
        <v>Office Supplies</v>
      </c>
      <c r="U400" s="1" t="str">
        <f>IF(O400="furniture","cardbaord",IF(O400="office supplies","OS",O400))</f>
        <v>OS</v>
      </c>
    </row>
    <row r="401" spans="1:21" x14ac:dyDescent="0.3">
      <c r="A401">
        <v>1453</v>
      </c>
      <c r="B401" s="1" t="s">
        <v>2856</v>
      </c>
      <c r="C401" s="1" t="s">
        <v>2698</v>
      </c>
      <c r="D401" s="1" t="s">
        <v>2857</v>
      </c>
      <c r="E401" s="1" t="s">
        <v>169</v>
      </c>
      <c r="F401" s="1" t="s">
        <v>2858</v>
      </c>
      <c r="G401" s="1" t="s">
        <v>2859</v>
      </c>
      <c r="H401" s="1" t="s">
        <v>38</v>
      </c>
      <c r="I401" s="1" t="s">
        <v>25</v>
      </c>
      <c r="J401" s="1" t="s">
        <v>2860</v>
      </c>
      <c r="K401" s="1" t="s">
        <v>325</v>
      </c>
      <c r="L401">
        <v>36608</v>
      </c>
      <c r="M401" s="1" t="s">
        <v>28</v>
      </c>
      <c r="N401" s="1" t="s">
        <v>2861</v>
      </c>
      <c r="O401" s="1" t="s">
        <v>43</v>
      </c>
      <c r="P401" s="1" t="s">
        <v>83</v>
      </c>
      <c r="Q401" s="1" t="s">
        <v>2862</v>
      </c>
      <c r="R401">
        <v>91.68</v>
      </c>
      <c r="S401" s="1"/>
      <c r="T401" s="1" t="str">
        <f>IF(O401="Furniture","Cardbaord",O401)</f>
        <v>Office Supplies</v>
      </c>
      <c r="U401" s="1" t="str">
        <f>IF(O401="furniture","cardbaord",IF(O401="office supplies","OS",O401))</f>
        <v>OS</v>
      </c>
    </row>
    <row r="402" spans="1:21" x14ac:dyDescent="0.3">
      <c r="A402">
        <v>567</v>
      </c>
      <c r="B402" s="1" t="s">
        <v>1623</v>
      </c>
      <c r="C402" s="1" t="s">
        <v>1117</v>
      </c>
      <c r="D402" s="1" t="s">
        <v>1310</v>
      </c>
      <c r="E402" s="1" t="s">
        <v>49</v>
      </c>
      <c r="F402" s="1" t="s">
        <v>1624</v>
      </c>
      <c r="G402" s="1" t="s">
        <v>1625</v>
      </c>
      <c r="H402" s="1" t="s">
        <v>38</v>
      </c>
      <c r="I402" s="1" t="s">
        <v>25</v>
      </c>
      <c r="J402" s="1" t="s">
        <v>80</v>
      </c>
      <c r="K402" s="1" t="s">
        <v>81</v>
      </c>
      <c r="L402">
        <v>98105</v>
      </c>
      <c r="M402" s="1" t="s">
        <v>41</v>
      </c>
      <c r="N402" s="1" t="s">
        <v>1626</v>
      </c>
      <c r="O402" s="1" t="s">
        <v>43</v>
      </c>
      <c r="P402" s="1" t="s">
        <v>73</v>
      </c>
      <c r="Q402" s="1" t="s">
        <v>1627</v>
      </c>
      <c r="R402">
        <v>91.84</v>
      </c>
      <c r="S402" s="1"/>
      <c r="T402" s="1" t="str">
        <f>IF(O402="Furniture","Cardbaord",O402)</f>
        <v>Office Supplies</v>
      </c>
      <c r="U402" s="1" t="str">
        <f>IF(O402="furniture","cardbaord",IF(O402="office supplies","OS",O402))</f>
        <v>OS</v>
      </c>
    </row>
    <row r="403" spans="1:21" x14ac:dyDescent="0.3">
      <c r="A403">
        <v>147</v>
      </c>
      <c r="B403" s="1" t="s">
        <v>553</v>
      </c>
      <c r="C403" s="1" t="s">
        <v>554</v>
      </c>
      <c r="D403" s="1" t="s">
        <v>555</v>
      </c>
      <c r="E403" s="1" t="s">
        <v>49</v>
      </c>
      <c r="F403" s="1" t="s">
        <v>556</v>
      </c>
      <c r="G403" s="1" t="s">
        <v>557</v>
      </c>
      <c r="H403" s="1" t="s">
        <v>90</v>
      </c>
      <c r="I403" s="1" t="s">
        <v>25</v>
      </c>
      <c r="J403" s="1" t="s">
        <v>558</v>
      </c>
      <c r="K403" s="1" t="s">
        <v>471</v>
      </c>
      <c r="L403">
        <v>43055</v>
      </c>
      <c r="M403" s="1" t="s">
        <v>141</v>
      </c>
      <c r="N403" s="1" t="s">
        <v>559</v>
      </c>
      <c r="O403" s="1" t="s">
        <v>30</v>
      </c>
      <c r="P403" s="1" t="s">
        <v>63</v>
      </c>
      <c r="Q403" s="1" t="s">
        <v>560</v>
      </c>
      <c r="R403">
        <v>93.888000000000005</v>
      </c>
      <c r="S403" s="1"/>
      <c r="T403" s="1" t="str">
        <f>IF(O403="Furniture","Cardbaord",O403)</f>
        <v>Cardbaord</v>
      </c>
      <c r="U403" s="1" t="str">
        <f>IF(O403="furniture","cardbaord",IF(O403="office supplies","OS",O403))</f>
        <v>cardbaord</v>
      </c>
    </row>
    <row r="404" spans="1:21" x14ac:dyDescent="0.3">
      <c r="A404">
        <v>494</v>
      </c>
      <c r="B404" s="1" t="s">
        <v>1441</v>
      </c>
      <c r="C404" s="1" t="s">
        <v>1442</v>
      </c>
      <c r="D404" s="1" t="s">
        <v>1443</v>
      </c>
      <c r="E404" s="1" t="s">
        <v>49</v>
      </c>
      <c r="F404" s="1" t="s">
        <v>1444</v>
      </c>
      <c r="G404" s="1" t="s">
        <v>1445</v>
      </c>
      <c r="H404" s="1" t="s">
        <v>24</v>
      </c>
      <c r="I404" s="1" t="s">
        <v>25</v>
      </c>
      <c r="J404" s="1" t="s">
        <v>80</v>
      </c>
      <c r="K404" s="1" t="s">
        <v>81</v>
      </c>
      <c r="L404">
        <v>98115</v>
      </c>
      <c r="M404" s="1" t="s">
        <v>41</v>
      </c>
      <c r="N404" s="1" t="s">
        <v>1446</v>
      </c>
      <c r="O404" s="1" t="s">
        <v>174</v>
      </c>
      <c r="P404" s="1" t="s">
        <v>217</v>
      </c>
      <c r="Q404" s="1" t="s">
        <v>1447</v>
      </c>
      <c r="R404">
        <v>93.98</v>
      </c>
      <c r="S404" s="1"/>
      <c r="T404" s="1" t="str">
        <f>IF(O404="Furniture","Cardbaord",O404)</f>
        <v>Technology</v>
      </c>
      <c r="U404" s="1" t="str">
        <f>IF(O404="furniture","cardbaord",IF(O404="office supplies","OS",O404))</f>
        <v>Technology</v>
      </c>
    </row>
    <row r="405" spans="1:21" x14ac:dyDescent="0.3">
      <c r="A405">
        <v>2136</v>
      </c>
      <c r="B405" s="1" t="s">
        <v>3312</v>
      </c>
      <c r="C405" s="1" t="s">
        <v>266</v>
      </c>
      <c r="D405" s="1" t="s">
        <v>864</v>
      </c>
      <c r="E405" s="1" t="s">
        <v>49</v>
      </c>
      <c r="F405" s="1" t="s">
        <v>3313</v>
      </c>
      <c r="G405" s="1" t="s">
        <v>3314</v>
      </c>
      <c r="H405" s="1" t="s">
        <v>24</v>
      </c>
      <c r="I405" s="1" t="s">
        <v>25</v>
      </c>
      <c r="J405" s="1" t="s">
        <v>139</v>
      </c>
      <c r="K405" s="1" t="s">
        <v>140</v>
      </c>
      <c r="L405">
        <v>19134</v>
      </c>
      <c r="M405" s="1" t="s">
        <v>141</v>
      </c>
      <c r="N405" s="1" t="s">
        <v>3315</v>
      </c>
      <c r="O405" s="1" t="s">
        <v>174</v>
      </c>
      <c r="P405" s="1" t="s">
        <v>175</v>
      </c>
      <c r="Q405" s="1" t="s">
        <v>3316</v>
      </c>
      <c r="R405">
        <v>94.92</v>
      </c>
      <c r="S405" s="1"/>
      <c r="T405" s="1" t="str">
        <f>IF(O405="Furniture","Cardbaord",O405)</f>
        <v>Technology</v>
      </c>
      <c r="U405" s="1" t="str">
        <f>IF(O405="furniture","cardbaord",IF(O405="office supplies","OS",O405))</f>
        <v>Technology</v>
      </c>
    </row>
    <row r="406" spans="1:21" x14ac:dyDescent="0.3">
      <c r="A406">
        <v>44</v>
      </c>
      <c r="B406" s="1" t="s">
        <v>201</v>
      </c>
      <c r="C406" s="1" t="s">
        <v>202</v>
      </c>
      <c r="D406" s="1" t="s">
        <v>203</v>
      </c>
      <c r="E406" s="1" t="s">
        <v>49</v>
      </c>
      <c r="F406" s="1" t="s">
        <v>204</v>
      </c>
      <c r="G406" s="1" t="s">
        <v>205</v>
      </c>
      <c r="H406" s="1" t="s">
        <v>38</v>
      </c>
      <c r="I406" s="1" t="s">
        <v>25</v>
      </c>
      <c r="J406" s="1" t="s">
        <v>206</v>
      </c>
      <c r="K406" s="1" t="s">
        <v>53</v>
      </c>
      <c r="L406">
        <v>32935</v>
      </c>
      <c r="M406" s="1" t="s">
        <v>28</v>
      </c>
      <c r="N406" s="1" t="s">
        <v>207</v>
      </c>
      <c r="O406" s="1" t="s">
        <v>43</v>
      </c>
      <c r="P406" s="1" t="s">
        <v>105</v>
      </c>
      <c r="Q406" s="1" t="s">
        <v>208</v>
      </c>
      <c r="R406">
        <v>95.616</v>
      </c>
      <c r="S406" s="1"/>
      <c r="T406" s="1" t="str">
        <f>IF(O406="Furniture","Cardbaord",O406)</f>
        <v>Office Supplies</v>
      </c>
      <c r="U406" s="1" t="str">
        <f>IF(O406="furniture","cardbaord",IF(O406="office supplies","OS",O406))</f>
        <v>OS</v>
      </c>
    </row>
    <row r="407" spans="1:21" x14ac:dyDescent="0.3">
      <c r="A407">
        <v>4025</v>
      </c>
      <c r="B407" s="1" t="s">
        <v>3964</v>
      </c>
      <c r="C407" s="1" t="s">
        <v>2662</v>
      </c>
      <c r="D407" s="1" t="s">
        <v>3965</v>
      </c>
      <c r="E407" s="1" t="s">
        <v>169</v>
      </c>
      <c r="F407" s="1" t="s">
        <v>3966</v>
      </c>
      <c r="G407" s="1" t="s">
        <v>3967</v>
      </c>
      <c r="H407" s="1" t="s">
        <v>38</v>
      </c>
      <c r="I407" s="1" t="s">
        <v>25</v>
      </c>
      <c r="J407" s="1" t="s">
        <v>121</v>
      </c>
      <c r="K407" s="1" t="s">
        <v>40</v>
      </c>
      <c r="L407">
        <v>94110</v>
      </c>
      <c r="M407" s="1" t="s">
        <v>41</v>
      </c>
      <c r="N407" s="1" t="s">
        <v>3968</v>
      </c>
      <c r="O407" s="1" t="s">
        <v>174</v>
      </c>
      <c r="P407" s="1" t="s">
        <v>175</v>
      </c>
      <c r="Q407" s="1" t="s">
        <v>3969</v>
      </c>
      <c r="R407">
        <v>95.84</v>
      </c>
      <c r="S407" s="1"/>
      <c r="T407" s="1" t="str">
        <f>IF(O407="Furniture","Cardbaord",O407)</f>
        <v>Technology</v>
      </c>
      <c r="U407" s="1" t="str">
        <f>IF(O407="furniture","cardbaord",IF(O407="office supplies","OS",O407))</f>
        <v>Technology</v>
      </c>
    </row>
    <row r="408" spans="1:21" x14ac:dyDescent="0.3">
      <c r="A408">
        <v>417</v>
      </c>
      <c r="B408" s="1" t="s">
        <v>1274</v>
      </c>
      <c r="C408" s="1" t="s">
        <v>729</v>
      </c>
      <c r="D408" s="1" t="s">
        <v>1275</v>
      </c>
      <c r="E408" s="1" t="s">
        <v>49</v>
      </c>
      <c r="F408" s="1" t="s">
        <v>1276</v>
      </c>
      <c r="G408" s="1" t="s">
        <v>1277</v>
      </c>
      <c r="H408" s="1" t="s">
        <v>24</v>
      </c>
      <c r="I408" s="1" t="s">
        <v>25</v>
      </c>
      <c r="J408" s="1" t="s">
        <v>1278</v>
      </c>
      <c r="K408" s="1" t="s">
        <v>40</v>
      </c>
      <c r="L408">
        <v>92646</v>
      </c>
      <c r="M408" s="1" t="s">
        <v>41</v>
      </c>
      <c r="N408" s="1" t="s">
        <v>1279</v>
      </c>
      <c r="O408" s="1" t="s">
        <v>43</v>
      </c>
      <c r="P408" s="1" t="s">
        <v>123</v>
      </c>
      <c r="Q408" s="1" t="s">
        <v>1280</v>
      </c>
      <c r="R408">
        <v>95.92</v>
      </c>
      <c r="S408" s="1"/>
      <c r="T408" s="1" t="str">
        <f>IF(O408="Furniture","Cardbaord",O408)</f>
        <v>Office Supplies</v>
      </c>
      <c r="U408" s="1" t="str">
        <f>IF(O408="furniture","cardbaord",IF(O408="office supplies","OS",O408))</f>
        <v>OS</v>
      </c>
    </row>
    <row r="409" spans="1:21" x14ac:dyDescent="0.3">
      <c r="A409">
        <v>1365</v>
      </c>
      <c r="B409" s="1" t="s">
        <v>2791</v>
      </c>
      <c r="C409" s="1" t="s">
        <v>2792</v>
      </c>
      <c r="D409" s="1" t="s">
        <v>391</v>
      </c>
      <c r="E409" s="1" t="s">
        <v>169</v>
      </c>
      <c r="F409" s="1" t="s">
        <v>2793</v>
      </c>
      <c r="G409" s="1" t="s">
        <v>2794</v>
      </c>
      <c r="H409" s="1" t="s">
        <v>38</v>
      </c>
      <c r="I409" s="1" t="s">
        <v>25</v>
      </c>
      <c r="J409" s="1" t="s">
        <v>1143</v>
      </c>
      <c r="K409" s="1" t="s">
        <v>285</v>
      </c>
      <c r="L409">
        <v>85705</v>
      </c>
      <c r="M409" s="1" t="s">
        <v>41</v>
      </c>
      <c r="N409" s="1" t="s">
        <v>2795</v>
      </c>
      <c r="O409" s="1" t="s">
        <v>174</v>
      </c>
      <c r="P409" s="1" t="s">
        <v>888</v>
      </c>
      <c r="Q409" s="1" t="s">
        <v>2796</v>
      </c>
      <c r="R409">
        <v>95.994</v>
      </c>
      <c r="S409" s="1"/>
      <c r="T409" s="1" t="str">
        <f>IF(O409="Furniture","Cardbaord",O409)</f>
        <v>Technology</v>
      </c>
      <c r="U409" s="1" t="str">
        <f>IF(O409="furniture","cardbaord",IF(O409="office supplies","OS",O409))</f>
        <v>Technology</v>
      </c>
    </row>
    <row r="410" spans="1:21" x14ac:dyDescent="0.3">
      <c r="A410">
        <v>1731</v>
      </c>
      <c r="B410" s="1" t="s">
        <v>3085</v>
      </c>
      <c r="C410" s="1" t="s">
        <v>3086</v>
      </c>
      <c r="D410" s="1" t="s">
        <v>1009</v>
      </c>
      <c r="E410" s="1" t="s">
        <v>49</v>
      </c>
      <c r="F410" s="1" t="s">
        <v>3087</v>
      </c>
      <c r="G410" s="1" t="s">
        <v>3088</v>
      </c>
      <c r="H410" s="1" t="s">
        <v>38</v>
      </c>
      <c r="I410" s="1" t="s">
        <v>25</v>
      </c>
      <c r="J410" s="1" t="s">
        <v>1458</v>
      </c>
      <c r="K410" s="1" t="s">
        <v>71</v>
      </c>
      <c r="L410">
        <v>28314</v>
      </c>
      <c r="M410" s="1" t="s">
        <v>28</v>
      </c>
      <c r="N410" s="1" t="s">
        <v>3089</v>
      </c>
      <c r="O410" s="1" t="s">
        <v>43</v>
      </c>
      <c r="P410" s="1" t="s">
        <v>73</v>
      </c>
      <c r="Q410" s="1" t="s">
        <v>3090</v>
      </c>
      <c r="R410">
        <v>96.256</v>
      </c>
      <c r="S410" s="1"/>
      <c r="T410" s="1" t="str">
        <f>IF(O410="Furniture","Cardbaord",O410)</f>
        <v>Office Supplies</v>
      </c>
      <c r="U410" s="1" t="str">
        <f>IF(O410="furniture","cardbaord",IF(O410="office supplies","OS",O410))</f>
        <v>OS</v>
      </c>
    </row>
    <row r="411" spans="1:21" x14ac:dyDescent="0.3">
      <c r="A411">
        <v>97</v>
      </c>
      <c r="B411" s="1" t="s">
        <v>389</v>
      </c>
      <c r="C411" s="1" t="s">
        <v>390</v>
      </c>
      <c r="D411" s="1" t="s">
        <v>391</v>
      </c>
      <c r="E411" s="1" t="s">
        <v>21</v>
      </c>
      <c r="F411" s="1" t="s">
        <v>392</v>
      </c>
      <c r="G411" s="1" t="s">
        <v>393</v>
      </c>
      <c r="H411" s="1" t="s">
        <v>90</v>
      </c>
      <c r="I411" s="1" t="s">
        <v>25</v>
      </c>
      <c r="J411" s="1" t="s">
        <v>251</v>
      </c>
      <c r="K411" s="1" t="s">
        <v>252</v>
      </c>
      <c r="L411">
        <v>10009</v>
      </c>
      <c r="M411" s="1" t="s">
        <v>141</v>
      </c>
      <c r="N411" s="1" t="s">
        <v>394</v>
      </c>
      <c r="O411" s="1" t="s">
        <v>30</v>
      </c>
      <c r="P411" s="1" t="s">
        <v>63</v>
      </c>
      <c r="Q411" s="1" t="s">
        <v>395</v>
      </c>
      <c r="R411">
        <v>96.53</v>
      </c>
      <c r="S411" s="1"/>
      <c r="T411" s="1" t="str">
        <f>IF(O411="Furniture","Cardbaord",O411)</f>
        <v>Cardbaord</v>
      </c>
      <c r="U411" s="1" t="str">
        <f>IF(O411="furniture","cardbaord",IF(O411="office supplies","OS",O411))</f>
        <v>cardbaord</v>
      </c>
    </row>
    <row r="412" spans="1:21" x14ac:dyDescent="0.3">
      <c r="A412">
        <v>628</v>
      </c>
      <c r="B412" s="1" t="s">
        <v>1770</v>
      </c>
      <c r="C412" s="1" t="s">
        <v>1771</v>
      </c>
      <c r="D412" s="1" t="s">
        <v>1772</v>
      </c>
      <c r="E412" s="1" t="s">
        <v>49</v>
      </c>
      <c r="F412" s="1" t="s">
        <v>1773</v>
      </c>
      <c r="G412" s="1" t="s">
        <v>1774</v>
      </c>
      <c r="H412" s="1" t="s">
        <v>24</v>
      </c>
      <c r="I412" s="1" t="s">
        <v>25</v>
      </c>
      <c r="J412" s="1" t="s">
        <v>80</v>
      </c>
      <c r="K412" s="1" t="s">
        <v>81</v>
      </c>
      <c r="L412">
        <v>98115</v>
      </c>
      <c r="M412" s="1" t="s">
        <v>41</v>
      </c>
      <c r="N412" s="1" t="s">
        <v>1775</v>
      </c>
      <c r="O412" s="1" t="s">
        <v>43</v>
      </c>
      <c r="P412" s="1" t="s">
        <v>95</v>
      </c>
      <c r="Q412" s="1" t="s">
        <v>1776</v>
      </c>
      <c r="R412">
        <v>97.16</v>
      </c>
      <c r="S412" s="1"/>
      <c r="T412" s="1" t="str">
        <f>IF(O412="Furniture","Cardbaord",O412)</f>
        <v>Office Supplies</v>
      </c>
      <c r="U412" s="1" t="str">
        <f>IF(O412="furniture","cardbaord",IF(O412="office supplies","OS",O412))</f>
        <v>OS</v>
      </c>
    </row>
    <row r="413" spans="1:21" x14ac:dyDescent="0.3">
      <c r="A413">
        <v>177</v>
      </c>
      <c r="B413" s="1" t="s">
        <v>647</v>
      </c>
      <c r="C413" s="1" t="s">
        <v>648</v>
      </c>
      <c r="D413" s="1" t="s">
        <v>649</v>
      </c>
      <c r="E413" s="1" t="s">
        <v>21</v>
      </c>
      <c r="F413" s="1" t="s">
        <v>650</v>
      </c>
      <c r="G413" s="1" t="s">
        <v>651</v>
      </c>
      <c r="H413" s="1" t="s">
        <v>24</v>
      </c>
      <c r="I413" s="1" t="s">
        <v>25</v>
      </c>
      <c r="J413" s="1" t="s">
        <v>164</v>
      </c>
      <c r="K413" s="1" t="s">
        <v>92</v>
      </c>
      <c r="L413">
        <v>77036</v>
      </c>
      <c r="M413" s="1" t="s">
        <v>93</v>
      </c>
      <c r="N413" s="1" t="s">
        <v>652</v>
      </c>
      <c r="O413" s="1" t="s">
        <v>43</v>
      </c>
      <c r="P413" s="1" t="s">
        <v>95</v>
      </c>
      <c r="Q413" s="1" t="s">
        <v>653</v>
      </c>
      <c r="R413">
        <v>97.263999999999996</v>
      </c>
      <c r="S413" s="1"/>
      <c r="T413" s="1" t="str">
        <f>IF(O413="Furniture","Cardbaord",O413)</f>
        <v>Office Supplies</v>
      </c>
      <c r="U413" s="1" t="str">
        <f>IF(O413="furniture","cardbaord",IF(O413="office supplies","OS",O413))</f>
        <v>OS</v>
      </c>
    </row>
    <row r="414" spans="1:21" x14ac:dyDescent="0.3">
      <c r="A414">
        <v>4018</v>
      </c>
      <c r="B414" s="1" t="s">
        <v>3957</v>
      </c>
      <c r="C414" s="1" t="s">
        <v>3958</v>
      </c>
      <c r="D414" s="1" t="s">
        <v>3959</v>
      </c>
      <c r="E414" s="1" t="s">
        <v>49</v>
      </c>
      <c r="F414" s="1" t="s">
        <v>3960</v>
      </c>
      <c r="G414" s="1" t="s">
        <v>3961</v>
      </c>
      <c r="H414" s="1" t="s">
        <v>24</v>
      </c>
      <c r="I414" s="1" t="s">
        <v>25</v>
      </c>
      <c r="J414" s="1" t="s">
        <v>1474</v>
      </c>
      <c r="K414" s="1" t="s">
        <v>1112</v>
      </c>
      <c r="L414">
        <v>30318</v>
      </c>
      <c r="M414" s="1" t="s">
        <v>28</v>
      </c>
      <c r="N414" s="1" t="s">
        <v>3962</v>
      </c>
      <c r="O414" s="1" t="s">
        <v>43</v>
      </c>
      <c r="P414" s="1" t="s">
        <v>73</v>
      </c>
      <c r="Q414" s="1" t="s">
        <v>3963</v>
      </c>
      <c r="R414">
        <v>97.88</v>
      </c>
      <c r="S414" s="1"/>
      <c r="T414" s="1" t="str">
        <f>IF(O414="Furniture","Cardbaord",O414)</f>
        <v>Office Supplies</v>
      </c>
      <c r="U414" s="1" t="str">
        <f>IF(O414="furniture","cardbaord",IF(O414="office supplies","OS",O414))</f>
        <v>OS</v>
      </c>
    </row>
    <row r="415" spans="1:21" x14ac:dyDescent="0.3">
      <c r="A415">
        <v>317</v>
      </c>
      <c r="B415" s="1" t="s">
        <v>1022</v>
      </c>
      <c r="C415" s="1" t="s">
        <v>497</v>
      </c>
      <c r="D415" s="1" t="s">
        <v>1023</v>
      </c>
      <c r="E415" s="1" t="s">
        <v>169</v>
      </c>
      <c r="F415" s="1" t="s">
        <v>1024</v>
      </c>
      <c r="G415" s="1" t="s">
        <v>1025</v>
      </c>
      <c r="H415" s="1" t="s">
        <v>38</v>
      </c>
      <c r="I415" s="1" t="s">
        <v>25</v>
      </c>
      <c r="J415" s="1" t="s">
        <v>139</v>
      </c>
      <c r="K415" s="1" t="s">
        <v>140</v>
      </c>
      <c r="L415">
        <v>19143</v>
      </c>
      <c r="M415" s="1" t="s">
        <v>141</v>
      </c>
      <c r="N415" s="1" t="s">
        <v>1026</v>
      </c>
      <c r="O415" s="1" t="s">
        <v>43</v>
      </c>
      <c r="P415" s="1" t="s">
        <v>123</v>
      </c>
      <c r="Q415" s="1" t="s">
        <v>1027</v>
      </c>
      <c r="R415">
        <v>99.135999999999996</v>
      </c>
      <c r="S415" s="1"/>
      <c r="T415" s="1" t="str">
        <f>IF(O415="Furniture","Cardbaord",O415)</f>
        <v>Office Supplies</v>
      </c>
      <c r="U415" s="1" t="str">
        <f>IF(O415="furniture","cardbaord",IF(O415="office supplies","OS",O415))</f>
        <v>OS</v>
      </c>
    </row>
    <row r="416" spans="1:21" x14ac:dyDescent="0.3">
      <c r="A416">
        <v>377</v>
      </c>
      <c r="B416" s="1" t="s">
        <v>1146</v>
      </c>
      <c r="C416" s="1" t="s">
        <v>1147</v>
      </c>
      <c r="D416" s="1" t="s">
        <v>1148</v>
      </c>
      <c r="E416" s="1" t="s">
        <v>169</v>
      </c>
      <c r="F416" s="1" t="s">
        <v>1149</v>
      </c>
      <c r="G416" s="1" t="s">
        <v>1150</v>
      </c>
      <c r="H416" s="1" t="s">
        <v>38</v>
      </c>
      <c r="I416" s="1" t="s">
        <v>25</v>
      </c>
      <c r="J416" s="1" t="s">
        <v>1151</v>
      </c>
      <c r="K416" s="1" t="s">
        <v>191</v>
      </c>
      <c r="L416">
        <v>62301</v>
      </c>
      <c r="M416" s="1" t="s">
        <v>93</v>
      </c>
      <c r="N416" s="1" t="s">
        <v>1152</v>
      </c>
      <c r="O416" s="1" t="s">
        <v>43</v>
      </c>
      <c r="P416" s="1" t="s">
        <v>73</v>
      </c>
      <c r="Q416" s="1" t="s">
        <v>1153</v>
      </c>
      <c r="R416">
        <v>99.135999999999996</v>
      </c>
      <c r="S416" s="1"/>
      <c r="T416" s="1" t="str">
        <f>IF(O416="Furniture","Cardbaord",O416)</f>
        <v>Office Supplies</v>
      </c>
      <c r="U416" s="1" t="str">
        <f>IF(O416="furniture","cardbaord",IF(O416="office supplies","OS",O416))</f>
        <v>OS</v>
      </c>
    </row>
    <row r="417" spans="1:21" x14ac:dyDescent="0.3">
      <c r="A417">
        <v>1871</v>
      </c>
      <c r="B417" s="1" t="s">
        <v>3184</v>
      </c>
      <c r="C417" s="1" t="s">
        <v>3185</v>
      </c>
      <c r="D417" s="1" t="s">
        <v>3186</v>
      </c>
      <c r="E417" s="1" t="s">
        <v>49</v>
      </c>
      <c r="F417" s="1" t="s">
        <v>3187</v>
      </c>
      <c r="G417" s="1" t="s">
        <v>3188</v>
      </c>
      <c r="H417" s="1" t="s">
        <v>38</v>
      </c>
      <c r="I417" s="1" t="s">
        <v>25</v>
      </c>
      <c r="J417" s="1" t="s">
        <v>121</v>
      </c>
      <c r="K417" s="1" t="s">
        <v>40</v>
      </c>
      <c r="L417">
        <v>94122</v>
      </c>
      <c r="M417" s="1" t="s">
        <v>41</v>
      </c>
      <c r="N417" s="1" t="s">
        <v>3189</v>
      </c>
      <c r="O417" s="1" t="s">
        <v>43</v>
      </c>
      <c r="P417" s="1" t="s">
        <v>123</v>
      </c>
      <c r="Q417" s="1" t="s">
        <v>3190</v>
      </c>
      <c r="R417">
        <v>99.2</v>
      </c>
      <c r="S417" s="1"/>
      <c r="T417" s="1" t="str">
        <f>IF(O417="Furniture","Cardbaord",O417)</f>
        <v>Office Supplies</v>
      </c>
      <c r="U417" s="1" t="str">
        <f>IF(O417="furniture","cardbaord",IF(O417="office supplies","OS",O417))</f>
        <v>OS</v>
      </c>
    </row>
    <row r="418" spans="1:21" x14ac:dyDescent="0.3">
      <c r="A418">
        <v>1015</v>
      </c>
      <c r="B418" s="1" t="s">
        <v>2393</v>
      </c>
      <c r="C418" s="1" t="s">
        <v>2394</v>
      </c>
      <c r="D418" s="1" t="s">
        <v>796</v>
      </c>
      <c r="E418" s="1" t="s">
        <v>21</v>
      </c>
      <c r="F418" s="1" t="s">
        <v>2395</v>
      </c>
      <c r="G418" s="1" t="s">
        <v>2396</v>
      </c>
      <c r="H418" s="1" t="s">
        <v>24</v>
      </c>
      <c r="I418" s="1" t="s">
        <v>25</v>
      </c>
      <c r="J418" s="1" t="s">
        <v>80</v>
      </c>
      <c r="K418" s="1" t="s">
        <v>81</v>
      </c>
      <c r="L418">
        <v>98103</v>
      </c>
      <c r="M418" s="1" t="s">
        <v>41</v>
      </c>
      <c r="N418" s="1" t="s">
        <v>2397</v>
      </c>
      <c r="O418" s="1" t="s">
        <v>174</v>
      </c>
      <c r="P418" s="1" t="s">
        <v>217</v>
      </c>
      <c r="Q418" s="1" t="s">
        <v>2398</v>
      </c>
      <c r="R418">
        <v>99.6</v>
      </c>
      <c r="S418" s="1"/>
      <c r="T418" s="1" t="str">
        <f>IF(O418="Furniture","Cardbaord",O418)</f>
        <v>Technology</v>
      </c>
      <c r="U418" s="1" t="str">
        <f>IF(O418="furniture","cardbaord",IF(O418="office supplies","OS",O418))</f>
        <v>Technology</v>
      </c>
    </row>
    <row r="419" spans="1:21" x14ac:dyDescent="0.3">
      <c r="A419">
        <v>325</v>
      </c>
      <c r="B419" s="1" t="s">
        <v>1042</v>
      </c>
      <c r="C419" s="1" t="s">
        <v>1043</v>
      </c>
      <c r="D419" s="1" t="s">
        <v>1044</v>
      </c>
      <c r="E419" s="1" t="s">
        <v>49</v>
      </c>
      <c r="F419" s="1" t="s">
        <v>1045</v>
      </c>
      <c r="G419" s="1" t="s">
        <v>1046</v>
      </c>
      <c r="H419" s="1" t="s">
        <v>38</v>
      </c>
      <c r="I419" s="1" t="s">
        <v>25</v>
      </c>
      <c r="J419" s="1" t="s">
        <v>1047</v>
      </c>
      <c r="K419" s="1" t="s">
        <v>40</v>
      </c>
      <c r="L419">
        <v>92345</v>
      </c>
      <c r="M419" s="1" t="s">
        <v>41</v>
      </c>
      <c r="N419" s="1" t="s">
        <v>1048</v>
      </c>
      <c r="O419" s="1" t="s">
        <v>174</v>
      </c>
      <c r="P419" s="1" t="s">
        <v>217</v>
      </c>
      <c r="Q419" s="1" t="s">
        <v>1049</v>
      </c>
      <c r="R419">
        <v>99.99</v>
      </c>
      <c r="S419" s="1"/>
      <c r="T419" s="1" t="str">
        <f>IF(O419="Furniture","Cardbaord",O419)</f>
        <v>Technology</v>
      </c>
      <c r="U419" s="1" t="str">
        <f>IF(O419="furniture","cardbaord",IF(O419="office supplies","OS",O419))</f>
        <v>Technology</v>
      </c>
    </row>
    <row r="420" spans="1:21" x14ac:dyDescent="0.3">
      <c r="A420">
        <v>2421</v>
      </c>
      <c r="B420" s="1" t="s">
        <v>3487</v>
      </c>
      <c r="C420" s="1" t="s">
        <v>390</v>
      </c>
      <c r="D420" s="1" t="s">
        <v>1739</v>
      </c>
      <c r="E420" s="1" t="s">
        <v>49</v>
      </c>
      <c r="F420" s="1" t="s">
        <v>3488</v>
      </c>
      <c r="G420" s="1" t="s">
        <v>3489</v>
      </c>
      <c r="H420" s="1" t="s">
        <v>38</v>
      </c>
      <c r="I420" s="1" t="s">
        <v>25</v>
      </c>
      <c r="J420" s="1" t="s">
        <v>3490</v>
      </c>
      <c r="K420" s="1" t="s">
        <v>40</v>
      </c>
      <c r="L420">
        <v>92236</v>
      </c>
      <c r="M420" s="1" t="s">
        <v>41</v>
      </c>
      <c r="N420" s="1" t="s">
        <v>3491</v>
      </c>
      <c r="O420" s="1" t="s">
        <v>174</v>
      </c>
      <c r="P420" s="1" t="s">
        <v>217</v>
      </c>
      <c r="Q420" s="1" t="s">
        <v>3492</v>
      </c>
      <c r="R420">
        <v>99.99</v>
      </c>
      <c r="S420" s="1"/>
      <c r="T420" s="1" t="str">
        <f>IF(O420="Furniture","Cardbaord",O420)</f>
        <v>Technology</v>
      </c>
      <c r="U420" s="1" t="str">
        <f>IF(O420="furniture","cardbaord",IF(O420="office supplies","OS",O420))</f>
        <v>Technology</v>
      </c>
    </row>
    <row r="421" spans="1:21" x14ac:dyDescent="0.3">
      <c r="A421">
        <v>5413</v>
      </c>
      <c r="B421" s="1" t="s">
        <v>4169</v>
      </c>
      <c r="C421" s="1" t="s">
        <v>539</v>
      </c>
      <c r="D421" s="1" t="s">
        <v>3106</v>
      </c>
      <c r="E421" s="1" t="s">
        <v>49</v>
      </c>
      <c r="F421" s="1" t="s">
        <v>4170</v>
      </c>
      <c r="G421" s="1" t="s">
        <v>4171</v>
      </c>
      <c r="H421" s="1" t="s">
        <v>24</v>
      </c>
      <c r="I421" s="1" t="s">
        <v>25</v>
      </c>
      <c r="J421" s="1" t="s">
        <v>4172</v>
      </c>
      <c r="K421" s="1" t="s">
        <v>616</v>
      </c>
      <c r="L421">
        <v>88101</v>
      </c>
      <c r="M421" s="1" t="s">
        <v>41</v>
      </c>
      <c r="N421" s="1" t="s">
        <v>4173</v>
      </c>
      <c r="O421" s="1" t="s">
        <v>174</v>
      </c>
      <c r="P421" s="1" t="s">
        <v>217</v>
      </c>
      <c r="Q421" s="1" t="s">
        <v>4174</v>
      </c>
      <c r="R421">
        <v>101.34</v>
      </c>
      <c r="S421" s="1"/>
      <c r="T421" s="1" t="str">
        <f>IF(O421="Furniture","Cardbaord",O421)</f>
        <v>Technology</v>
      </c>
      <c r="U421" s="1" t="str">
        <f>IF(O421="furniture","cardbaord",IF(O421="office supplies","OS",O421))</f>
        <v>Technology</v>
      </c>
    </row>
    <row r="422" spans="1:21" x14ac:dyDescent="0.3">
      <c r="A422">
        <v>4008</v>
      </c>
      <c r="B422" s="1" t="s">
        <v>3952</v>
      </c>
      <c r="C422" s="1" t="s">
        <v>3477</v>
      </c>
      <c r="D422" s="1" t="s">
        <v>2051</v>
      </c>
      <c r="E422" s="1" t="s">
        <v>49</v>
      </c>
      <c r="F422" s="1" t="s">
        <v>3953</v>
      </c>
      <c r="G422" s="1" t="s">
        <v>3954</v>
      </c>
      <c r="H422" s="1" t="s">
        <v>24</v>
      </c>
      <c r="I422" s="1" t="s">
        <v>25</v>
      </c>
      <c r="J422" s="1" t="s">
        <v>2547</v>
      </c>
      <c r="K422" s="1" t="s">
        <v>1112</v>
      </c>
      <c r="L422">
        <v>30076</v>
      </c>
      <c r="M422" s="1" t="s">
        <v>28</v>
      </c>
      <c r="N422" s="1" t="s">
        <v>3955</v>
      </c>
      <c r="O422" s="1" t="s">
        <v>174</v>
      </c>
      <c r="P422" s="1" t="s">
        <v>217</v>
      </c>
      <c r="Q422" s="1" t="s">
        <v>3956</v>
      </c>
      <c r="R422">
        <v>101.94</v>
      </c>
      <c r="S422" s="1"/>
      <c r="T422" s="1" t="str">
        <f>IF(O422="Furniture","Cardbaord",O422)</f>
        <v>Technology</v>
      </c>
      <c r="U422" s="1" t="str">
        <f>IF(O422="furniture","cardbaord",IF(O422="office supplies","OS",O422))</f>
        <v>Technology</v>
      </c>
    </row>
    <row r="423" spans="1:21" x14ac:dyDescent="0.3">
      <c r="A423">
        <v>1271</v>
      </c>
      <c r="B423" s="1" t="s">
        <v>2685</v>
      </c>
      <c r="C423" s="1" t="s">
        <v>1317</v>
      </c>
      <c r="D423" s="1" t="s">
        <v>2426</v>
      </c>
      <c r="E423" s="1" t="s">
        <v>49</v>
      </c>
      <c r="F423" s="1" t="s">
        <v>2686</v>
      </c>
      <c r="G423" s="1" t="s">
        <v>2687</v>
      </c>
      <c r="H423" s="1" t="s">
        <v>38</v>
      </c>
      <c r="I423" s="1" t="s">
        <v>25</v>
      </c>
      <c r="J423" s="1" t="s">
        <v>276</v>
      </c>
      <c r="K423" s="1" t="s">
        <v>191</v>
      </c>
      <c r="L423">
        <v>60623</v>
      </c>
      <c r="M423" s="1" t="s">
        <v>93</v>
      </c>
      <c r="N423" s="1" t="s">
        <v>2688</v>
      </c>
      <c r="O423" s="1" t="s">
        <v>43</v>
      </c>
      <c r="P423" s="1" t="s">
        <v>105</v>
      </c>
      <c r="Q423" s="1" t="s">
        <v>2689</v>
      </c>
      <c r="R423">
        <v>102.336</v>
      </c>
      <c r="S423" s="1"/>
      <c r="T423" s="1" t="str">
        <f>IF(O423="Furniture","Cardbaord",O423)</f>
        <v>Office Supplies</v>
      </c>
      <c r="U423" s="1" t="str">
        <f>IF(O423="furniture","cardbaord",IF(O423="office supplies","OS",O423))</f>
        <v>OS</v>
      </c>
    </row>
    <row r="424" spans="1:21" x14ac:dyDescent="0.3">
      <c r="A424">
        <v>3801</v>
      </c>
      <c r="B424" s="1" t="s">
        <v>3858</v>
      </c>
      <c r="C424" s="1" t="s">
        <v>2877</v>
      </c>
      <c r="D424" s="1" t="s">
        <v>3859</v>
      </c>
      <c r="E424" s="1" t="s">
        <v>49</v>
      </c>
      <c r="F424" s="1" t="s">
        <v>3860</v>
      </c>
      <c r="G424" s="1" t="s">
        <v>3861</v>
      </c>
      <c r="H424" s="1" t="s">
        <v>24</v>
      </c>
      <c r="I424" s="1" t="s">
        <v>25</v>
      </c>
      <c r="J424" s="1" t="s">
        <v>1334</v>
      </c>
      <c r="K424" s="1" t="s">
        <v>71</v>
      </c>
      <c r="L424">
        <v>28540</v>
      </c>
      <c r="M424" s="1" t="s">
        <v>28</v>
      </c>
      <c r="N424" s="1" t="s">
        <v>3862</v>
      </c>
      <c r="O424" s="1" t="s">
        <v>30</v>
      </c>
      <c r="P424" s="1" t="s">
        <v>143</v>
      </c>
      <c r="Q424" s="1" t="s">
        <v>3863</v>
      </c>
      <c r="R424">
        <v>102.592</v>
      </c>
      <c r="S424" s="1"/>
      <c r="T424" s="1" t="str">
        <f>IF(O424="Furniture","Cardbaord",O424)</f>
        <v>Cardbaord</v>
      </c>
      <c r="U424" s="1" t="str">
        <f>IF(O424="furniture","cardbaord",IF(O424="office supplies","OS",O424))</f>
        <v>cardbaord</v>
      </c>
    </row>
    <row r="425" spans="1:21" x14ac:dyDescent="0.3">
      <c r="A425">
        <v>690</v>
      </c>
      <c r="B425" s="1" t="s">
        <v>1880</v>
      </c>
      <c r="C425" s="1" t="s">
        <v>1881</v>
      </c>
      <c r="D425" s="1" t="s">
        <v>1882</v>
      </c>
      <c r="E425" s="1" t="s">
        <v>21</v>
      </c>
      <c r="F425" s="1" t="s">
        <v>1883</v>
      </c>
      <c r="G425" s="1" t="s">
        <v>1884</v>
      </c>
      <c r="H425" s="1" t="s">
        <v>24</v>
      </c>
      <c r="I425" s="1" t="s">
        <v>25</v>
      </c>
      <c r="J425" s="1" t="s">
        <v>1885</v>
      </c>
      <c r="K425" s="1" t="s">
        <v>294</v>
      </c>
      <c r="L425">
        <v>22980</v>
      </c>
      <c r="M425" s="1" t="s">
        <v>28</v>
      </c>
      <c r="N425" s="1" t="s">
        <v>1886</v>
      </c>
      <c r="O425" s="1" t="s">
        <v>30</v>
      </c>
      <c r="P425" s="1" t="s">
        <v>63</v>
      </c>
      <c r="Q425" s="1" t="s">
        <v>1887</v>
      </c>
      <c r="R425">
        <v>104.01</v>
      </c>
      <c r="S425" s="1"/>
      <c r="T425" s="1" t="str">
        <f>IF(O425="Furniture","Cardbaord",O425)</f>
        <v>Cardbaord</v>
      </c>
      <c r="U425" s="1" t="str">
        <f>IF(O425="furniture","cardbaord",IF(O425="office supplies","OS",O425))</f>
        <v>cardbaord</v>
      </c>
    </row>
    <row r="426" spans="1:21" x14ac:dyDescent="0.3">
      <c r="A426">
        <v>2125</v>
      </c>
      <c r="B426" s="1" t="s">
        <v>3300</v>
      </c>
      <c r="C426" s="1" t="s">
        <v>766</v>
      </c>
      <c r="D426" s="1" t="s">
        <v>1663</v>
      </c>
      <c r="E426" s="1" t="s">
        <v>49</v>
      </c>
      <c r="F426" s="1" t="s">
        <v>3301</v>
      </c>
      <c r="G426" s="1" t="s">
        <v>3302</v>
      </c>
      <c r="H426" s="1" t="s">
        <v>90</v>
      </c>
      <c r="I426" s="1" t="s">
        <v>25</v>
      </c>
      <c r="J426" s="1" t="s">
        <v>139</v>
      </c>
      <c r="K426" s="1" t="s">
        <v>140</v>
      </c>
      <c r="L426">
        <v>19143</v>
      </c>
      <c r="M426" s="1" t="s">
        <v>141</v>
      </c>
      <c r="N426" s="1" t="s">
        <v>3303</v>
      </c>
      <c r="O426" s="1" t="s">
        <v>43</v>
      </c>
      <c r="P426" s="1" t="s">
        <v>183</v>
      </c>
      <c r="Q426" s="1" t="s">
        <v>3304</v>
      </c>
      <c r="R426">
        <v>104.68</v>
      </c>
      <c r="S426" s="1"/>
      <c r="T426" s="1" t="str">
        <f>IF(O426="Furniture","Cardbaord",O426)</f>
        <v>Office Supplies</v>
      </c>
      <c r="U426" s="1" t="str">
        <f>IF(O426="furniture","cardbaord",IF(O426="office supplies","OS",O426))</f>
        <v>OS</v>
      </c>
    </row>
    <row r="427" spans="1:21" x14ac:dyDescent="0.3">
      <c r="A427">
        <v>3575</v>
      </c>
      <c r="B427" s="1" t="s">
        <v>3835</v>
      </c>
      <c r="C427" s="1" t="s">
        <v>3836</v>
      </c>
      <c r="D427" s="1" t="s">
        <v>3837</v>
      </c>
      <c r="E427" s="1" t="s">
        <v>49</v>
      </c>
      <c r="F427" s="1" t="s">
        <v>3838</v>
      </c>
      <c r="G427" s="1" t="s">
        <v>3839</v>
      </c>
      <c r="H427" s="1" t="s">
        <v>24</v>
      </c>
      <c r="I427" s="1" t="s">
        <v>25</v>
      </c>
      <c r="J427" s="1" t="s">
        <v>1039</v>
      </c>
      <c r="K427" s="1" t="s">
        <v>252</v>
      </c>
      <c r="L427">
        <v>11561</v>
      </c>
      <c r="M427" s="1" t="s">
        <v>141</v>
      </c>
      <c r="N427" s="1" t="s">
        <v>3840</v>
      </c>
      <c r="O427" s="1" t="s">
        <v>43</v>
      </c>
      <c r="P427" s="1" t="s">
        <v>123</v>
      </c>
      <c r="Q427" s="1" t="s">
        <v>3841</v>
      </c>
      <c r="R427">
        <v>104.8</v>
      </c>
      <c r="S427" s="1"/>
      <c r="T427" s="1" t="str">
        <f>IF(O427="Furniture","Cardbaord",O427)</f>
        <v>Office Supplies</v>
      </c>
      <c r="U427" s="1" t="str">
        <f>IF(O427="furniture","cardbaord",IF(O427="office supplies","OS",O427))</f>
        <v>OS</v>
      </c>
    </row>
    <row r="428" spans="1:21" x14ac:dyDescent="0.3">
      <c r="A428">
        <v>496</v>
      </c>
      <c r="B428" s="1" t="s">
        <v>1455</v>
      </c>
      <c r="C428" s="1" t="s">
        <v>178</v>
      </c>
      <c r="D428" s="1" t="s">
        <v>179</v>
      </c>
      <c r="E428" s="1" t="s">
        <v>49</v>
      </c>
      <c r="F428" s="1" t="s">
        <v>1456</v>
      </c>
      <c r="G428" s="1" t="s">
        <v>1457</v>
      </c>
      <c r="H428" s="1" t="s">
        <v>24</v>
      </c>
      <c r="I428" s="1" t="s">
        <v>25</v>
      </c>
      <c r="J428" s="1" t="s">
        <v>1458</v>
      </c>
      <c r="K428" s="1" t="s">
        <v>1459</v>
      </c>
      <c r="L428">
        <v>72701</v>
      </c>
      <c r="M428" s="1" t="s">
        <v>28</v>
      </c>
      <c r="N428" s="1" t="s">
        <v>1460</v>
      </c>
      <c r="O428" s="1" t="s">
        <v>43</v>
      </c>
      <c r="P428" s="1" t="s">
        <v>183</v>
      </c>
      <c r="Q428" s="1" t="s">
        <v>1461</v>
      </c>
      <c r="R428">
        <v>105.42</v>
      </c>
      <c r="S428" s="1"/>
      <c r="T428" s="1" t="str">
        <f>IF(O428="Furniture","Cardbaord",O428)</f>
        <v>Office Supplies</v>
      </c>
      <c r="U428" s="1" t="str">
        <f>IF(O428="furniture","cardbaord",IF(O428="office supplies","OS",O428))</f>
        <v>OS</v>
      </c>
    </row>
    <row r="429" spans="1:21" x14ac:dyDescent="0.3">
      <c r="A429">
        <v>5381</v>
      </c>
      <c r="B429" s="1" t="s">
        <v>4162</v>
      </c>
      <c r="C429" s="1" t="s">
        <v>4163</v>
      </c>
      <c r="D429" s="1" t="s">
        <v>4164</v>
      </c>
      <c r="E429" s="1" t="s">
        <v>49</v>
      </c>
      <c r="F429" s="1" t="s">
        <v>4165</v>
      </c>
      <c r="G429" s="1" t="s">
        <v>4166</v>
      </c>
      <c r="H429" s="1" t="s">
        <v>24</v>
      </c>
      <c r="I429" s="1" t="s">
        <v>25</v>
      </c>
      <c r="J429" s="1" t="s">
        <v>39</v>
      </c>
      <c r="K429" s="1" t="s">
        <v>40</v>
      </c>
      <c r="L429">
        <v>90045</v>
      </c>
      <c r="M429" s="1" t="s">
        <v>41</v>
      </c>
      <c r="N429" s="1" t="s">
        <v>4167</v>
      </c>
      <c r="O429" s="1" t="s">
        <v>174</v>
      </c>
      <c r="P429" s="1" t="s">
        <v>888</v>
      </c>
      <c r="Q429" s="1" t="s">
        <v>4168</v>
      </c>
      <c r="R429">
        <v>105.55200000000001</v>
      </c>
      <c r="S429" s="1"/>
      <c r="T429" s="1" t="str">
        <f>IF(O429="Furniture","Cardbaord",O429)</f>
        <v>Technology</v>
      </c>
      <c r="U429" s="1" t="str">
        <f>IF(O429="furniture","cardbaord",IF(O429="office supplies","OS",O429))</f>
        <v>Technology</v>
      </c>
    </row>
    <row r="430" spans="1:21" x14ac:dyDescent="0.3">
      <c r="A430">
        <v>583</v>
      </c>
      <c r="B430" s="1" t="s">
        <v>1662</v>
      </c>
      <c r="C430" s="1" t="s">
        <v>766</v>
      </c>
      <c r="D430" s="1" t="s">
        <v>1663</v>
      </c>
      <c r="E430" s="1" t="s">
        <v>49</v>
      </c>
      <c r="F430" s="1" t="s">
        <v>1664</v>
      </c>
      <c r="G430" s="1" t="s">
        <v>1665</v>
      </c>
      <c r="H430" s="1" t="s">
        <v>24</v>
      </c>
      <c r="I430" s="1" t="s">
        <v>25</v>
      </c>
      <c r="J430" s="1" t="s">
        <v>740</v>
      </c>
      <c r="K430" s="1" t="s">
        <v>431</v>
      </c>
      <c r="L430">
        <v>80219</v>
      </c>
      <c r="M430" s="1" t="s">
        <v>41</v>
      </c>
      <c r="N430" s="1" t="s">
        <v>1666</v>
      </c>
      <c r="O430" s="1" t="s">
        <v>174</v>
      </c>
      <c r="P430" s="1" t="s">
        <v>175</v>
      </c>
      <c r="Q430" s="1" t="s">
        <v>1667</v>
      </c>
      <c r="R430">
        <v>105.584</v>
      </c>
      <c r="S430" s="1"/>
      <c r="T430" s="1" t="str">
        <f>IF(O430="Furniture","Cardbaord",O430)</f>
        <v>Technology</v>
      </c>
      <c r="U430" s="1" t="str">
        <f>IF(O430="furniture","cardbaord",IF(O430="office supplies","OS",O430))</f>
        <v>Technology</v>
      </c>
    </row>
    <row r="431" spans="1:21" x14ac:dyDescent="0.3">
      <c r="A431">
        <v>1766</v>
      </c>
      <c r="B431" s="1" t="s">
        <v>3097</v>
      </c>
      <c r="C431" s="1" t="s">
        <v>3098</v>
      </c>
      <c r="D431" s="1" t="s">
        <v>3099</v>
      </c>
      <c r="E431" s="1" t="s">
        <v>49</v>
      </c>
      <c r="F431" s="1" t="s">
        <v>3100</v>
      </c>
      <c r="G431" s="1" t="s">
        <v>3101</v>
      </c>
      <c r="H431" s="1" t="s">
        <v>90</v>
      </c>
      <c r="I431" s="1" t="s">
        <v>25</v>
      </c>
      <c r="J431" s="1" t="s">
        <v>3102</v>
      </c>
      <c r="K431" s="1" t="s">
        <v>294</v>
      </c>
      <c r="L431">
        <v>23434</v>
      </c>
      <c r="M431" s="1" t="s">
        <v>28</v>
      </c>
      <c r="N431" s="1" t="s">
        <v>3103</v>
      </c>
      <c r="O431" s="1" t="s">
        <v>30</v>
      </c>
      <c r="P431" s="1" t="s">
        <v>63</v>
      </c>
      <c r="Q431" s="1" t="s">
        <v>3104</v>
      </c>
      <c r="R431">
        <v>109.8</v>
      </c>
      <c r="S431" s="1"/>
      <c r="T431" s="1" t="str">
        <f>IF(O431="Furniture","Cardbaord",O431)</f>
        <v>Cardbaord</v>
      </c>
      <c r="U431" s="1" t="str">
        <f>IF(O431="furniture","cardbaord",IF(O431="office supplies","OS",O431))</f>
        <v>cardbaord</v>
      </c>
    </row>
    <row r="432" spans="1:21" x14ac:dyDescent="0.3">
      <c r="A432">
        <v>1651</v>
      </c>
      <c r="B432" s="1" t="s">
        <v>3023</v>
      </c>
      <c r="C432" s="1" t="s">
        <v>3024</v>
      </c>
      <c r="D432" s="1" t="s">
        <v>3024</v>
      </c>
      <c r="E432" s="1" t="s">
        <v>1124</v>
      </c>
      <c r="F432" s="1" t="s">
        <v>3025</v>
      </c>
      <c r="G432" s="1" t="s">
        <v>3026</v>
      </c>
      <c r="H432" s="1" t="s">
        <v>38</v>
      </c>
      <c r="I432" s="1" t="s">
        <v>25</v>
      </c>
      <c r="J432" s="1" t="s">
        <v>121</v>
      </c>
      <c r="K432" s="1" t="s">
        <v>40</v>
      </c>
      <c r="L432">
        <v>94110</v>
      </c>
      <c r="M432" s="1" t="s">
        <v>41</v>
      </c>
      <c r="N432" s="1" t="s">
        <v>3027</v>
      </c>
      <c r="O432" s="1" t="s">
        <v>43</v>
      </c>
      <c r="P432" s="1" t="s">
        <v>73</v>
      </c>
      <c r="Q432" s="1" t="s">
        <v>3028</v>
      </c>
      <c r="R432">
        <v>109.92</v>
      </c>
      <c r="S432" s="1"/>
      <c r="T432" s="1" t="str">
        <f>IF(O432="Furniture","Cardbaord",O432)</f>
        <v>Office Supplies</v>
      </c>
      <c r="U432" s="1" t="str">
        <f>IF(O432="furniture","cardbaord",IF(O432="office supplies","OS",O432))</f>
        <v>OS</v>
      </c>
    </row>
    <row r="433" spans="1:21" x14ac:dyDescent="0.3">
      <c r="A433">
        <v>5862</v>
      </c>
      <c r="B433" s="1" t="s">
        <v>4207</v>
      </c>
      <c r="C433" s="1" t="s">
        <v>1727</v>
      </c>
      <c r="D433" s="1" t="s">
        <v>4208</v>
      </c>
      <c r="E433" s="1" t="s">
        <v>21</v>
      </c>
      <c r="F433" s="1" t="s">
        <v>4209</v>
      </c>
      <c r="G433" s="1" t="s">
        <v>4210</v>
      </c>
      <c r="H433" s="1" t="s">
        <v>24</v>
      </c>
      <c r="I433" s="1" t="s">
        <v>25</v>
      </c>
      <c r="J433" s="1" t="s">
        <v>4211</v>
      </c>
      <c r="K433" s="1" t="s">
        <v>1459</v>
      </c>
      <c r="L433">
        <v>72209</v>
      </c>
      <c r="M433" s="1" t="s">
        <v>28</v>
      </c>
      <c r="N433" s="1" t="s">
        <v>4212</v>
      </c>
      <c r="O433" s="1" t="s">
        <v>43</v>
      </c>
      <c r="P433" s="1" t="s">
        <v>73</v>
      </c>
      <c r="Q433" s="1" t="s">
        <v>4213</v>
      </c>
      <c r="R433">
        <v>109.92</v>
      </c>
      <c r="S433" s="1"/>
      <c r="T433" s="1" t="str">
        <f>IF(O433="Furniture","Cardbaord",O433)</f>
        <v>Office Supplies</v>
      </c>
      <c r="U433" s="1" t="str">
        <f>IF(O433="furniture","cardbaord",IF(O433="office supplies","OS",O433))</f>
        <v>OS</v>
      </c>
    </row>
    <row r="434" spans="1:21" x14ac:dyDescent="0.3">
      <c r="A434">
        <v>38</v>
      </c>
      <c r="B434" s="1" t="s">
        <v>177</v>
      </c>
      <c r="C434" s="1" t="s">
        <v>178</v>
      </c>
      <c r="D434" s="1" t="s">
        <v>179</v>
      </c>
      <c r="E434" s="1" t="s">
        <v>49</v>
      </c>
      <c r="F434" s="1" t="s">
        <v>180</v>
      </c>
      <c r="G434" s="1" t="s">
        <v>181</v>
      </c>
      <c r="H434" s="1" t="s">
        <v>90</v>
      </c>
      <c r="I434" s="1" t="s">
        <v>25</v>
      </c>
      <c r="J434" s="1" t="s">
        <v>164</v>
      </c>
      <c r="K434" s="1" t="s">
        <v>92</v>
      </c>
      <c r="L434">
        <v>77041</v>
      </c>
      <c r="M434" s="1" t="s">
        <v>93</v>
      </c>
      <c r="N434" s="1" t="s">
        <v>182</v>
      </c>
      <c r="O434" s="1" t="s">
        <v>43</v>
      </c>
      <c r="P434" s="1" t="s">
        <v>183</v>
      </c>
      <c r="Q434" s="1" t="s">
        <v>184</v>
      </c>
      <c r="R434">
        <v>113.328</v>
      </c>
      <c r="S434" s="1"/>
      <c r="T434" s="1" t="str">
        <f>IF(O434="Furniture","Cardbaord",O434)</f>
        <v>Office Supplies</v>
      </c>
      <c r="U434" s="1" t="str">
        <f>IF(O434="furniture","cardbaord",IF(O434="office supplies","OS",O434))</f>
        <v>OS</v>
      </c>
    </row>
    <row r="435" spans="1:21" x14ac:dyDescent="0.3">
      <c r="A435">
        <v>655</v>
      </c>
      <c r="B435" s="1" t="s">
        <v>1824</v>
      </c>
      <c r="C435" s="1" t="s">
        <v>1825</v>
      </c>
      <c r="D435" s="1" t="s">
        <v>1826</v>
      </c>
      <c r="E435" s="1" t="s">
        <v>49</v>
      </c>
      <c r="F435" s="1" t="s">
        <v>1827</v>
      </c>
      <c r="G435" s="1" t="s">
        <v>1828</v>
      </c>
      <c r="H435" s="1" t="s">
        <v>24</v>
      </c>
      <c r="I435" s="1" t="s">
        <v>25</v>
      </c>
      <c r="J435" s="1" t="s">
        <v>470</v>
      </c>
      <c r="K435" s="1" t="s">
        <v>471</v>
      </c>
      <c r="L435">
        <v>43229</v>
      </c>
      <c r="M435" s="1" t="s">
        <v>141</v>
      </c>
      <c r="N435" s="1" t="s">
        <v>1829</v>
      </c>
      <c r="O435" s="1" t="s">
        <v>43</v>
      </c>
      <c r="P435" s="1" t="s">
        <v>95</v>
      </c>
      <c r="Q435" s="1" t="s">
        <v>1830</v>
      </c>
      <c r="R435">
        <v>113.55200000000001</v>
      </c>
      <c r="S435" s="1"/>
      <c r="T435" s="1" t="str">
        <f>IF(O435="Furniture","Cardbaord",O435)</f>
        <v>Office Supplies</v>
      </c>
      <c r="U435" s="1" t="str">
        <f>IF(O435="furniture","cardbaord",IF(O435="office supplies","OS",O435))</f>
        <v>OS</v>
      </c>
    </row>
    <row r="436" spans="1:21" x14ac:dyDescent="0.3">
      <c r="A436">
        <v>2952</v>
      </c>
      <c r="B436" s="1" t="s">
        <v>3654</v>
      </c>
      <c r="C436" s="1" t="s">
        <v>382</v>
      </c>
      <c r="D436" s="1" t="s">
        <v>382</v>
      </c>
      <c r="E436" s="1" t="s">
        <v>1124</v>
      </c>
      <c r="F436" s="1" t="s">
        <v>3655</v>
      </c>
      <c r="G436" s="1" t="s">
        <v>3656</v>
      </c>
      <c r="H436" s="1" t="s">
        <v>90</v>
      </c>
      <c r="I436" s="1" t="s">
        <v>25</v>
      </c>
      <c r="J436" s="1" t="s">
        <v>3657</v>
      </c>
      <c r="K436" s="1" t="s">
        <v>285</v>
      </c>
      <c r="L436">
        <v>85301</v>
      </c>
      <c r="M436" s="1" t="s">
        <v>41</v>
      </c>
      <c r="N436" s="1" t="s">
        <v>3658</v>
      </c>
      <c r="O436" s="1" t="s">
        <v>30</v>
      </c>
      <c r="P436" s="1" t="s">
        <v>143</v>
      </c>
      <c r="Q436" s="1" t="s">
        <v>3659</v>
      </c>
      <c r="R436">
        <v>113.88800000000001</v>
      </c>
      <c r="S436" s="1"/>
      <c r="T436" s="1" t="str">
        <f>IF(O436="Furniture","Cardbaord",O436)</f>
        <v>Cardbaord</v>
      </c>
      <c r="U436" s="1" t="str">
        <f>IF(O436="furniture","cardbaord",IF(O436="office supplies","OS",O436))</f>
        <v>cardbaord</v>
      </c>
    </row>
    <row r="437" spans="1:21" x14ac:dyDescent="0.3">
      <c r="A437">
        <v>850</v>
      </c>
      <c r="B437" s="1" t="s">
        <v>2141</v>
      </c>
      <c r="C437" s="1" t="s">
        <v>2142</v>
      </c>
      <c r="D437" s="1" t="s">
        <v>1371</v>
      </c>
      <c r="E437" s="1" t="s">
        <v>49</v>
      </c>
      <c r="F437" s="1" t="s">
        <v>2143</v>
      </c>
      <c r="G437" s="1" t="s">
        <v>2144</v>
      </c>
      <c r="H437" s="1" t="s">
        <v>38</v>
      </c>
      <c r="I437" s="1" t="s">
        <v>25</v>
      </c>
      <c r="J437" s="1" t="s">
        <v>2145</v>
      </c>
      <c r="K437" s="1" t="s">
        <v>718</v>
      </c>
      <c r="L437">
        <v>7036</v>
      </c>
      <c r="M437" s="1" t="s">
        <v>141</v>
      </c>
      <c r="N437" s="1" t="s">
        <v>2146</v>
      </c>
      <c r="O437" s="1" t="s">
        <v>174</v>
      </c>
      <c r="P437" s="1" t="s">
        <v>217</v>
      </c>
      <c r="Q437" s="1" t="s">
        <v>2147</v>
      </c>
      <c r="R437">
        <v>115.36</v>
      </c>
      <c r="S437" s="1"/>
      <c r="T437" s="1" t="str">
        <f>IF(O437="Furniture","Cardbaord",O437)</f>
        <v>Technology</v>
      </c>
      <c r="U437" s="1" t="str">
        <f>IF(O437="furniture","cardbaord",IF(O437="office supplies","OS",O437))</f>
        <v>Technology</v>
      </c>
    </row>
    <row r="438" spans="1:21" x14ac:dyDescent="0.3">
      <c r="A438">
        <v>1078</v>
      </c>
      <c r="B438" s="1" t="s">
        <v>2499</v>
      </c>
      <c r="C438" s="1" t="s">
        <v>203</v>
      </c>
      <c r="D438" s="1" t="s">
        <v>1116</v>
      </c>
      <c r="E438" s="1" t="s">
        <v>21</v>
      </c>
      <c r="F438" s="1" t="s">
        <v>2500</v>
      </c>
      <c r="G438" s="1" t="s">
        <v>2501</v>
      </c>
      <c r="H438" s="1" t="s">
        <v>24</v>
      </c>
      <c r="I438" s="1" t="s">
        <v>25</v>
      </c>
      <c r="J438" s="1" t="s">
        <v>80</v>
      </c>
      <c r="K438" s="1" t="s">
        <v>81</v>
      </c>
      <c r="L438">
        <v>98105</v>
      </c>
      <c r="M438" s="1" t="s">
        <v>41</v>
      </c>
      <c r="N438" s="1" t="s">
        <v>2502</v>
      </c>
      <c r="O438" s="1" t="s">
        <v>43</v>
      </c>
      <c r="P438" s="1" t="s">
        <v>95</v>
      </c>
      <c r="Q438" s="1" t="s">
        <v>2503</v>
      </c>
      <c r="R438">
        <v>119.96</v>
      </c>
      <c r="S438" s="1"/>
      <c r="T438" s="1" t="str">
        <f>IF(O438="Furniture","Cardbaord",O438)</f>
        <v>Office Supplies</v>
      </c>
      <c r="U438" s="1" t="str">
        <f>IF(O438="furniture","cardbaord",IF(O438="office supplies","OS",O438))</f>
        <v>OS</v>
      </c>
    </row>
    <row r="439" spans="1:21" x14ac:dyDescent="0.3">
      <c r="A439">
        <v>2367</v>
      </c>
      <c r="B439" s="1" t="s">
        <v>3447</v>
      </c>
      <c r="C439" s="1" t="s">
        <v>669</v>
      </c>
      <c r="D439" s="1" t="s">
        <v>1197</v>
      </c>
      <c r="E439" s="1" t="s">
        <v>21</v>
      </c>
      <c r="F439" s="1" t="s">
        <v>3448</v>
      </c>
      <c r="G439" s="1" t="s">
        <v>3449</v>
      </c>
      <c r="H439" s="1" t="s">
        <v>24</v>
      </c>
      <c r="I439" s="1" t="s">
        <v>25</v>
      </c>
      <c r="J439" s="1" t="s">
        <v>3450</v>
      </c>
      <c r="K439" s="1" t="s">
        <v>40</v>
      </c>
      <c r="L439">
        <v>95823</v>
      </c>
      <c r="M439" s="1" t="s">
        <v>41</v>
      </c>
      <c r="N439" s="1" t="s">
        <v>3451</v>
      </c>
      <c r="O439" s="1" t="s">
        <v>30</v>
      </c>
      <c r="P439" s="1" t="s">
        <v>143</v>
      </c>
      <c r="Q439" s="1" t="s">
        <v>3452</v>
      </c>
      <c r="R439">
        <v>120.712</v>
      </c>
      <c r="S439" s="1"/>
      <c r="T439" s="1" t="str">
        <f>IF(O439="Furniture","Cardbaord",O439)</f>
        <v>Cardbaord</v>
      </c>
      <c r="U439" s="1" t="str">
        <f>IF(O439="furniture","cardbaord",IF(O439="office supplies","OS",O439))</f>
        <v>cardbaord</v>
      </c>
    </row>
    <row r="440" spans="1:21" x14ac:dyDescent="0.3">
      <c r="A440">
        <v>3240</v>
      </c>
      <c r="B440" s="1" t="s">
        <v>3766</v>
      </c>
      <c r="C440" s="1" t="s">
        <v>590</v>
      </c>
      <c r="D440" s="1" t="s">
        <v>3767</v>
      </c>
      <c r="E440" s="1" t="s">
        <v>49</v>
      </c>
      <c r="F440" s="1" t="s">
        <v>3768</v>
      </c>
      <c r="G440" s="1" t="s">
        <v>3769</v>
      </c>
      <c r="H440" s="1" t="s">
        <v>38</v>
      </c>
      <c r="I440" s="1" t="s">
        <v>25</v>
      </c>
      <c r="J440" s="1" t="s">
        <v>164</v>
      </c>
      <c r="K440" s="1" t="s">
        <v>92</v>
      </c>
      <c r="L440">
        <v>77095</v>
      </c>
      <c r="M440" s="1" t="s">
        <v>93</v>
      </c>
      <c r="N440" s="1" t="s">
        <v>3770</v>
      </c>
      <c r="O440" s="1" t="s">
        <v>174</v>
      </c>
      <c r="P440" s="1" t="s">
        <v>175</v>
      </c>
      <c r="Q440" s="1" t="s">
        <v>3771</v>
      </c>
      <c r="R440">
        <v>122.92</v>
      </c>
      <c r="S440" s="1"/>
      <c r="T440" s="1" t="str">
        <f>IF(O440="Furniture","Cardbaord",O440)</f>
        <v>Technology</v>
      </c>
      <c r="U440" s="1" t="str">
        <f>IF(O440="furniture","cardbaord",IF(O440="office supplies","OS",O440))</f>
        <v>Technology</v>
      </c>
    </row>
    <row r="441" spans="1:21" x14ac:dyDescent="0.3">
      <c r="A441">
        <v>511</v>
      </c>
      <c r="B441" s="1" t="s">
        <v>1477</v>
      </c>
      <c r="C441" s="1" t="s">
        <v>1478</v>
      </c>
      <c r="D441" s="1" t="s">
        <v>1479</v>
      </c>
      <c r="E441" s="1" t="s">
        <v>169</v>
      </c>
      <c r="F441" s="1" t="s">
        <v>1480</v>
      </c>
      <c r="G441" s="1" t="s">
        <v>1481</v>
      </c>
      <c r="H441" s="1" t="s">
        <v>24</v>
      </c>
      <c r="I441" s="1" t="s">
        <v>25</v>
      </c>
      <c r="J441" s="1" t="s">
        <v>1482</v>
      </c>
      <c r="K441" s="1" t="s">
        <v>550</v>
      </c>
      <c r="L441">
        <v>64118</v>
      </c>
      <c r="M441" s="1" t="s">
        <v>93</v>
      </c>
      <c r="N441" s="1" t="s">
        <v>1483</v>
      </c>
      <c r="O441" s="1" t="s">
        <v>30</v>
      </c>
      <c r="P441" s="1" t="s">
        <v>63</v>
      </c>
      <c r="Q441" s="1" t="s">
        <v>1484</v>
      </c>
      <c r="R441">
        <v>126.3</v>
      </c>
      <c r="S441" s="1"/>
      <c r="T441" s="1" t="str">
        <f>IF(O441="Furniture","Cardbaord",O441)</f>
        <v>Cardbaord</v>
      </c>
      <c r="U441" s="1" t="str">
        <f>IF(O441="furniture","cardbaord",IF(O441="office supplies","OS",O441))</f>
        <v>cardbaord</v>
      </c>
    </row>
    <row r="442" spans="1:21" x14ac:dyDescent="0.3">
      <c r="A442">
        <v>6814</v>
      </c>
      <c r="B442" s="1" t="s">
        <v>4245</v>
      </c>
      <c r="C442" s="1" t="s">
        <v>4246</v>
      </c>
      <c r="D442" s="1" t="s">
        <v>187</v>
      </c>
      <c r="E442" s="1" t="s">
        <v>169</v>
      </c>
      <c r="F442" s="1" t="s">
        <v>4247</v>
      </c>
      <c r="G442" s="1" t="s">
        <v>4248</v>
      </c>
      <c r="H442" s="1" t="s">
        <v>24</v>
      </c>
      <c r="I442" s="1" t="s">
        <v>25</v>
      </c>
      <c r="J442" s="1" t="s">
        <v>139</v>
      </c>
      <c r="K442" s="1" t="s">
        <v>140</v>
      </c>
      <c r="L442">
        <v>19140</v>
      </c>
      <c r="M442" s="1" t="s">
        <v>141</v>
      </c>
      <c r="N442" s="1" t="s">
        <v>4249</v>
      </c>
      <c r="O442" s="1" t="s">
        <v>30</v>
      </c>
      <c r="P442" s="1" t="s">
        <v>63</v>
      </c>
      <c r="Q442" s="1" t="s">
        <v>4250</v>
      </c>
      <c r="R442">
        <v>127.93600000000001</v>
      </c>
      <c r="S442" s="1"/>
      <c r="T442" s="1" t="str">
        <f>IF(O442="Furniture","Cardbaord",O442)</f>
        <v>Cardbaord</v>
      </c>
      <c r="U442" s="1" t="str">
        <f>IF(O442="furniture","cardbaord",IF(O442="office supplies","OS",O442))</f>
        <v>cardbaord</v>
      </c>
    </row>
    <row r="443" spans="1:21" x14ac:dyDescent="0.3">
      <c r="A443">
        <v>457</v>
      </c>
      <c r="B443" s="1" t="s">
        <v>1370</v>
      </c>
      <c r="C443" s="1" t="s">
        <v>1371</v>
      </c>
      <c r="D443" s="1" t="s">
        <v>1372</v>
      </c>
      <c r="E443" s="1" t="s">
        <v>49</v>
      </c>
      <c r="F443" s="1" t="s">
        <v>1373</v>
      </c>
      <c r="G443" s="1" t="s">
        <v>1374</v>
      </c>
      <c r="H443" s="1" t="s">
        <v>24</v>
      </c>
      <c r="I443" s="1" t="s">
        <v>25</v>
      </c>
      <c r="J443" s="1" t="s">
        <v>70</v>
      </c>
      <c r="K443" s="1" t="s">
        <v>40</v>
      </c>
      <c r="L443">
        <v>94521</v>
      </c>
      <c r="M443" s="1" t="s">
        <v>41</v>
      </c>
      <c r="N443" s="1" t="s">
        <v>1375</v>
      </c>
      <c r="O443" s="1" t="s">
        <v>30</v>
      </c>
      <c r="P443" s="1" t="s">
        <v>143</v>
      </c>
      <c r="Q443" s="1" t="s">
        <v>1376</v>
      </c>
      <c r="R443">
        <v>129.56800000000001</v>
      </c>
      <c r="S443" s="1"/>
      <c r="T443" s="1" t="str">
        <f>IF(O443="Furniture","Cardbaord",O443)</f>
        <v>Cardbaord</v>
      </c>
      <c r="U443" s="1" t="str">
        <f>IF(O443="furniture","cardbaord",IF(O443="office supplies","OS",O443))</f>
        <v>cardbaord</v>
      </c>
    </row>
    <row r="444" spans="1:21" x14ac:dyDescent="0.3">
      <c r="A444">
        <v>521</v>
      </c>
      <c r="B444" s="1" t="s">
        <v>1490</v>
      </c>
      <c r="C444" s="1" t="s">
        <v>1471</v>
      </c>
      <c r="D444" s="1" t="s">
        <v>1491</v>
      </c>
      <c r="E444" s="1" t="s">
        <v>49</v>
      </c>
      <c r="F444" s="1" t="s">
        <v>1492</v>
      </c>
      <c r="G444" s="1" t="s">
        <v>1493</v>
      </c>
      <c r="H444" s="1" t="s">
        <v>24</v>
      </c>
      <c r="I444" s="1" t="s">
        <v>25</v>
      </c>
      <c r="J444" s="1" t="s">
        <v>164</v>
      </c>
      <c r="K444" s="1" t="s">
        <v>92</v>
      </c>
      <c r="L444">
        <v>77041</v>
      </c>
      <c r="M444" s="1" t="s">
        <v>93</v>
      </c>
      <c r="N444" s="1" t="s">
        <v>1494</v>
      </c>
      <c r="O444" s="1" t="s">
        <v>43</v>
      </c>
      <c r="P444" s="1" t="s">
        <v>105</v>
      </c>
      <c r="Q444" s="1" t="s">
        <v>1495</v>
      </c>
      <c r="R444">
        <v>129.56800000000001</v>
      </c>
      <c r="S444" s="1"/>
      <c r="T444" s="1" t="str">
        <f>IF(O444="Furniture","Cardbaord",O444)</f>
        <v>Office Supplies</v>
      </c>
      <c r="U444" s="1" t="str">
        <f>IF(O444="furniture","cardbaord",IF(O444="office supplies","OS",O444))</f>
        <v>OS</v>
      </c>
    </row>
    <row r="445" spans="1:21" x14ac:dyDescent="0.3">
      <c r="A445">
        <v>724</v>
      </c>
      <c r="B445" s="1" t="s">
        <v>1943</v>
      </c>
      <c r="C445" s="1" t="s">
        <v>1944</v>
      </c>
      <c r="D445" s="1" t="s">
        <v>1945</v>
      </c>
      <c r="E445" s="1" t="s">
        <v>49</v>
      </c>
      <c r="F445" s="1" t="s">
        <v>1946</v>
      </c>
      <c r="G445" s="1" t="s">
        <v>1947</v>
      </c>
      <c r="H445" s="1" t="s">
        <v>90</v>
      </c>
      <c r="I445" s="1" t="s">
        <v>25</v>
      </c>
      <c r="J445" s="1" t="s">
        <v>139</v>
      </c>
      <c r="K445" s="1" t="s">
        <v>140</v>
      </c>
      <c r="L445">
        <v>19140</v>
      </c>
      <c r="M445" s="1" t="s">
        <v>141</v>
      </c>
      <c r="N445" s="1" t="s">
        <v>1948</v>
      </c>
      <c r="O445" s="1" t="s">
        <v>30</v>
      </c>
      <c r="P445" s="1" t="s">
        <v>63</v>
      </c>
      <c r="Q445" s="1" t="s">
        <v>1949</v>
      </c>
      <c r="R445">
        <v>129.91999999999999</v>
      </c>
      <c r="S445" s="1"/>
      <c r="T445" s="1" t="str">
        <f>IF(O445="Furniture","Cardbaord",O445)</f>
        <v>Cardbaord</v>
      </c>
      <c r="U445" s="1" t="str">
        <f>IF(O445="furniture","cardbaord",IF(O445="office supplies","OS",O445))</f>
        <v>cardbaord</v>
      </c>
    </row>
    <row r="446" spans="1:21" x14ac:dyDescent="0.3">
      <c r="A446">
        <v>3337</v>
      </c>
      <c r="B446" s="1" t="s">
        <v>3788</v>
      </c>
      <c r="C446" s="1" t="s">
        <v>1295</v>
      </c>
      <c r="D446" s="1" t="s">
        <v>3789</v>
      </c>
      <c r="E446" s="1" t="s">
        <v>169</v>
      </c>
      <c r="F446" s="1" t="s">
        <v>3790</v>
      </c>
      <c r="G446" s="1" t="s">
        <v>3791</v>
      </c>
      <c r="H446" s="1" t="s">
        <v>24</v>
      </c>
      <c r="I446" s="1" t="s">
        <v>25</v>
      </c>
      <c r="J446" s="1" t="s">
        <v>2512</v>
      </c>
      <c r="K446" s="1" t="s">
        <v>40</v>
      </c>
      <c r="L446">
        <v>94601</v>
      </c>
      <c r="M446" s="1" t="s">
        <v>41</v>
      </c>
      <c r="N446" s="1" t="s">
        <v>3792</v>
      </c>
      <c r="O446" s="1" t="s">
        <v>30</v>
      </c>
      <c r="P446" s="1" t="s">
        <v>63</v>
      </c>
      <c r="Q446" s="1" t="s">
        <v>3793</v>
      </c>
      <c r="R446">
        <v>129.91999999999999</v>
      </c>
      <c r="S446" s="1"/>
      <c r="T446" s="1" t="str">
        <f>IF(O446="Furniture","Cardbaord",O446)</f>
        <v>Cardbaord</v>
      </c>
      <c r="U446" s="1" t="str">
        <f>IF(O446="furniture","cardbaord",IF(O446="office supplies","OS",O446))</f>
        <v>cardbaord</v>
      </c>
    </row>
    <row r="447" spans="1:21" x14ac:dyDescent="0.3">
      <c r="A447">
        <v>2716</v>
      </c>
      <c r="B447" s="1" t="s">
        <v>3610</v>
      </c>
      <c r="C447" s="1" t="s">
        <v>1918</v>
      </c>
      <c r="D447" s="1" t="s">
        <v>3611</v>
      </c>
      <c r="E447" s="1" t="s">
        <v>49</v>
      </c>
      <c r="F447" s="1" t="s">
        <v>3612</v>
      </c>
      <c r="G447" s="1" t="s">
        <v>3613</v>
      </c>
      <c r="H447" s="1" t="s">
        <v>38</v>
      </c>
      <c r="I447" s="1" t="s">
        <v>25</v>
      </c>
      <c r="J447" s="1" t="s">
        <v>251</v>
      </c>
      <c r="K447" s="1" t="s">
        <v>252</v>
      </c>
      <c r="L447">
        <v>10024</v>
      </c>
      <c r="M447" s="1" t="s">
        <v>141</v>
      </c>
      <c r="N447" s="1" t="s">
        <v>3614</v>
      </c>
      <c r="O447" s="1" t="s">
        <v>174</v>
      </c>
      <c r="P447" s="1" t="s">
        <v>175</v>
      </c>
      <c r="Q447" s="1" t="s">
        <v>3615</v>
      </c>
      <c r="R447">
        <v>129.97999999999999</v>
      </c>
      <c r="S447" s="1"/>
      <c r="T447" s="1" t="str">
        <f>IF(O447="Furniture","Cardbaord",O447)</f>
        <v>Technology</v>
      </c>
      <c r="U447" s="1" t="str">
        <f>IF(O447="furniture","cardbaord",IF(O447="office supplies","OS",O447))</f>
        <v>Technology</v>
      </c>
    </row>
    <row r="448" spans="1:21" x14ac:dyDescent="0.3">
      <c r="A448">
        <v>318</v>
      </c>
      <c r="B448" s="1" t="s">
        <v>1028</v>
      </c>
      <c r="C448" s="1" t="s">
        <v>1029</v>
      </c>
      <c r="D448" s="1" t="s">
        <v>1030</v>
      </c>
      <c r="E448" s="1" t="s">
        <v>49</v>
      </c>
      <c r="F448" s="1" t="s">
        <v>1031</v>
      </c>
      <c r="G448" s="1" t="s">
        <v>1032</v>
      </c>
      <c r="H448" s="1" t="s">
        <v>90</v>
      </c>
      <c r="I448" s="1" t="s">
        <v>25</v>
      </c>
      <c r="J448" s="1" t="s">
        <v>251</v>
      </c>
      <c r="K448" s="1" t="s">
        <v>252</v>
      </c>
      <c r="L448">
        <v>10024</v>
      </c>
      <c r="M448" s="1" t="s">
        <v>141</v>
      </c>
      <c r="N448" s="1" t="s">
        <v>1033</v>
      </c>
      <c r="O448" s="1" t="s">
        <v>30</v>
      </c>
      <c r="P448" s="1" t="s">
        <v>143</v>
      </c>
      <c r="Q448" s="1" t="s">
        <v>1034</v>
      </c>
      <c r="R448">
        <v>135.88200000000001</v>
      </c>
      <c r="S448" s="1"/>
      <c r="T448" s="1" t="str">
        <f>IF(O448="Furniture","Cardbaord",O448)</f>
        <v>Cardbaord</v>
      </c>
      <c r="U448" s="1" t="str">
        <f>IF(O448="furniture","cardbaord",IF(O448="office supplies","OS",O448))</f>
        <v>cardbaord</v>
      </c>
    </row>
    <row r="449" spans="1:21" x14ac:dyDescent="0.3">
      <c r="A449">
        <v>415</v>
      </c>
      <c r="B449" s="1" t="s">
        <v>1268</v>
      </c>
      <c r="C449" s="1" t="s">
        <v>1051</v>
      </c>
      <c r="D449" s="1" t="s">
        <v>1269</v>
      </c>
      <c r="E449" s="1" t="s">
        <v>49</v>
      </c>
      <c r="F449" s="1" t="s">
        <v>1270</v>
      </c>
      <c r="G449" s="1" t="s">
        <v>1271</v>
      </c>
      <c r="H449" s="1" t="s">
        <v>38</v>
      </c>
      <c r="I449" s="1" t="s">
        <v>25</v>
      </c>
      <c r="J449" s="1" t="s">
        <v>80</v>
      </c>
      <c r="K449" s="1" t="s">
        <v>81</v>
      </c>
      <c r="L449">
        <v>98105</v>
      </c>
      <c r="M449" s="1" t="s">
        <v>41</v>
      </c>
      <c r="N449" s="1" t="s">
        <v>1272</v>
      </c>
      <c r="O449" s="1" t="s">
        <v>43</v>
      </c>
      <c r="P449" s="1" t="s">
        <v>73</v>
      </c>
      <c r="Q449" s="1" t="s">
        <v>1273</v>
      </c>
      <c r="R449">
        <v>139.86000000000001</v>
      </c>
      <c r="S449" s="1"/>
      <c r="T449" s="1" t="str">
        <f>IF(O449="Furniture","Cardbaord",O449)</f>
        <v>Office Supplies</v>
      </c>
      <c r="U449" s="1" t="str">
        <f>IF(O449="furniture","cardbaord",IF(O449="office supplies","OS",O449))</f>
        <v>OS</v>
      </c>
    </row>
    <row r="450" spans="1:21" x14ac:dyDescent="0.3">
      <c r="A450">
        <v>1790</v>
      </c>
      <c r="B450" s="1" t="s">
        <v>3113</v>
      </c>
      <c r="C450" s="1" t="s">
        <v>3114</v>
      </c>
      <c r="D450" s="1" t="s">
        <v>3115</v>
      </c>
      <c r="E450" s="1" t="s">
        <v>49</v>
      </c>
      <c r="F450" s="1" t="s">
        <v>3116</v>
      </c>
      <c r="G450" s="1" t="s">
        <v>3117</v>
      </c>
      <c r="H450" s="1" t="s">
        <v>38</v>
      </c>
      <c r="I450" s="1" t="s">
        <v>25</v>
      </c>
      <c r="J450" s="1" t="s">
        <v>3118</v>
      </c>
      <c r="K450" s="1" t="s">
        <v>103</v>
      </c>
      <c r="L450">
        <v>53142</v>
      </c>
      <c r="M450" s="1" t="s">
        <v>93</v>
      </c>
      <c r="N450" s="1" t="s">
        <v>3119</v>
      </c>
      <c r="O450" s="1" t="s">
        <v>174</v>
      </c>
      <c r="P450" s="1" t="s">
        <v>217</v>
      </c>
      <c r="Q450" s="1" t="s">
        <v>3120</v>
      </c>
      <c r="R450">
        <v>139.94999999999999</v>
      </c>
      <c r="S450" s="1"/>
      <c r="T450" s="1" t="str">
        <f>IF(O450="Furniture","Cardbaord",O450)</f>
        <v>Technology</v>
      </c>
      <c r="U450" s="1" t="str">
        <f>IF(O450="furniture","cardbaord",IF(O450="office supplies","OS",O450))</f>
        <v>Technology</v>
      </c>
    </row>
    <row r="451" spans="1:21" x14ac:dyDescent="0.3">
      <c r="A451">
        <v>1842</v>
      </c>
      <c r="B451" s="1" t="s">
        <v>3164</v>
      </c>
      <c r="C451" s="1" t="s">
        <v>2603</v>
      </c>
      <c r="D451" s="1" t="s">
        <v>3165</v>
      </c>
      <c r="E451" s="1" t="s">
        <v>49</v>
      </c>
      <c r="F451" s="1" t="s">
        <v>3166</v>
      </c>
      <c r="G451" s="1" t="s">
        <v>3167</v>
      </c>
      <c r="H451" s="1" t="s">
        <v>38</v>
      </c>
      <c r="I451" s="1" t="s">
        <v>25</v>
      </c>
      <c r="J451" s="1" t="s">
        <v>3168</v>
      </c>
      <c r="K451" s="1" t="s">
        <v>27</v>
      </c>
      <c r="L451">
        <v>42104</v>
      </c>
      <c r="M451" s="1" t="s">
        <v>28</v>
      </c>
      <c r="N451" s="1" t="s">
        <v>3169</v>
      </c>
      <c r="O451" s="1" t="s">
        <v>30</v>
      </c>
      <c r="P451" s="1" t="s">
        <v>143</v>
      </c>
      <c r="Q451" s="1" t="s">
        <v>3170</v>
      </c>
      <c r="R451">
        <v>140.81</v>
      </c>
      <c r="S451" s="1"/>
      <c r="T451" s="1" t="str">
        <f>IF(O451="Furniture","Cardbaord",O451)</f>
        <v>Cardbaord</v>
      </c>
      <c r="U451" s="1" t="str">
        <f>IF(O451="furniture","cardbaord",IF(O451="office supplies","OS",O451))</f>
        <v>cardbaord</v>
      </c>
    </row>
    <row r="452" spans="1:21" x14ac:dyDescent="0.3">
      <c r="A452">
        <v>603</v>
      </c>
      <c r="B452" s="1" t="s">
        <v>1711</v>
      </c>
      <c r="C452" s="1" t="s">
        <v>1712</v>
      </c>
      <c r="D452" s="1" t="s">
        <v>1713</v>
      </c>
      <c r="E452" s="1" t="s">
        <v>49</v>
      </c>
      <c r="F452" s="1" t="s">
        <v>1714</v>
      </c>
      <c r="G452" s="1" t="s">
        <v>1715</v>
      </c>
      <c r="H452" s="1" t="s">
        <v>24</v>
      </c>
      <c r="I452" s="1" t="s">
        <v>25</v>
      </c>
      <c r="J452" s="1" t="s">
        <v>1608</v>
      </c>
      <c r="K452" s="1" t="s">
        <v>53</v>
      </c>
      <c r="L452">
        <v>33614</v>
      </c>
      <c r="M452" s="1" t="s">
        <v>28</v>
      </c>
      <c r="N452" s="1" t="s">
        <v>1716</v>
      </c>
      <c r="O452" s="1" t="s">
        <v>43</v>
      </c>
      <c r="P452" s="1" t="s">
        <v>105</v>
      </c>
      <c r="Q452" s="1" t="s">
        <v>1717</v>
      </c>
      <c r="R452">
        <v>142.77600000000001</v>
      </c>
      <c r="S452" s="1"/>
      <c r="T452" s="1" t="str">
        <f>IF(O452="Furniture","Cardbaord",O452)</f>
        <v>Office Supplies</v>
      </c>
      <c r="U452" s="1" t="str">
        <f>IF(O452="furniture","cardbaord",IF(O452="office supplies","OS",O452))</f>
        <v>OS</v>
      </c>
    </row>
    <row r="453" spans="1:21" x14ac:dyDescent="0.3">
      <c r="A453">
        <v>600</v>
      </c>
      <c r="B453" s="1" t="s">
        <v>1705</v>
      </c>
      <c r="C453" s="1" t="s">
        <v>693</v>
      </c>
      <c r="D453" s="1" t="s">
        <v>1706</v>
      </c>
      <c r="E453" s="1" t="s">
        <v>49</v>
      </c>
      <c r="F453" s="1" t="s">
        <v>1707</v>
      </c>
      <c r="G453" s="1" t="s">
        <v>1708</v>
      </c>
      <c r="H453" s="1" t="s">
        <v>24</v>
      </c>
      <c r="I453" s="1" t="s">
        <v>25</v>
      </c>
      <c r="J453" s="1" t="s">
        <v>139</v>
      </c>
      <c r="K453" s="1" t="s">
        <v>140</v>
      </c>
      <c r="L453">
        <v>19120</v>
      </c>
      <c r="M453" s="1" t="s">
        <v>141</v>
      </c>
      <c r="N453" s="1" t="s">
        <v>1709</v>
      </c>
      <c r="O453" s="1" t="s">
        <v>174</v>
      </c>
      <c r="P453" s="1" t="s">
        <v>175</v>
      </c>
      <c r="Q453" s="1" t="s">
        <v>1710</v>
      </c>
      <c r="R453">
        <v>143.982</v>
      </c>
      <c r="S453" s="1"/>
      <c r="T453" s="1" t="str">
        <f>IF(O453="Furniture","Cardbaord",O453)</f>
        <v>Technology</v>
      </c>
      <c r="U453" s="1" t="str">
        <f>IF(O453="furniture","cardbaord",IF(O453="office supplies","OS",O453))</f>
        <v>Technology</v>
      </c>
    </row>
    <row r="454" spans="1:21" x14ac:dyDescent="0.3">
      <c r="A454">
        <v>1360</v>
      </c>
      <c r="B454" s="1" t="s">
        <v>2779</v>
      </c>
      <c r="C454" s="1" t="s">
        <v>2065</v>
      </c>
      <c r="D454" s="1" t="s">
        <v>2780</v>
      </c>
      <c r="E454" s="1" t="s">
        <v>21</v>
      </c>
      <c r="F454" s="1" t="s">
        <v>2781</v>
      </c>
      <c r="G454" s="1" t="s">
        <v>2782</v>
      </c>
      <c r="H454" s="1" t="s">
        <v>24</v>
      </c>
      <c r="I454" s="1" t="s">
        <v>25</v>
      </c>
      <c r="J454" s="1" t="s">
        <v>39</v>
      </c>
      <c r="K454" s="1" t="s">
        <v>40</v>
      </c>
      <c r="L454">
        <v>90049</v>
      </c>
      <c r="M454" s="1" t="s">
        <v>41</v>
      </c>
      <c r="N454" s="1" t="s">
        <v>2783</v>
      </c>
      <c r="O454" s="1" t="s">
        <v>30</v>
      </c>
      <c r="P454" s="1" t="s">
        <v>143</v>
      </c>
      <c r="Q454" s="1" t="s">
        <v>2784</v>
      </c>
      <c r="R454">
        <v>145.56800000000001</v>
      </c>
      <c r="S454" s="1"/>
      <c r="T454" s="1" t="str">
        <f>IF(O454="Furniture","Cardbaord",O454)</f>
        <v>Cardbaord</v>
      </c>
      <c r="U454" s="1" t="str">
        <f>IF(O454="furniture","cardbaord",IF(O454="office supplies","OS",O454))</f>
        <v>cardbaord</v>
      </c>
    </row>
    <row r="455" spans="1:21" x14ac:dyDescent="0.3">
      <c r="A455">
        <v>1933</v>
      </c>
      <c r="B455" s="1" t="s">
        <v>3238</v>
      </c>
      <c r="C455" s="1" t="s">
        <v>3239</v>
      </c>
      <c r="D455" s="1" t="s">
        <v>3240</v>
      </c>
      <c r="E455" s="1" t="s">
        <v>21</v>
      </c>
      <c r="F455" s="1" t="s">
        <v>3241</v>
      </c>
      <c r="G455" s="1" t="s">
        <v>3242</v>
      </c>
      <c r="H455" s="1" t="s">
        <v>24</v>
      </c>
      <c r="I455" s="1" t="s">
        <v>25</v>
      </c>
      <c r="J455" s="1" t="s">
        <v>3243</v>
      </c>
      <c r="K455" s="1" t="s">
        <v>673</v>
      </c>
      <c r="L455">
        <v>70506</v>
      </c>
      <c r="M455" s="1" t="s">
        <v>28</v>
      </c>
      <c r="N455" s="1" t="s">
        <v>3244</v>
      </c>
      <c r="O455" s="1" t="s">
        <v>30</v>
      </c>
      <c r="P455" s="1" t="s">
        <v>31</v>
      </c>
      <c r="Q455" s="1" t="s">
        <v>3245</v>
      </c>
      <c r="R455">
        <v>145.74</v>
      </c>
      <c r="S455" s="1"/>
      <c r="T455" s="1" t="str">
        <f>IF(O455="Furniture","Cardbaord",O455)</f>
        <v>Cardbaord</v>
      </c>
      <c r="U455" s="1" t="str">
        <f>IF(O455="furniture","cardbaord",IF(O455="office supplies","OS",O455))</f>
        <v>cardbaord</v>
      </c>
    </row>
    <row r="456" spans="1:21" x14ac:dyDescent="0.3">
      <c r="A456">
        <v>2438</v>
      </c>
      <c r="B456" s="1" t="s">
        <v>3504</v>
      </c>
      <c r="C456" s="1" t="s">
        <v>99</v>
      </c>
      <c r="D456" s="1" t="s">
        <v>3505</v>
      </c>
      <c r="E456" s="1" t="s">
        <v>21</v>
      </c>
      <c r="F456" s="1" t="s">
        <v>3506</v>
      </c>
      <c r="G456" s="1" t="s">
        <v>3507</v>
      </c>
      <c r="H456" s="1" t="s">
        <v>24</v>
      </c>
      <c r="I456" s="1" t="s">
        <v>25</v>
      </c>
      <c r="J456" s="1" t="s">
        <v>2339</v>
      </c>
      <c r="K456" s="1" t="s">
        <v>431</v>
      </c>
      <c r="L456">
        <v>80027</v>
      </c>
      <c r="M456" s="1" t="s">
        <v>41</v>
      </c>
      <c r="N456" s="1" t="s">
        <v>3508</v>
      </c>
      <c r="O456" s="1" t="s">
        <v>30</v>
      </c>
      <c r="P456" s="1" t="s">
        <v>55</v>
      </c>
      <c r="Q456" s="1" t="s">
        <v>3509</v>
      </c>
      <c r="R456">
        <v>145.97999999999999</v>
      </c>
      <c r="S456" s="1"/>
      <c r="T456" s="1" t="str">
        <f>IF(O456="Furniture","Cardbaord",O456)</f>
        <v>Cardbaord</v>
      </c>
      <c r="U456" s="1" t="str">
        <f>IF(O456="furniture","cardbaord",IF(O456="office supplies","OS",O456))</f>
        <v>cardbaord</v>
      </c>
    </row>
    <row r="457" spans="1:21" x14ac:dyDescent="0.3">
      <c r="A457">
        <v>721</v>
      </c>
      <c r="B457" s="1" t="s">
        <v>1936</v>
      </c>
      <c r="C457" s="1" t="s">
        <v>1937</v>
      </c>
      <c r="D457" s="1" t="s">
        <v>1938</v>
      </c>
      <c r="E457" s="1" t="s">
        <v>49</v>
      </c>
      <c r="F457" s="1" t="s">
        <v>1939</v>
      </c>
      <c r="G457" s="1" t="s">
        <v>1940</v>
      </c>
      <c r="H457" s="1" t="s">
        <v>90</v>
      </c>
      <c r="I457" s="1" t="s">
        <v>25</v>
      </c>
      <c r="J457" s="1" t="s">
        <v>39</v>
      </c>
      <c r="K457" s="1" t="s">
        <v>40</v>
      </c>
      <c r="L457">
        <v>90045</v>
      </c>
      <c r="M457" s="1" t="s">
        <v>41</v>
      </c>
      <c r="N457" s="1" t="s">
        <v>1941</v>
      </c>
      <c r="O457" s="1" t="s">
        <v>43</v>
      </c>
      <c r="P457" s="1" t="s">
        <v>73</v>
      </c>
      <c r="Q457" s="1" t="s">
        <v>1942</v>
      </c>
      <c r="R457">
        <v>146.82</v>
      </c>
      <c r="S457" s="1"/>
      <c r="T457" s="1" t="str">
        <f>IF(O457="Furniture","Cardbaord",O457)</f>
        <v>Office Supplies</v>
      </c>
      <c r="U457" s="1" t="str">
        <f>IF(O457="furniture","cardbaord",IF(O457="office supplies","OS",O457))</f>
        <v>OS</v>
      </c>
    </row>
    <row r="458" spans="1:21" x14ac:dyDescent="0.3">
      <c r="A458">
        <v>42</v>
      </c>
      <c r="B458" s="1" t="s">
        <v>185</v>
      </c>
      <c r="C458" s="1" t="s">
        <v>186</v>
      </c>
      <c r="D458" s="1" t="s">
        <v>187</v>
      </c>
      <c r="E458" s="1" t="s">
        <v>49</v>
      </c>
      <c r="F458" s="1" t="s">
        <v>188</v>
      </c>
      <c r="G458" s="1" t="s">
        <v>189</v>
      </c>
      <c r="H458" s="1" t="s">
        <v>38</v>
      </c>
      <c r="I458" s="1" t="s">
        <v>25</v>
      </c>
      <c r="J458" s="1" t="s">
        <v>190</v>
      </c>
      <c r="K458" s="1" t="s">
        <v>191</v>
      </c>
      <c r="L458">
        <v>60540</v>
      </c>
      <c r="M458" s="1" t="s">
        <v>93</v>
      </c>
      <c r="N458" s="1" t="s">
        <v>192</v>
      </c>
      <c r="O458" s="1" t="s">
        <v>174</v>
      </c>
      <c r="P458" s="1" t="s">
        <v>175</v>
      </c>
      <c r="Q458" s="1" t="s">
        <v>193</v>
      </c>
      <c r="R458">
        <v>147.16800000000001</v>
      </c>
      <c r="S458" s="1"/>
      <c r="T458" s="1" t="str">
        <f>IF(O458="Furniture","Cardbaord",O458)</f>
        <v>Technology</v>
      </c>
      <c r="U458" s="1" t="str">
        <f>IF(O458="furniture","cardbaord",IF(O458="office supplies","OS",O458))</f>
        <v>Technology</v>
      </c>
    </row>
    <row r="459" spans="1:21" x14ac:dyDescent="0.3">
      <c r="A459">
        <v>890</v>
      </c>
      <c r="B459" s="1" t="s">
        <v>2209</v>
      </c>
      <c r="C459" s="1" t="s">
        <v>398</v>
      </c>
      <c r="D459" s="1" t="s">
        <v>2210</v>
      </c>
      <c r="E459" s="1" t="s">
        <v>49</v>
      </c>
      <c r="F459" s="1" t="s">
        <v>2211</v>
      </c>
      <c r="G459" s="1" t="s">
        <v>2212</v>
      </c>
      <c r="H459" s="1" t="s">
        <v>24</v>
      </c>
      <c r="I459" s="1" t="s">
        <v>25</v>
      </c>
      <c r="J459" s="1" t="s">
        <v>1306</v>
      </c>
      <c r="K459" s="1" t="s">
        <v>252</v>
      </c>
      <c r="L459">
        <v>10801</v>
      </c>
      <c r="M459" s="1" t="s">
        <v>141</v>
      </c>
      <c r="N459" s="1" t="s">
        <v>2213</v>
      </c>
      <c r="O459" s="1" t="s">
        <v>174</v>
      </c>
      <c r="P459" s="1" t="s">
        <v>217</v>
      </c>
      <c r="Q459" s="1" t="s">
        <v>2214</v>
      </c>
      <c r="R459">
        <v>149.94999999999999</v>
      </c>
      <c r="S459" s="1"/>
      <c r="T459" s="1" t="str">
        <f>IF(O459="Furniture","Cardbaord",O459)</f>
        <v>Technology</v>
      </c>
      <c r="U459" s="1" t="str">
        <f>IF(O459="furniture","cardbaord",IF(O459="office supplies","OS",O459))</f>
        <v>Technology</v>
      </c>
    </row>
    <row r="460" spans="1:21" x14ac:dyDescent="0.3">
      <c r="A460">
        <v>1011</v>
      </c>
      <c r="B460" s="1" t="s">
        <v>2388</v>
      </c>
      <c r="C460" s="1" t="s">
        <v>669</v>
      </c>
      <c r="D460" s="1" t="s">
        <v>1197</v>
      </c>
      <c r="E460" s="1" t="s">
        <v>169</v>
      </c>
      <c r="F460" s="1" t="s">
        <v>2389</v>
      </c>
      <c r="G460" s="1" t="s">
        <v>2390</v>
      </c>
      <c r="H460" s="1" t="s">
        <v>24</v>
      </c>
      <c r="I460" s="1" t="s">
        <v>25</v>
      </c>
      <c r="J460" s="1" t="s">
        <v>854</v>
      </c>
      <c r="K460" s="1" t="s">
        <v>40</v>
      </c>
      <c r="L460">
        <v>92037</v>
      </c>
      <c r="M460" s="1" t="s">
        <v>41</v>
      </c>
      <c r="N460" s="1" t="s">
        <v>2391</v>
      </c>
      <c r="O460" s="1" t="s">
        <v>30</v>
      </c>
      <c r="P460" s="1" t="s">
        <v>63</v>
      </c>
      <c r="Q460" s="1" t="s">
        <v>2392</v>
      </c>
      <c r="R460">
        <v>151.72</v>
      </c>
      <c r="S460" s="1"/>
      <c r="T460" s="1" t="str">
        <f>IF(O460="Furniture","Cardbaord",O460)</f>
        <v>Cardbaord</v>
      </c>
      <c r="U460" s="1" t="str">
        <f>IF(O460="furniture","cardbaord",IF(O460="office supplies","OS",O460))</f>
        <v>cardbaord</v>
      </c>
    </row>
    <row r="461" spans="1:21" x14ac:dyDescent="0.3">
      <c r="A461">
        <v>539</v>
      </c>
      <c r="B461" s="1" t="s">
        <v>1552</v>
      </c>
      <c r="C461" s="1" t="s">
        <v>1191</v>
      </c>
      <c r="D461" s="1" t="s">
        <v>1553</v>
      </c>
      <c r="E461" s="1" t="s">
        <v>49</v>
      </c>
      <c r="F461" s="1" t="s">
        <v>1554</v>
      </c>
      <c r="G461" s="1" t="s">
        <v>1555</v>
      </c>
      <c r="H461" s="1" t="s">
        <v>24</v>
      </c>
      <c r="I461" s="1" t="s">
        <v>25</v>
      </c>
      <c r="J461" s="1" t="s">
        <v>26</v>
      </c>
      <c r="K461" s="1" t="s">
        <v>27</v>
      </c>
      <c r="L461">
        <v>42420</v>
      </c>
      <c r="M461" s="1" t="s">
        <v>28</v>
      </c>
      <c r="N461" s="1" t="s">
        <v>1556</v>
      </c>
      <c r="O461" s="1" t="s">
        <v>43</v>
      </c>
      <c r="P461" s="1" t="s">
        <v>95</v>
      </c>
      <c r="Q461" s="1" t="s">
        <v>1557</v>
      </c>
      <c r="R461">
        <v>152.94</v>
      </c>
      <c r="S461" s="1"/>
      <c r="T461" s="1" t="str">
        <f>IF(O461="Furniture","Cardbaord",O461)</f>
        <v>Office Supplies</v>
      </c>
      <c r="U461" s="1" t="str">
        <f>IF(O461="furniture","cardbaord",IF(O461="office supplies","OS",O461))</f>
        <v>OS</v>
      </c>
    </row>
    <row r="462" spans="1:21" x14ac:dyDescent="0.3">
      <c r="A462">
        <v>119</v>
      </c>
      <c r="B462" s="1" t="s">
        <v>481</v>
      </c>
      <c r="C462" s="1" t="s">
        <v>482</v>
      </c>
      <c r="D462" s="1" t="s">
        <v>483</v>
      </c>
      <c r="E462" s="1" t="s">
        <v>49</v>
      </c>
      <c r="F462" s="1" t="s">
        <v>484</v>
      </c>
      <c r="G462" s="1" t="s">
        <v>485</v>
      </c>
      <c r="H462" s="1" t="s">
        <v>38</v>
      </c>
      <c r="I462" s="1" t="s">
        <v>25</v>
      </c>
      <c r="J462" s="1" t="s">
        <v>486</v>
      </c>
      <c r="K462" s="1" t="s">
        <v>310</v>
      </c>
      <c r="L462">
        <v>37620</v>
      </c>
      <c r="M462" s="1" t="s">
        <v>28</v>
      </c>
      <c r="N462" s="1" t="s">
        <v>487</v>
      </c>
      <c r="O462" s="1" t="s">
        <v>43</v>
      </c>
      <c r="P462" s="1" t="s">
        <v>83</v>
      </c>
      <c r="Q462" s="1" t="s">
        <v>488</v>
      </c>
      <c r="R462">
        <v>157.79400000000001</v>
      </c>
      <c r="S462" s="1"/>
      <c r="T462" s="1" t="str">
        <f>IF(O462="Furniture","Cardbaord",O462)</f>
        <v>Office Supplies</v>
      </c>
      <c r="U462" s="1" t="str">
        <f>IF(O462="furniture","cardbaord",IF(O462="office supplies","OS",O462))</f>
        <v>OS</v>
      </c>
    </row>
    <row r="463" spans="1:21" x14ac:dyDescent="0.3">
      <c r="A463">
        <v>152</v>
      </c>
      <c r="B463" s="1" t="s">
        <v>567</v>
      </c>
      <c r="C463" s="1" t="s">
        <v>211</v>
      </c>
      <c r="D463" s="1" t="s">
        <v>568</v>
      </c>
      <c r="E463" s="1" t="s">
        <v>169</v>
      </c>
      <c r="F463" s="1" t="s">
        <v>569</v>
      </c>
      <c r="G463" s="1" t="s">
        <v>570</v>
      </c>
      <c r="H463" s="1" t="s">
        <v>90</v>
      </c>
      <c r="I463" s="1" t="s">
        <v>25</v>
      </c>
      <c r="J463" s="1" t="s">
        <v>571</v>
      </c>
      <c r="K463" s="1" t="s">
        <v>285</v>
      </c>
      <c r="L463">
        <v>85254</v>
      </c>
      <c r="M463" s="1" t="s">
        <v>41</v>
      </c>
      <c r="N463" s="1" t="s">
        <v>572</v>
      </c>
      <c r="O463" s="1" t="s">
        <v>43</v>
      </c>
      <c r="P463" s="1" t="s">
        <v>95</v>
      </c>
      <c r="Q463" s="1" t="s">
        <v>573</v>
      </c>
      <c r="R463">
        <v>157.91999999999999</v>
      </c>
      <c r="S463" s="1"/>
      <c r="T463" s="1" t="str">
        <f>IF(O463="Furniture","Cardbaord",O463)</f>
        <v>Office Supplies</v>
      </c>
      <c r="U463" s="1" t="str">
        <f>IF(O463="furniture","cardbaord",IF(O463="office supplies","OS",O463))</f>
        <v>OS</v>
      </c>
    </row>
    <row r="464" spans="1:21" x14ac:dyDescent="0.3">
      <c r="A464">
        <v>89</v>
      </c>
      <c r="B464" s="1" t="s">
        <v>358</v>
      </c>
      <c r="C464" s="1" t="s">
        <v>359</v>
      </c>
      <c r="D464" s="1" t="s">
        <v>360</v>
      </c>
      <c r="E464" s="1" t="s">
        <v>21</v>
      </c>
      <c r="F464" s="1" t="s">
        <v>361</v>
      </c>
      <c r="G464" s="1" t="s">
        <v>362</v>
      </c>
      <c r="H464" s="1" t="s">
        <v>90</v>
      </c>
      <c r="I464" s="1" t="s">
        <v>25</v>
      </c>
      <c r="J464" s="1" t="s">
        <v>164</v>
      </c>
      <c r="K464" s="1" t="s">
        <v>92</v>
      </c>
      <c r="L464">
        <v>77095</v>
      </c>
      <c r="M464" s="1" t="s">
        <v>93</v>
      </c>
      <c r="N464" s="1" t="s">
        <v>363</v>
      </c>
      <c r="O464" s="1" t="s">
        <v>43</v>
      </c>
      <c r="P464" s="1" t="s">
        <v>105</v>
      </c>
      <c r="Q464" s="1" t="s">
        <v>364</v>
      </c>
      <c r="R464">
        <v>158.36799999999999</v>
      </c>
      <c r="S464" s="1"/>
      <c r="T464" s="1" t="str">
        <f>IF(O464="Furniture","Cardbaord",O464)</f>
        <v>Office Supplies</v>
      </c>
      <c r="U464" s="1" t="str">
        <f>IF(O464="furniture","cardbaord",IF(O464="office supplies","OS",O464))</f>
        <v>OS</v>
      </c>
    </row>
    <row r="465" spans="1:21" x14ac:dyDescent="0.3">
      <c r="A465">
        <v>484</v>
      </c>
      <c r="B465" s="1" t="s">
        <v>1409</v>
      </c>
      <c r="C465" s="1" t="s">
        <v>1410</v>
      </c>
      <c r="D465" s="1" t="s">
        <v>1140</v>
      </c>
      <c r="E465" s="1" t="s">
        <v>49</v>
      </c>
      <c r="F465" s="1" t="s">
        <v>1411</v>
      </c>
      <c r="G465" s="1" t="s">
        <v>1412</v>
      </c>
      <c r="H465" s="1" t="s">
        <v>24</v>
      </c>
      <c r="I465" s="1" t="s">
        <v>25</v>
      </c>
      <c r="J465" s="1" t="s">
        <v>251</v>
      </c>
      <c r="K465" s="1" t="s">
        <v>252</v>
      </c>
      <c r="L465">
        <v>10024</v>
      </c>
      <c r="M465" s="1" t="s">
        <v>141</v>
      </c>
      <c r="N465" s="1" t="s">
        <v>1413</v>
      </c>
      <c r="O465" s="1" t="s">
        <v>174</v>
      </c>
      <c r="P465" s="1" t="s">
        <v>217</v>
      </c>
      <c r="Q465" s="1" t="s">
        <v>1414</v>
      </c>
      <c r="R465">
        <v>159.97999999999999</v>
      </c>
      <c r="S465" s="1"/>
      <c r="T465" s="1" t="str">
        <f>IF(O465="Furniture","Cardbaord",O465)</f>
        <v>Technology</v>
      </c>
      <c r="U465" s="1" t="str">
        <f>IF(O465="furniture","cardbaord",IF(O465="office supplies","OS",O465))</f>
        <v>Technology</v>
      </c>
    </row>
    <row r="466" spans="1:21" x14ac:dyDescent="0.3">
      <c r="A466">
        <v>1659</v>
      </c>
      <c r="B466" s="1" t="s">
        <v>3035</v>
      </c>
      <c r="C466" s="1" t="s">
        <v>3036</v>
      </c>
      <c r="D466" s="1" t="s">
        <v>2528</v>
      </c>
      <c r="E466" s="1" t="s">
        <v>49</v>
      </c>
      <c r="F466" s="1" t="s">
        <v>3037</v>
      </c>
      <c r="G466" s="1" t="s">
        <v>3038</v>
      </c>
      <c r="H466" s="1" t="s">
        <v>24</v>
      </c>
      <c r="I466" s="1" t="s">
        <v>25</v>
      </c>
      <c r="J466" s="1" t="s">
        <v>39</v>
      </c>
      <c r="K466" s="1" t="s">
        <v>40</v>
      </c>
      <c r="L466">
        <v>90045</v>
      </c>
      <c r="M466" s="1" t="s">
        <v>41</v>
      </c>
      <c r="N466" s="1" t="s">
        <v>3039</v>
      </c>
      <c r="O466" s="1" t="s">
        <v>174</v>
      </c>
      <c r="P466" s="1" t="s">
        <v>175</v>
      </c>
      <c r="Q466" s="1" t="s">
        <v>3040</v>
      </c>
      <c r="R466">
        <v>160.77600000000001</v>
      </c>
      <c r="S466" s="1"/>
      <c r="T466" s="1" t="str">
        <f>IF(O466="Furniture","Cardbaord",O466)</f>
        <v>Technology</v>
      </c>
      <c r="U466" s="1" t="str">
        <f>IF(O466="furniture","cardbaord",IF(O466="office supplies","OS",O466))</f>
        <v>Technology</v>
      </c>
    </row>
    <row r="467" spans="1:21" x14ac:dyDescent="0.3">
      <c r="A467">
        <v>4111</v>
      </c>
      <c r="B467" s="1" t="s">
        <v>3976</v>
      </c>
      <c r="C467" s="1" t="s">
        <v>3977</v>
      </c>
      <c r="D467" s="1" t="s">
        <v>3761</v>
      </c>
      <c r="E467" s="1" t="s">
        <v>49</v>
      </c>
      <c r="F467" s="1" t="s">
        <v>3978</v>
      </c>
      <c r="G467" s="1" t="s">
        <v>3979</v>
      </c>
      <c r="H467" s="1" t="s">
        <v>38</v>
      </c>
      <c r="I467" s="1" t="s">
        <v>25</v>
      </c>
      <c r="J467" s="1" t="s">
        <v>807</v>
      </c>
      <c r="K467" s="1" t="s">
        <v>225</v>
      </c>
      <c r="L467">
        <v>48227</v>
      </c>
      <c r="M467" s="1" t="s">
        <v>93</v>
      </c>
      <c r="N467" s="1" t="s">
        <v>3980</v>
      </c>
      <c r="O467" s="1" t="s">
        <v>30</v>
      </c>
      <c r="P467" s="1" t="s">
        <v>31</v>
      </c>
      <c r="Q467" s="1" t="s">
        <v>3981</v>
      </c>
      <c r="R467">
        <v>160.97999999999999</v>
      </c>
      <c r="S467" s="1"/>
      <c r="T467" s="1" t="str">
        <f>IF(O467="Furniture","Cardbaord",O467)</f>
        <v>Cardbaord</v>
      </c>
      <c r="U467" s="1" t="str">
        <f>IF(O467="furniture","cardbaord",IF(O467="office supplies","OS",O467))</f>
        <v>cardbaord</v>
      </c>
    </row>
    <row r="468" spans="1:21" x14ac:dyDescent="0.3">
      <c r="A468">
        <v>229</v>
      </c>
      <c r="B468" s="1" t="s">
        <v>810</v>
      </c>
      <c r="C468" s="1" t="s">
        <v>811</v>
      </c>
      <c r="D468" s="1" t="s">
        <v>812</v>
      </c>
      <c r="E468" s="1" t="s">
        <v>49</v>
      </c>
      <c r="F468" s="1" t="s">
        <v>813</v>
      </c>
      <c r="G468" s="1" t="s">
        <v>814</v>
      </c>
      <c r="H468" s="1" t="s">
        <v>24</v>
      </c>
      <c r="I468" s="1" t="s">
        <v>25</v>
      </c>
      <c r="J468" s="1" t="s">
        <v>815</v>
      </c>
      <c r="K468" s="1" t="s">
        <v>310</v>
      </c>
      <c r="L468">
        <v>38401</v>
      </c>
      <c r="M468" s="1" t="s">
        <v>28</v>
      </c>
      <c r="N468" s="1" t="s">
        <v>816</v>
      </c>
      <c r="O468" s="1" t="s">
        <v>30</v>
      </c>
      <c r="P468" s="1" t="s">
        <v>143</v>
      </c>
      <c r="Q468" s="1" t="s">
        <v>817</v>
      </c>
      <c r="R468">
        <v>161.56800000000001</v>
      </c>
      <c r="S468" s="1"/>
      <c r="T468" s="1" t="str">
        <f>IF(O468="Furniture","Cardbaord",O468)</f>
        <v>Cardbaord</v>
      </c>
      <c r="U468" s="1" t="str">
        <f>IF(O468="furniture","cardbaord",IF(O468="office supplies","OS",O468))</f>
        <v>cardbaord</v>
      </c>
    </row>
    <row r="469" spans="1:21" x14ac:dyDescent="0.3">
      <c r="A469">
        <v>693</v>
      </c>
      <c r="B469" s="1" t="s">
        <v>1888</v>
      </c>
      <c r="C469" s="1" t="s">
        <v>1889</v>
      </c>
      <c r="D469" s="1" t="s">
        <v>1890</v>
      </c>
      <c r="E469" s="1" t="s">
        <v>49</v>
      </c>
      <c r="F469" s="1" t="s">
        <v>1891</v>
      </c>
      <c r="G469" s="1" t="s">
        <v>1892</v>
      </c>
      <c r="H469" s="1" t="s">
        <v>24</v>
      </c>
      <c r="I469" s="1" t="s">
        <v>25</v>
      </c>
      <c r="J469" s="1" t="s">
        <v>39</v>
      </c>
      <c r="K469" s="1" t="s">
        <v>40</v>
      </c>
      <c r="L469">
        <v>90036</v>
      </c>
      <c r="M469" s="1" t="s">
        <v>41</v>
      </c>
      <c r="N469" s="1" t="s">
        <v>1893</v>
      </c>
      <c r="O469" s="1" t="s">
        <v>174</v>
      </c>
      <c r="P469" s="1" t="s">
        <v>217</v>
      </c>
      <c r="Q469" s="1" t="s">
        <v>1894</v>
      </c>
      <c r="R469">
        <v>166.24</v>
      </c>
      <c r="S469" s="1"/>
      <c r="T469" s="1" t="str">
        <f>IF(O469="Furniture","Cardbaord",O469)</f>
        <v>Technology</v>
      </c>
      <c r="U469" s="1" t="str">
        <f>IF(O469="furniture","cardbaord",IF(O469="office supplies","OS",O469))</f>
        <v>Technology</v>
      </c>
    </row>
    <row r="470" spans="1:21" x14ac:dyDescent="0.3">
      <c r="A470">
        <v>246</v>
      </c>
      <c r="B470" s="1" t="s">
        <v>837</v>
      </c>
      <c r="C470" s="1" t="s">
        <v>838</v>
      </c>
      <c r="D470" s="1" t="s">
        <v>839</v>
      </c>
      <c r="E470" s="1" t="s">
        <v>21</v>
      </c>
      <c r="F470" s="1" t="s">
        <v>840</v>
      </c>
      <c r="G470" s="1" t="s">
        <v>841</v>
      </c>
      <c r="H470" s="1" t="s">
        <v>90</v>
      </c>
      <c r="I470" s="1" t="s">
        <v>25</v>
      </c>
      <c r="J470" s="1" t="s">
        <v>842</v>
      </c>
      <c r="K470" s="1" t="s">
        <v>215</v>
      </c>
      <c r="L470">
        <v>55044</v>
      </c>
      <c r="M470" s="1" t="s">
        <v>93</v>
      </c>
      <c r="N470" s="1" t="s">
        <v>843</v>
      </c>
      <c r="O470" s="1" t="s">
        <v>43</v>
      </c>
      <c r="P470" s="1" t="s">
        <v>105</v>
      </c>
      <c r="Q470" s="1" t="s">
        <v>844</v>
      </c>
      <c r="R470">
        <v>166.72</v>
      </c>
      <c r="S470" s="1"/>
      <c r="T470" s="1" t="str">
        <f>IF(O470="Furniture","Cardbaord",O470)</f>
        <v>Office Supplies</v>
      </c>
      <c r="U470" s="1" t="str">
        <f>IF(O470="furniture","cardbaord",IF(O470="office supplies","OS",O470))</f>
        <v>OS</v>
      </c>
    </row>
    <row r="471" spans="1:21" x14ac:dyDescent="0.3">
      <c r="A471">
        <v>6159</v>
      </c>
      <c r="B471" s="1" t="s">
        <v>4214</v>
      </c>
      <c r="C471" s="1" t="s">
        <v>4215</v>
      </c>
      <c r="D471" s="1" t="s">
        <v>4216</v>
      </c>
      <c r="E471" s="1" t="s">
        <v>21</v>
      </c>
      <c r="F471" s="1" t="s">
        <v>4217</v>
      </c>
      <c r="G471" s="1" t="s">
        <v>4218</v>
      </c>
      <c r="H471" s="1" t="s">
        <v>24</v>
      </c>
      <c r="I471" s="1" t="s">
        <v>25</v>
      </c>
      <c r="J471" s="1" t="s">
        <v>3131</v>
      </c>
      <c r="K471" s="1" t="s">
        <v>595</v>
      </c>
      <c r="L471">
        <v>74133</v>
      </c>
      <c r="M471" s="1" t="s">
        <v>93</v>
      </c>
      <c r="N471" s="1" t="s">
        <v>4219</v>
      </c>
      <c r="O471" s="1" t="s">
        <v>174</v>
      </c>
      <c r="P471" s="1" t="s">
        <v>217</v>
      </c>
      <c r="Q471" s="1" t="s">
        <v>4220</v>
      </c>
      <c r="R471">
        <v>167.28</v>
      </c>
      <c r="S471" s="1"/>
      <c r="T471" s="1" t="str">
        <f>IF(O471="Furniture","Cardbaord",O471)</f>
        <v>Technology</v>
      </c>
      <c r="U471" s="1" t="str">
        <f>IF(O471="furniture","cardbaord",IF(O471="office supplies","OS",O471))</f>
        <v>Technology</v>
      </c>
    </row>
    <row r="472" spans="1:21" x14ac:dyDescent="0.3">
      <c r="A472">
        <v>1051</v>
      </c>
      <c r="B472" s="1" t="s">
        <v>2457</v>
      </c>
      <c r="C472" s="1" t="s">
        <v>1669</v>
      </c>
      <c r="D472" s="1" t="s">
        <v>2458</v>
      </c>
      <c r="E472" s="1" t="s">
        <v>169</v>
      </c>
      <c r="F472" s="1" t="s">
        <v>2459</v>
      </c>
      <c r="G472" s="1" t="s">
        <v>2460</v>
      </c>
      <c r="H472" s="1" t="s">
        <v>38</v>
      </c>
      <c r="I472" s="1" t="s">
        <v>25</v>
      </c>
      <c r="J472" s="1" t="s">
        <v>139</v>
      </c>
      <c r="K472" s="1" t="s">
        <v>140</v>
      </c>
      <c r="L472">
        <v>19134</v>
      </c>
      <c r="M472" s="1" t="s">
        <v>141</v>
      </c>
      <c r="N472" s="1" t="s">
        <v>2461</v>
      </c>
      <c r="O472" s="1" t="s">
        <v>30</v>
      </c>
      <c r="P472" s="1" t="s">
        <v>63</v>
      </c>
      <c r="Q472" s="1" t="s">
        <v>2462</v>
      </c>
      <c r="R472">
        <v>168.464</v>
      </c>
      <c r="S472" s="1"/>
      <c r="T472" s="1" t="str">
        <f>IF(O472="Furniture","Cardbaord",O472)</f>
        <v>Cardbaord</v>
      </c>
      <c r="U472" s="1" t="str">
        <f>IF(O472="furniture","cardbaord",IF(O472="office supplies","OS",O472))</f>
        <v>cardbaord</v>
      </c>
    </row>
    <row r="473" spans="1:21" x14ac:dyDescent="0.3">
      <c r="A473">
        <v>8107</v>
      </c>
      <c r="B473" s="1" t="s">
        <v>4274</v>
      </c>
      <c r="C473" s="1" t="s">
        <v>4275</v>
      </c>
      <c r="D473" s="1" t="s">
        <v>4276</v>
      </c>
      <c r="E473" s="1" t="s">
        <v>169</v>
      </c>
      <c r="F473" s="1" t="s">
        <v>4277</v>
      </c>
      <c r="G473" s="1" t="s">
        <v>4278</v>
      </c>
      <c r="H473" s="1" t="s">
        <v>90</v>
      </c>
      <c r="I473" s="1" t="s">
        <v>25</v>
      </c>
      <c r="J473" s="1" t="s">
        <v>164</v>
      </c>
      <c r="K473" s="1" t="s">
        <v>92</v>
      </c>
      <c r="L473">
        <v>77041</v>
      </c>
      <c r="M473" s="1" t="s">
        <v>93</v>
      </c>
      <c r="N473" s="1" t="s">
        <v>4279</v>
      </c>
      <c r="O473" s="1" t="s">
        <v>43</v>
      </c>
      <c r="P473" s="1" t="s">
        <v>123</v>
      </c>
      <c r="Q473" s="1" t="s">
        <v>4280</v>
      </c>
      <c r="R473">
        <v>175.44</v>
      </c>
      <c r="S473" s="1"/>
      <c r="T473" s="1" t="str">
        <f>IF(O473="Furniture","Cardbaord",O473)</f>
        <v>Office Supplies</v>
      </c>
      <c r="U473" s="1" t="str">
        <f>IF(O473="furniture","cardbaord",IF(O473="office supplies","OS",O473))</f>
        <v>OS</v>
      </c>
    </row>
    <row r="474" spans="1:21" x14ac:dyDescent="0.3">
      <c r="A474">
        <v>2383</v>
      </c>
      <c r="B474" s="1" t="s">
        <v>3466</v>
      </c>
      <c r="C474" s="1" t="s">
        <v>1350</v>
      </c>
      <c r="D474" s="1" t="s">
        <v>3467</v>
      </c>
      <c r="E474" s="1" t="s">
        <v>169</v>
      </c>
      <c r="F474" s="1" t="s">
        <v>3468</v>
      </c>
      <c r="G474" s="1" t="s">
        <v>3469</v>
      </c>
      <c r="H474" s="1" t="s">
        <v>24</v>
      </c>
      <c r="I474" s="1" t="s">
        <v>25</v>
      </c>
      <c r="J474" s="1" t="s">
        <v>2651</v>
      </c>
      <c r="K474" s="1" t="s">
        <v>40</v>
      </c>
      <c r="L474">
        <v>93727</v>
      </c>
      <c r="M474" s="1" t="s">
        <v>41</v>
      </c>
      <c r="N474" s="1" t="s">
        <v>3470</v>
      </c>
      <c r="O474" s="1" t="s">
        <v>43</v>
      </c>
      <c r="P474" s="1" t="s">
        <v>95</v>
      </c>
      <c r="Q474" s="1" t="s">
        <v>3471</v>
      </c>
      <c r="R474">
        <v>176.04</v>
      </c>
      <c r="S474" s="1"/>
      <c r="T474" s="1" t="str">
        <f>IF(O474="Furniture","Cardbaord",O474)</f>
        <v>Office Supplies</v>
      </c>
      <c r="U474" s="1" t="str">
        <f>IF(O474="furniture","cardbaord",IF(O474="office supplies","OS",O474))</f>
        <v>OS</v>
      </c>
    </row>
    <row r="475" spans="1:21" x14ac:dyDescent="0.3">
      <c r="A475">
        <v>187</v>
      </c>
      <c r="B475" s="1" t="s">
        <v>685</v>
      </c>
      <c r="C475" s="1" t="s">
        <v>686</v>
      </c>
      <c r="D475" s="1" t="s">
        <v>687</v>
      </c>
      <c r="E475" s="1" t="s">
        <v>49</v>
      </c>
      <c r="F475" s="1" t="s">
        <v>688</v>
      </c>
      <c r="G475" s="1" t="s">
        <v>689</v>
      </c>
      <c r="H475" s="1" t="s">
        <v>90</v>
      </c>
      <c r="I475" s="1" t="s">
        <v>25</v>
      </c>
      <c r="J475" s="1" t="s">
        <v>39</v>
      </c>
      <c r="K475" s="1" t="s">
        <v>40</v>
      </c>
      <c r="L475">
        <v>90032</v>
      </c>
      <c r="M475" s="1" t="s">
        <v>41</v>
      </c>
      <c r="N475" s="1" t="s">
        <v>690</v>
      </c>
      <c r="O475" s="1" t="s">
        <v>174</v>
      </c>
      <c r="P475" s="1" t="s">
        <v>217</v>
      </c>
      <c r="Q475" s="1" t="s">
        <v>691</v>
      </c>
      <c r="R475">
        <v>176.8</v>
      </c>
      <c r="S475" s="1"/>
      <c r="T475" s="1" t="str">
        <f>IF(O475="Furniture","Cardbaord",O475)</f>
        <v>Technology</v>
      </c>
      <c r="U475" s="1" t="str">
        <f>IF(O475="furniture","cardbaord",IF(O475="office supplies","OS",O475))</f>
        <v>Technology</v>
      </c>
    </row>
    <row r="476" spans="1:21" x14ac:dyDescent="0.3">
      <c r="A476">
        <v>1485</v>
      </c>
      <c r="B476" s="1" t="s">
        <v>2876</v>
      </c>
      <c r="C476" s="1" t="s">
        <v>2877</v>
      </c>
      <c r="D476" s="1" t="s">
        <v>2878</v>
      </c>
      <c r="E476" s="1" t="s">
        <v>49</v>
      </c>
      <c r="F476" s="1" t="s">
        <v>2879</v>
      </c>
      <c r="G476" s="1" t="s">
        <v>2880</v>
      </c>
      <c r="H476" s="1" t="s">
        <v>38</v>
      </c>
      <c r="I476" s="1" t="s">
        <v>25</v>
      </c>
      <c r="J476" s="1" t="s">
        <v>80</v>
      </c>
      <c r="K476" s="1" t="s">
        <v>81</v>
      </c>
      <c r="L476">
        <v>98115</v>
      </c>
      <c r="M476" s="1" t="s">
        <v>41</v>
      </c>
      <c r="N476" s="1" t="s">
        <v>2881</v>
      </c>
      <c r="O476" s="1" t="s">
        <v>174</v>
      </c>
      <c r="P476" s="1" t="s">
        <v>217</v>
      </c>
      <c r="Q476" s="1" t="s">
        <v>2882</v>
      </c>
      <c r="R476">
        <v>177</v>
      </c>
      <c r="S476" s="1"/>
      <c r="T476" s="1" t="str">
        <f>IF(O476="Furniture","Cardbaord",O476)</f>
        <v>Technology</v>
      </c>
      <c r="U476" s="1" t="str">
        <f>IF(O476="furniture","cardbaord",IF(O476="office supplies","OS",O476))</f>
        <v>Technology</v>
      </c>
    </row>
    <row r="477" spans="1:21" x14ac:dyDescent="0.3">
      <c r="A477">
        <v>315</v>
      </c>
      <c r="B477" s="1" t="s">
        <v>1015</v>
      </c>
      <c r="C477" s="1" t="s">
        <v>635</v>
      </c>
      <c r="D477" s="1" t="s">
        <v>1016</v>
      </c>
      <c r="E477" s="1" t="s">
        <v>49</v>
      </c>
      <c r="F477" s="1" t="s">
        <v>1017</v>
      </c>
      <c r="G477" s="1" t="s">
        <v>1018</v>
      </c>
      <c r="H477" s="1" t="s">
        <v>38</v>
      </c>
      <c r="I477" s="1" t="s">
        <v>25</v>
      </c>
      <c r="J477" s="1" t="s">
        <v>1019</v>
      </c>
      <c r="K477" s="1" t="s">
        <v>53</v>
      </c>
      <c r="L477">
        <v>33710</v>
      </c>
      <c r="M477" s="1" t="s">
        <v>28</v>
      </c>
      <c r="N477" s="1" t="s">
        <v>1020</v>
      </c>
      <c r="O477" s="1" t="s">
        <v>174</v>
      </c>
      <c r="P477" s="1" t="s">
        <v>175</v>
      </c>
      <c r="Q477" s="1" t="s">
        <v>1021</v>
      </c>
      <c r="R477">
        <v>178.38399999999999</v>
      </c>
      <c r="S477" s="1"/>
      <c r="T477" s="1" t="str">
        <f>IF(O477="Furniture","Cardbaord",O477)</f>
        <v>Technology</v>
      </c>
      <c r="U477" s="1" t="str">
        <f>IF(O477="furniture","cardbaord",IF(O477="office supplies","OS",O477))</f>
        <v>Technology</v>
      </c>
    </row>
    <row r="478" spans="1:21" x14ac:dyDescent="0.3">
      <c r="A478">
        <v>734</v>
      </c>
      <c r="B478" s="1" t="s">
        <v>1973</v>
      </c>
      <c r="C478" s="1" t="s">
        <v>1974</v>
      </c>
      <c r="D478" s="1" t="s">
        <v>1975</v>
      </c>
      <c r="E478" s="1" t="s">
        <v>49</v>
      </c>
      <c r="F478" s="1" t="s">
        <v>1976</v>
      </c>
      <c r="G478" s="1" t="s">
        <v>1977</v>
      </c>
      <c r="H478" s="1" t="s">
        <v>90</v>
      </c>
      <c r="I478" s="1" t="s">
        <v>25</v>
      </c>
      <c r="J478" s="1" t="s">
        <v>80</v>
      </c>
      <c r="K478" s="1" t="s">
        <v>81</v>
      </c>
      <c r="L478">
        <v>98115</v>
      </c>
      <c r="M478" s="1" t="s">
        <v>41</v>
      </c>
      <c r="N478" s="1" t="s">
        <v>1978</v>
      </c>
      <c r="O478" s="1" t="s">
        <v>174</v>
      </c>
      <c r="P478" s="1" t="s">
        <v>217</v>
      </c>
      <c r="Q478" s="1" t="s">
        <v>1979</v>
      </c>
      <c r="R478">
        <v>179.97</v>
      </c>
      <c r="S478" s="1"/>
      <c r="T478" s="1" t="str">
        <f>IF(O478="Furniture","Cardbaord",O478)</f>
        <v>Technology</v>
      </c>
      <c r="U478" s="1" t="str">
        <f>IF(O478="furniture","cardbaord",IF(O478="office supplies","OS",O478))</f>
        <v>Technology</v>
      </c>
    </row>
    <row r="479" spans="1:21" x14ac:dyDescent="0.3">
      <c r="A479">
        <v>728</v>
      </c>
      <c r="B479" s="1" t="s">
        <v>1965</v>
      </c>
      <c r="C479" s="1" t="s">
        <v>1966</v>
      </c>
      <c r="D479" s="1" t="s">
        <v>1967</v>
      </c>
      <c r="E479" s="1" t="s">
        <v>169</v>
      </c>
      <c r="F479" s="1" t="s">
        <v>1968</v>
      </c>
      <c r="G479" s="1" t="s">
        <v>1969</v>
      </c>
      <c r="H479" s="1" t="s">
        <v>24</v>
      </c>
      <c r="I479" s="1" t="s">
        <v>25</v>
      </c>
      <c r="J479" s="1" t="s">
        <v>1970</v>
      </c>
      <c r="K479" s="1" t="s">
        <v>252</v>
      </c>
      <c r="L479">
        <v>11572</v>
      </c>
      <c r="M479" s="1" t="s">
        <v>141</v>
      </c>
      <c r="N479" s="1" t="s">
        <v>1971</v>
      </c>
      <c r="O479" s="1" t="s">
        <v>43</v>
      </c>
      <c r="P479" s="1" t="s">
        <v>73</v>
      </c>
      <c r="Q479" s="1" t="s">
        <v>1972</v>
      </c>
      <c r="R479">
        <v>182.72</v>
      </c>
      <c r="S479" s="1"/>
      <c r="T479" s="1" t="str">
        <f>IF(O479="Furniture","Cardbaord",O479)</f>
        <v>Office Supplies</v>
      </c>
      <c r="U479" s="1" t="str">
        <f>IF(O479="furniture","cardbaord",IF(O479="office supplies","OS",O479))</f>
        <v>OS</v>
      </c>
    </row>
    <row r="480" spans="1:21" x14ac:dyDescent="0.3">
      <c r="A480">
        <v>4764</v>
      </c>
      <c r="B480" s="1" t="s">
        <v>4092</v>
      </c>
      <c r="C480" s="1" t="s">
        <v>820</v>
      </c>
      <c r="D480" s="1" t="s">
        <v>884</v>
      </c>
      <c r="E480" s="1" t="s">
        <v>49</v>
      </c>
      <c r="F480" s="1" t="s">
        <v>4093</v>
      </c>
      <c r="G480" s="1" t="s">
        <v>4094</v>
      </c>
      <c r="H480" s="1" t="s">
        <v>24</v>
      </c>
      <c r="I480" s="1" t="s">
        <v>25</v>
      </c>
      <c r="J480" s="1" t="s">
        <v>4095</v>
      </c>
      <c r="K480" s="1" t="s">
        <v>40</v>
      </c>
      <c r="L480">
        <v>91911</v>
      </c>
      <c r="M480" s="1" t="s">
        <v>41</v>
      </c>
      <c r="N480" s="1" t="s">
        <v>4096</v>
      </c>
      <c r="O480" s="1" t="s">
        <v>43</v>
      </c>
      <c r="P480" s="1" t="s">
        <v>183</v>
      </c>
      <c r="Q480" s="1" t="s">
        <v>4097</v>
      </c>
      <c r="R480">
        <v>182.94</v>
      </c>
      <c r="S480" s="1"/>
      <c r="T480" s="1" t="str">
        <f>IF(O480="Furniture","Cardbaord",O480)</f>
        <v>Office Supplies</v>
      </c>
      <c r="U480" s="1" t="str">
        <f>IF(O480="furniture","cardbaord",IF(O480="office supplies","OS",O480))</f>
        <v>OS</v>
      </c>
    </row>
    <row r="481" spans="1:21" x14ac:dyDescent="0.3">
      <c r="A481">
        <v>2008</v>
      </c>
      <c r="B481" s="1" t="s">
        <v>3273</v>
      </c>
      <c r="C481" s="1" t="s">
        <v>1805</v>
      </c>
      <c r="D481" s="1" t="s">
        <v>3274</v>
      </c>
      <c r="E481" s="1" t="s">
        <v>169</v>
      </c>
      <c r="F481" s="1" t="s">
        <v>3275</v>
      </c>
      <c r="G481" s="1" t="s">
        <v>3276</v>
      </c>
      <c r="H481" s="1" t="s">
        <v>24</v>
      </c>
      <c r="I481" s="1" t="s">
        <v>25</v>
      </c>
      <c r="J481" s="1" t="s">
        <v>276</v>
      </c>
      <c r="K481" s="1" t="s">
        <v>191</v>
      </c>
      <c r="L481">
        <v>60623</v>
      </c>
      <c r="M481" s="1" t="s">
        <v>93</v>
      </c>
      <c r="N481" s="1" t="s">
        <v>3277</v>
      </c>
      <c r="O481" s="1" t="s">
        <v>30</v>
      </c>
      <c r="P481" s="1" t="s">
        <v>31</v>
      </c>
      <c r="Q481" s="1" t="s">
        <v>3278</v>
      </c>
      <c r="R481">
        <v>183.37200000000001</v>
      </c>
      <c r="S481" s="1"/>
      <c r="T481" s="1" t="str">
        <f>IF(O481="Furniture","Cardbaord",O481)</f>
        <v>Cardbaord</v>
      </c>
      <c r="U481" s="1" t="str">
        <f>IF(O481="furniture","cardbaord",IF(O481="office supplies","OS",O481))</f>
        <v>cardbaord</v>
      </c>
    </row>
    <row r="482" spans="1:21" x14ac:dyDescent="0.3">
      <c r="A482">
        <v>2812</v>
      </c>
      <c r="B482" s="1" t="s">
        <v>3636</v>
      </c>
      <c r="C482" s="1" t="s">
        <v>3637</v>
      </c>
      <c r="D482" s="1" t="s">
        <v>3638</v>
      </c>
      <c r="E482" s="1" t="s">
        <v>21</v>
      </c>
      <c r="F482" s="1" t="s">
        <v>3639</v>
      </c>
      <c r="G482" s="1" t="s">
        <v>3640</v>
      </c>
      <c r="H482" s="1" t="s">
        <v>90</v>
      </c>
      <c r="I482" s="1" t="s">
        <v>25</v>
      </c>
      <c r="J482" s="1" t="s">
        <v>3110</v>
      </c>
      <c r="K482" s="1" t="s">
        <v>103</v>
      </c>
      <c r="L482">
        <v>53209</v>
      </c>
      <c r="M482" s="1" t="s">
        <v>93</v>
      </c>
      <c r="N482" s="1" t="s">
        <v>3641</v>
      </c>
      <c r="O482" s="1" t="s">
        <v>30</v>
      </c>
      <c r="P482" s="1" t="s">
        <v>63</v>
      </c>
      <c r="Q482" s="1" t="s">
        <v>3642</v>
      </c>
      <c r="R482">
        <v>185.58</v>
      </c>
      <c r="S482" s="1"/>
      <c r="T482" s="1" t="str">
        <f>IF(O482="Furniture","Cardbaord",O482)</f>
        <v>Cardbaord</v>
      </c>
      <c r="U482" s="1" t="str">
        <f>IF(O482="furniture","cardbaord",IF(O482="office supplies","OS",O482))</f>
        <v>cardbaord</v>
      </c>
    </row>
    <row r="483" spans="1:21" x14ac:dyDescent="0.3">
      <c r="A483">
        <v>430</v>
      </c>
      <c r="B483" s="1" t="s">
        <v>1315</v>
      </c>
      <c r="C483" s="1" t="s">
        <v>1316</v>
      </c>
      <c r="D483" s="1" t="s">
        <v>1317</v>
      </c>
      <c r="E483" s="1" t="s">
        <v>49</v>
      </c>
      <c r="F483" s="1" t="s">
        <v>1318</v>
      </c>
      <c r="G483" s="1" t="s">
        <v>1319</v>
      </c>
      <c r="H483" s="1" t="s">
        <v>90</v>
      </c>
      <c r="I483" s="1" t="s">
        <v>25</v>
      </c>
      <c r="J483" s="1" t="s">
        <v>1320</v>
      </c>
      <c r="K483" s="1" t="s">
        <v>71</v>
      </c>
      <c r="L483">
        <v>28052</v>
      </c>
      <c r="M483" s="1" t="s">
        <v>28</v>
      </c>
      <c r="N483" s="1" t="s">
        <v>1321</v>
      </c>
      <c r="O483" s="1" t="s">
        <v>43</v>
      </c>
      <c r="P483" s="1" t="s">
        <v>83</v>
      </c>
      <c r="Q483" s="1" t="s">
        <v>1322</v>
      </c>
      <c r="R483">
        <v>189.58799999999999</v>
      </c>
      <c r="S483" s="1"/>
      <c r="T483" s="1" t="str">
        <f>IF(O483="Furniture","Cardbaord",O483)</f>
        <v>Office Supplies</v>
      </c>
      <c r="U483" s="1" t="str">
        <f>IF(O483="furniture","cardbaord",IF(O483="office supplies","OS",O483))</f>
        <v>OS</v>
      </c>
    </row>
    <row r="484" spans="1:21" x14ac:dyDescent="0.3">
      <c r="A484">
        <v>495</v>
      </c>
      <c r="B484" s="1" t="s">
        <v>1448</v>
      </c>
      <c r="C484" s="1" t="s">
        <v>1449</v>
      </c>
      <c r="D484" s="1" t="s">
        <v>1450</v>
      </c>
      <c r="E484" s="1" t="s">
        <v>21</v>
      </c>
      <c r="F484" s="1" t="s">
        <v>1451</v>
      </c>
      <c r="G484" s="1" t="s">
        <v>1452</v>
      </c>
      <c r="H484" s="1" t="s">
        <v>24</v>
      </c>
      <c r="I484" s="1" t="s">
        <v>25</v>
      </c>
      <c r="J484" s="1" t="s">
        <v>309</v>
      </c>
      <c r="K484" s="1" t="s">
        <v>310</v>
      </c>
      <c r="L484">
        <v>38109</v>
      </c>
      <c r="M484" s="1" t="s">
        <v>28</v>
      </c>
      <c r="N484" s="1" t="s">
        <v>1453</v>
      </c>
      <c r="O484" s="1" t="s">
        <v>30</v>
      </c>
      <c r="P484" s="1" t="s">
        <v>55</v>
      </c>
      <c r="Q484" s="1" t="s">
        <v>1454</v>
      </c>
      <c r="R484">
        <v>189.88200000000001</v>
      </c>
      <c r="S484" s="1"/>
      <c r="T484" s="1" t="str">
        <f>IF(O484="Furniture","Cardbaord",O484)</f>
        <v>Cardbaord</v>
      </c>
      <c r="U484" s="1" t="str">
        <f>IF(O484="furniture","cardbaord",IF(O484="office supplies","OS",O484))</f>
        <v>cardbaord</v>
      </c>
    </row>
    <row r="485" spans="1:21" x14ac:dyDescent="0.3">
      <c r="A485">
        <v>532</v>
      </c>
      <c r="B485" s="1" t="s">
        <v>1516</v>
      </c>
      <c r="C485" s="1" t="s">
        <v>1517</v>
      </c>
      <c r="D485" s="1" t="s">
        <v>1518</v>
      </c>
      <c r="E485" s="1" t="s">
        <v>21</v>
      </c>
      <c r="F485" s="1" t="s">
        <v>1519</v>
      </c>
      <c r="G485" s="1" t="s">
        <v>1520</v>
      </c>
      <c r="H485" s="1" t="s">
        <v>38</v>
      </c>
      <c r="I485" s="1" t="s">
        <v>25</v>
      </c>
      <c r="J485" s="1" t="s">
        <v>39</v>
      </c>
      <c r="K485" s="1" t="s">
        <v>40</v>
      </c>
      <c r="L485">
        <v>90036</v>
      </c>
      <c r="M485" s="1" t="s">
        <v>41</v>
      </c>
      <c r="N485" s="1" t="s">
        <v>1521</v>
      </c>
      <c r="O485" s="1" t="s">
        <v>30</v>
      </c>
      <c r="P485" s="1" t="s">
        <v>143</v>
      </c>
      <c r="Q485" s="1" t="s">
        <v>1522</v>
      </c>
      <c r="R485">
        <v>190.72</v>
      </c>
      <c r="S485" s="1"/>
      <c r="T485" s="1" t="str">
        <f>IF(O485="Furniture","Cardbaord",O485)</f>
        <v>Cardbaord</v>
      </c>
      <c r="U485" s="1" t="str">
        <f>IF(O485="furniture","cardbaord",IF(O485="office supplies","OS",O485))</f>
        <v>cardbaord</v>
      </c>
    </row>
    <row r="486" spans="1:21" x14ac:dyDescent="0.3">
      <c r="A486">
        <v>689</v>
      </c>
      <c r="B486" s="1" t="s">
        <v>1875</v>
      </c>
      <c r="C486" s="1" t="s">
        <v>451</v>
      </c>
      <c r="D486" s="1" t="s">
        <v>1255</v>
      </c>
      <c r="E486" s="1" t="s">
        <v>49</v>
      </c>
      <c r="F486" s="1" t="s">
        <v>1876</v>
      </c>
      <c r="G486" s="1" t="s">
        <v>1877</v>
      </c>
      <c r="H486" s="1" t="s">
        <v>24</v>
      </c>
      <c r="I486" s="1" t="s">
        <v>25</v>
      </c>
      <c r="J486" s="1" t="s">
        <v>251</v>
      </c>
      <c r="K486" s="1" t="s">
        <v>252</v>
      </c>
      <c r="L486">
        <v>10035</v>
      </c>
      <c r="M486" s="1" t="s">
        <v>141</v>
      </c>
      <c r="N486" s="1" t="s">
        <v>1878</v>
      </c>
      <c r="O486" s="1" t="s">
        <v>30</v>
      </c>
      <c r="P486" s="1" t="s">
        <v>31</v>
      </c>
      <c r="Q486" s="1" t="s">
        <v>1879</v>
      </c>
      <c r="R486">
        <v>191.98400000000001</v>
      </c>
      <c r="S486" s="1"/>
      <c r="T486" s="1" t="str">
        <f>IF(O486="Furniture","Cardbaord",O486)</f>
        <v>Cardbaord</v>
      </c>
      <c r="U486" s="1" t="str">
        <f>IF(O486="furniture","cardbaord",IF(O486="office supplies","OS",O486))</f>
        <v>cardbaord</v>
      </c>
    </row>
    <row r="487" spans="1:21" x14ac:dyDescent="0.3">
      <c r="A487">
        <v>3508</v>
      </c>
      <c r="B487" s="1" t="s">
        <v>3812</v>
      </c>
      <c r="C487" s="1" t="s">
        <v>3813</v>
      </c>
      <c r="D487" s="1" t="s">
        <v>3814</v>
      </c>
      <c r="E487" s="1" t="s">
        <v>49</v>
      </c>
      <c r="F487" s="1" t="s">
        <v>3815</v>
      </c>
      <c r="G487" s="1" t="s">
        <v>3816</v>
      </c>
      <c r="H487" s="1" t="s">
        <v>24</v>
      </c>
      <c r="I487" s="1" t="s">
        <v>25</v>
      </c>
      <c r="J487" s="1" t="s">
        <v>3057</v>
      </c>
      <c r="K487" s="1" t="s">
        <v>92</v>
      </c>
      <c r="L487">
        <v>75023</v>
      </c>
      <c r="M487" s="1" t="s">
        <v>93</v>
      </c>
      <c r="N487" s="1" t="s">
        <v>3817</v>
      </c>
      <c r="O487" s="1" t="s">
        <v>30</v>
      </c>
      <c r="P487" s="1" t="s">
        <v>31</v>
      </c>
      <c r="Q487" s="1" t="s">
        <v>3818</v>
      </c>
      <c r="R487">
        <v>193.06559999999999</v>
      </c>
      <c r="S487" s="1"/>
      <c r="T487" s="1" t="str">
        <f>IF(O487="Furniture","Cardbaord",O487)</f>
        <v>Cardbaord</v>
      </c>
      <c r="U487" s="1" t="str">
        <f>IF(O487="furniture","cardbaord",IF(O487="office supplies","OS",O487))</f>
        <v>cardbaord</v>
      </c>
    </row>
    <row r="488" spans="1:21" x14ac:dyDescent="0.3">
      <c r="A488">
        <v>1621</v>
      </c>
      <c r="B488" s="1" t="s">
        <v>3003</v>
      </c>
      <c r="C488" s="1" t="s">
        <v>1086</v>
      </c>
      <c r="D488" s="1" t="s">
        <v>3004</v>
      </c>
      <c r="E488" s="1" t="s">
        <v>49</v>
      </c>
      <c r="F488" s="1" t="s">
        <v>3005</v>
      </c>
      <c r="G488" s="1" t="s">
        <v>3006</v>
      </c>
      <c r="H488" s="1" t="s">
        <v>24</v>
      </c>
      <c r="I488" s="1" t="s">
        <v>25</v>
      </c>
      <c r="J488" s="1" t="s">
        <v>3007</v>
      </c>
      <c r="K488" s="1" t="s">
        <v>81</v>
      </c>
      <c r="L488">
        <v>98031</v>
      </c>
      <c r="M488" s="1" t="s">
        <v>41</v>
      </c>
      <c r="N488" s="1" t="s">
        <v>3008</v>
      </c>
      <c r="O488" s="1" t="s">
        <v>30</v>
      </c>
      <c r="P488" s="1" t="s">
        <v>63</v>
      </c>
      <c r="Q488" s="1" t="s">
        <v>3009</v>
      </c>
      <c r="R488">
        <v>198.46</v>
      </c>
      <c r="S488" s="1"/>
      <c r="T488" s="1" t="str">
        <f>IF(O488="Furniture","Cardbaord",O488)</f>
        <v>Cardbaord</v>
      </c>
      <c r="U488" s="1" t="str">
        <f>IF(O488="furniture","cardbaord",IF(O488="office supplies","OS",O488))</f>
        <v>cardbaord</v>
      </c>
    </row>
    <row r="489" spans="1:21" x14ac:dyDescent="0.3">
      <c r="A489">
        <v>84</v>
      </c>
      <c r="B489" s="1" t="s">
        <v>335</v>
      </c>
      <c r="C489" s="1" t="s">
        <v>336</v>
      </c>
      <c r="D489" s="1" t="s">
        <v>337</v>
      </c>
      <c r="E489" s="1" t="s">
        <v>49</v>
      </c>
      <c r="F489" s="1" t="s">
        <v>338</v>
      </c>
      <c r="G489" s="1" t="s">
        <v>339</v>
      </c>
      <c r="H489" s="1" t="s">
        <v>38</v>
      </c>
      <c r="I489" s="1" t="s">
        <v>25</v>
      </c>
      <c r="J489" s="1" t="s">
        <v>340</v>
      </c>
      <c r="K489" s="1" t="s">
        <v>71</v>
      </c>
      <c r="L489">
        <v>27707</v>
      </c>
      <c r="M489" s="1" t="s">
        <v>28</v>
      </c>
      <c r="N489" s="1" t="s">
        <v>341</v>
      </c>
      <c r="O489" s="1" t="s">
        <v>43</v>
      </c>
      <c r="P489" s="1" t="s">
        <v>183</v>
      </c>
      <c r="Q489" s="1" t="s">
        <v>342</v>
      </c>
      <c r="R489">
        <v>200.98400000000001</v>
      </c>
      <c r="S489" s="1"/>
      <c r="T489" s="1" t="str">
        <f>IF(O489="Furniture","Cardbaord",O489)</f>
        <v>Office Supplies</v>
      </c>
      <c r="U489" s="1" t="str">
        <f>IF(O489="furniture","cardbaord",IF(O489="office supplies","OS",O489))</f>
        <v>OS</v>
      </c>
    </row>
    <row r="490" spans="1:21" x14ac:dyDescent="0.3">
      <c r="A490">
        <v>1593</v>
      </c>
      <c r="B490" s="1" t="s">
        <v>2969</v>
      </c>
      <c r="C490" s="1" t="s">
        <v>2970</v>
      </c>
      <c r="D490" s="1" t="s">
        <v>2971</v>
      </c>
      <c r="E490" s="1" t="s">
        <v>21</v>
      </c>
      <c r="F490" s="1" t="s">
        <v>2972</v>
      </c>
      <c r="G490" s="1" t="s">
        <v>2973</v>
      </c>
      <c r="H490" s="1" t="s">
        <v>24</v>
      </c>
      <c r="I490" s="1" t="s">
        <v>25</v>
      </c>
      <c r="J490" s="1" t="s">
        <v>2974</v>
      </c>
      <c r="K490" s="1" t="s">
        <v>81</v>
      </c>
      <c r="L490">
        <v>98502</v>
      </c>
      <c r="M490" s="1" t="s">
        <v>41</v>
      </c>
      <c r="N490" s="1" t="s">
        <v>2975</v>
      </c>
      <c r="O490" s="1" t="s">
        <v>174</v>
      </c>
      <c r="P490" s="1" t="s">
        <v>175</v>
      </c>
      <c r="Q490" s="1" t="s">
        <v>2976</v>
      </c>
      <c r="R490">
        <v>201.56800000000001</v>
      </c>
      <c r="S490" s="1"/>
      <c r="T490" s="1" t="str">
        <f>IF(O490="Furniture","Cardbaord",O490)</f>
        <v>Technology</v>
      </c>
      <c r="U490" s="1" t="str">
        <f>IF(O490="furniture","cardbaord",IF(O490="office supplies","OS",O490))</f>
        <v>Technology</v>
      </c>
    </row>
    <row r="491" spans="1:21" x14ac:dyDescent="0.3">
      <c r="A491">
        <v>1612</v>
      </c>
      <c r="B491" s="1" t="s">
        <v>2990</v>
      </c>
      <c r="C491" s="1" t="s">
        <v>2991</v>
      </c>
      <c r="D491" s="1" t="s">
        <v>2992</v>
      </c>
      <c r="E491" s="1" t="s">
        <v>49</v>
      </c>
      <c r="F491" s="1" t="s">
        <v>2993</v>
      </c>
      <c r="G491" s="1" t="s">
        <v>2994</v>
      </c>
      <c r="H491" s="1" t="s">
        <v>38</v>
      </c>
      <c r="I491" s="1" t="s">
        <v>25</v>
      </c>
      <c r="J491" s="1" t="s">
        <v>39</v>
      </c>
      <c r="K491" s="1" t="s">
        <v>40</v>
      </c>
      <c r="L491">
        <v>90008</v>
      </c>
      <c r="M491" s="1" t="s">
        <v>41</v>
      </c>
      <c r="N491" s="1" t="s">
        <v>2995</v>
      </c>
      <c r="O491" s="1" t="s">
        <v>174</v>
      </c>
      <c r="P491" s="1" t="s">
        <v>175</v>
      </c>
      <c r="Q491" s="1" t="s">
        <v>2996</v>
      </c>
      <c r="R491">
        <v>201.584</v>
      </c>
      <c r="S491" s="1"/>
      <c r="T491" s="1" t="str">
        <f>IF(O491="Furniture","Cardbaord",O491)</f>
        <v>Technology</v>
      </c>
      <c r="U491" s="1" t="str">
        <f>IF(O491="furniture","cardbaord",IF(O491="office supplies","OS",O491))</f>
        <v>Technology</v>
      </c>
    </row>
    <row r="492" spans="1:21" x14ac:dyDescent="0.3">
      <c r="A492">
        <v>960</v>
      </c>
      <c r="B492" s="1" t="s">
        <v>2310</v>
      </c>
      <c r="C492" s="1" t="s">
        <v>1642</v>
      </c>
      <c r="D492" s="1" t="s">
        <v>1642</v>
      </c>
      <c r="E492" s="1" t="s">
        <v>1124</v>
      </c>
      <c r="F492" s="1" t="s">
        <v>2311</v>
      </c>
      <c r="G492" s="1" t="s">
        <v>2312</v>
      </c>
      <c r="H492" s="1" t="s">
        <v>24</v>
      </c>
      <c r="I492" s="1" t="s">
        <v>25</v>
      </c>
      <c r="J492" s="1" t="s">
        <v>1970</v>
      </c>
      <c r="K492" s="1" t="s">
        <v>40</v>
      </c>
      <c r="L492">
        <v>92054</v>
      </c>
      <c r="M492" s="1" t="s">
        <v>41</v>
      </c>
      <c r="N492" s="1" t="s">
        <v>2313</v>
      </c>
      <c r="O492" s="1" t="s">
        <v>30</v>
      </c>
      <c r="P492" s="1" t="s">
        <v>63</v>
      </c>
      <c r="Q492" s="1" t="s">
        <v>2314</v>
      </c>
      <c r="R492">
        <v>204.6</v>
      </c>
      <c r="S492" s="1"/>
      <c r="T492" s="1" t="str">
        <f>IF(O492="Furniture","Cardbaord",O492)</f>
        <v>Cardbaord</v>
      </c>
      <c r="U492" s="1" t="str">
        <f>IF(O492="furniture","cardbaord",IF(O492="office supplies","OS",O492))</f>
        <v>cardbaord</v>
      </c>
    </row>
    <row r="493" spans="1:21" x14ac:dyDescent="0.3">
      <c r="A493">
        <v>3005</v>
      </c>
      <c r="B493" s="1" t="s">
        <v>3679</v>
      </c>
      <c r="C493" s="1" t="s">
        <v>1240</v>
      </c>
      <c r="D493" s="1" t="s">
        <v>1241</v>
      </c>
      <c r="E493" s="1" t="s">
        <v>169</v>
      </c>
      <c r="F493" s="1" t="s">
        <v>3680</v>
      </c>
      <c r="G493" s="1" t="s">
        <v>3681</v>
      </c>
      <c r="H493" s="1" t="s">
        <v>90</v>
      </c>
      <c r="I493" s="1" t="s">
        <v>25</v>
      </c>
      <c r="J493" s="1" t="s">
        <v>251</v>
      </c>
      <c r="K493" s="1" t="s">
        <v>252</v>
      </c>
      <c r="L493">
        <v>10011</v>
      </c>
      <c r="M493" s="1" t="s">
        <v>141</v>
      </c>
      <c r="N493" s="1" t="s">
        <v>3682</v>
      </c>
      <c r="O493" s="1" t="s">
        <v>43</v>
      </c>
      <c r="P493" s="1" t="s">
        <v>95</v>
      </c>
      <c r="Q493" s="1" t="s">
        <v>3683</v>
      </c>
      <c r="R493">
        <v>207.48</v>
      </c>
      <c r="S493" s="1"/>
      <c r="T493" s="1" t="str">
        <f>IF(O493="Furniture","Cardbaord",O493)</f>
        <v>Office Supplies</v>
      </c>
      <c r="U493" s="1" t="str">
        <f>IF(O493="furniture","cardbaord",IF(O493="office supplies","OS",O493))</f>
        <v>OS</v>
      </c>
    </row>
    <row r="494" spans="1:21" x14ac:dyDescent="0.3">
      <c r="A494">
        <v>80</v>
      </c>
      <c r="B494" s="1" t="s">
        <v>320</v>
      </c>
      <c r="C494" s="1" t="s">
        <v>34</v>
      </c>
      <c r="D494" s="1" t="s">
        <v>321</v>
      </c>
      <c r="E494" s="1" t="s">
        <v>169</v>
      </c>
      <c r="F494" s="1" t="s">
        <v>322</v>
      </c>
      <c r="G494" s="1" t="s">
        <v>323</v>
      </c>
      <c r="H494" s="1" t="s">
        <v>38</v>
      </c>
      <c r="I494" s="1" t="s">
        <v>25</v>
      </c>
      <c r="J494" s="1" t="s">
        <v>324</v>
      </c>
      <c r="K494" s="1" t="s">
        <v>325</v>
      </c>
      <c r="L494">
        <v>35601</v>
      </c>
      <c r="M494" s="1" t="s">
        <v>28</v>
      </c>
      <c r="N494" s="1" t="s">
        <v>326</v>
      </c>
      <c r="O494" s="1" t="s">
        <v>43</v>
      </c>
      <c r="P494" s="1" t="s">
        <v>95</v>
      </c>
      <c r="Q494" s="1" t="s">
        <v>327</v>
      </c>
      <c r="R494">
        <v>208.16</v>
      </c>
      <c r="S494" s="1"/>
      <c r="T494" s="1" t="str">
        <f>IF(O494="Furniture","Cardbaord",O494)</f>
        <v>Office Supplies</v>
      </c>
      <c r="U494" s="1" t="str">
        <f>IF(O494="furniture","cardbaord",IF(O494="office supplies","OS",O494))</f>
        <v>OS</v>
      </c>
    </row>
    <row r="495" spans="1:21" x14ac:dyDescent="0.3">
      <c r="A495">
        <v>56</v>
      </c>
      <c r="B495" s="1" t="s">
        <v>256</v>
      </c>
      <c r="C495" s="1" t="s">
        <v>257</v>
      </c>
      <c r="D495" s="1" t="s">
        <v>258</v>
      </c>
      <c r="E495" s="1" t="s">
        <v>169</v>
      </c>
      <c r="F495" s="1" t="s">
        <v>259</v>
      </c>
      <c r="G495" s="1" t="s">
        <v>260</v>
      </c>
      <c r="H495" s="1" t="s">
        <v>24</v>
      </c>
      <c r="I495" s="1" t="s">
        <v>25</v>
      </c>
      <c r="J495" s="1" t="s">
        <v>261</v>
      </c>
      <c r="K495" s="1" t="s">
        <v>252</v>
      </c>
      <c r="L495">
        <v>12180</v>
      </c>
      <c r="M495" s="1" t="s">
        <v>141</v>
      </c>
      <c r="N495" s="1" t="s">
        <v>262</v>
      </c>
      <c r="O495" s="1" t="s">
        <v>43</v>
      </c>
      <c r="P495" s="1" t="s">
        <v>105</v>
      </c>
      <c r="Q495" s="1" t="s">
        <v>263</v>
      </c>
      <c r="R495">
        <v>208.56</v>
      </c>
      <c r="S495" s="1"/>
      <c r="T495" s="1" t="str">
        <f>IF(O495="Furniture","Cardbaord",O495)</f>
        <v>Office Supplies</v>
      </c>
      <c r="U495" s="1" t="str">
        <f>IF(O495="furniture","cardbaord",IF(O495="office supplies","OS",O495))</f>
        <v>OS</v>
      </c>
    </row>
    <row r="496" spans="1:21" x14ac:dyDescent="0.3">
      <c r="A496">
        <v>646</v>
      </c>
      <c r="B496" s="1" t="s">
        <v>1811</v>
      </c>
      <c r="C496" s="1" t="s">
        <v>452</v>
      </c>
      <c r="D496" s="1" t="s">
        <v>1812</v>
      </c>
      <c r="E496" s="1" t="s">
        <v>49</v>
      </c>
      <c r="F496" s="1" t="s">
        <v>1813</v>
      </c>
      <c r="G496" s="1" t="s">
        <v>1814</v>
      </c>
      <c r="H496" s="1" t="s">
        <v>90</v>
      </c>
      <c r="I496" s="1" t="s">
        <v>25</v>
      </c>
      <c r="J496" s="1" t="s">
        <v>470</v>
      </c>
      <c r="K496" s="1" t="s">
        <v>243</v>
      </c>
      <c r="L496">
        <v>47201</v>
      </c>
      <c r="M496" s="1" t="s">
        <v>93</v>
      </c>
      <c r="N496" s="1" t="s">
        <v>1815</v>
      </c>
      <c r="O496" s="1" t="s">
        <v>43</v>
      </c>
      <c r="P496" s="1" t="s">
        <v>95</v>
      </c>
      <c r="Q496" s="1" t="s">
        <v>1816</v>
      </c>
      <c r="R496">
        <v>209.3</v>
      </c>
      <c r="S496" s="1"/>
      <c r="T496" s="1" t="str">
        <f>IF(O496="Furniture","Cardbaord",O496)</f>
        <v>Office Supplies</v>
      </c>
      <c r="U496" s="1" t="str">
        <f>IF(O496="furniture","cardbaord",IF(O496="office supplies","OS",O496))</f>
        <v>OS</v>
      </c>
    </row>
    <row r="497" spans="1:21" x14ac:dyDescent="0.3">
      <c r="A497">
        <v>272</v>
      </c>
      <c r="B497" s="1" t="s">
        <v>925</v>
      </c>
      <c r="C497" s="1" t="s">
        <v>926</v>
      </c>
      <c r="D497" s="1" t="s">
        <v>927</v>
      </c>
      <c r="E497" s="1" t="s">
        <v>169</v>
      </c>
      <c r="F497" s="1" t="s">
        <v>928</v>
      </c>
      <c r="G497" s="1" t="s">
        <v>929</v>
      </c>
      <c r="H497" s="1" t="s">
        <v>24</v>
      </c>
      <c r="I497" s="1" t="s">
        <v>25</v>
      </c>
      <c r="J497" s="1" t="s">
        <v>121</v>
      </c>
      <c r="K497" s="1" t="s">
        <v>40</v>
      </c>
      <c r="L497">
        <v>94109</v>
      </c>
      <c r="M497" s="1" t="s">
        <v>41</v>
      </c>
      <c r="N497" s="1" t="s">
        <v>930</v>
      </c>
      <c r="O497" s="1" t="s">
        <v>174</v>
      </c>
      <c r="P497" s="1" t="s">
        <v>217</v>
      </c>
      <c r="Q497" s="1" t="s">
        <v>931</v>
      </c>
      <c r="R497">
        <v>209.93</v>
      </c>
      <c r="S497" s="1"/>
      <c r="T497" s="1" t="str">
        <f>IF(O497="Furniture","Cardbaord",O497)</f>
        <v>Technology</v>
      </c>
      <c r="U497" s="1" t="str">
        <f>IF(O497="furniture","cardbaord",IF(O497="office supplies","OS",O497))</f>
        <v>Technology</v>
      </c>
    </row>
    <row r="498" spans="1:21" x14ac:dyDescent="0.3">
      <c r="A498">
        <v>47</v>
      </c>
      <c r="B498" s="1" t="s">
        <v>219</v>
      </c>
      <c r="C498" s="1" t="s">
        <v>220</v>
      </c>
      <c r="D498" s="1" t="s">
        <v>221</v>
      </c>
      <c r="E498" s="1" t="s">
        <v>21</v>
      </c>
      <c r="F498" s="1" t="s">
        <v>222</v>
      </c>
      <c r="G498" s="1" t="s">
        <v>223</v>
      </c>
      <c r="H498" s="1" t="s">
        <v>24</v>
      </c>
      <c r="I498" s="1" t="s">
        <v>25</v>
      </c>
      <c r="J498" s="1" t="s">
        <v>224</v>
      </c>
      <c r="K498" s="1" t="s">
        <v>225</v>
      </c>
      <c r="L498">
        <v>48185</v>
      </c>
      <c r="M498" s="1" t="s">
        <v>93</v>
      </c>
      <c r="N498" s="1" t="s">
        <v>226</v>
      </c>
      <c r="O498" s="1" t="s">
        <v>43</v>
      </c>
      <c r="P498" s="1" t="s">
        <v>105</v>
      </c>
      <c r="Q498" s="1" t="s">
        <v>227</v>
      </c>
      <c r="R498">
        <v>211.96</v>
      </c>
      <c r="S498" s="1"/>
      <c r="T498" s="1" t="str">
        <f>IF(O498="Furniture","Cardbaord",O498)</f>
        <v>Office Supplies</v>
      </c>
      <c r="U498" s="1" t="str">
        <f>IF(O498="furniture","cardbaord",IF(O498="office supplies","OS",O498))</f>
        <v>OS</v>
      </c>
    </row>
    <row r="499" spans="1:21" x14ac:dyDescent="0.3">
      <c r="A499">
        <v>67</v>
      </c>
      <c r="B499" s="1" t="s">
        <v>271</v>
      </c>
      <c r="C499" s="1" t="s">
        <v>272</v>
      </c>
      <c r="D499" s="1" t="s">
        <v>273</v>
      </c>
      <c r="E499" s="1" t="s">
        <v>49</v>
      </c>
      <c r="F499" s="1" t="s">
        <v>274</v>
      </c>
      <c r="G499" s="1" t="s">
        <v>275</v>
      </c>
      <c r="H499" s="1" t="s">
        <v>90</v>
      </c>
      <c r="I499" s="1" t="s">
        <v>25</v>
      </c>
      <c r="J499" s="1" t="s">
        <v>276</v>
      </c>
      <c r="K499" s="1" t="s">
        <v>191</v>
      </c>
      <c r="L499">
        <v>60610</v>
      </c>
      <c r="M499" s="1" t="s">
        <v>93</v>
      </c>
      <c r="N499" s="1" t="s">
        <v>277</v>
      </c>
      <c r="O499" s="1" t="s">
        <v>30</v>
      </c>
      <c r="P499" s="1" t="s">
        <v>143</v>
      </c>
      <c r="Q499" s="1" t="s">
        <v>278</v>
      </c>
      <c r="R499">
        <v>213.11500000000001</v>
      </c>
      <c r="S499" s="1"/>
      <c r="T499" s="1" t="str">
        <f>IF(O499="Furniture","Cardbaord",O499)</f>
        <v>Cardbaord</v>
      </c>
      <c r="U499" s="1" t="str">
        <f>IF(O499="furniture","cardbaord",IF(O499="office supplies","OS",O499))</f>
        <v>cardbaord</v>
      </c>
    </row>
    <row r="500" spans="1:21" x14ac:dyDescent="0.3">
      <c r="A500">
        <v>5439</v>
      </c>
      <c r="B500" s="1" t="s">
        <v>4175</v>
      </c>
      <c r="C500" s="1" t="s">
        <v>1869</v>
      </c>
      <c r="D500" s="1" t="s">
        <v>1870</v>
      </c>
      <c r="E500" s="1" t="s">
        <v>169</v>
      </c>
      <c r="F500" s="1" t="s">
        <v>4176</v>
      </c>
      <c r="G500" s="1" t="s">
        <v>4177</v>
      </c>
      <c r="H500" s="1" t="s">
        <v>38</v>
      </c>
      <c r="I500" s="1" t="s">
        <v>25</v>
      </c>
      <c r="J500" s="1" t="s">
        <v>1926</v>
      </c>
      <c r="K500" s="1" t="s">
        <v>53</v>
      </c>
      <c r="L500">
        <v>32137</v>
      </c>
      <c r="M500" s="1" t="s">
        <v>28</v>
      </c>
      <c r="N500" s="1" t="s">
        <v>4178</v>
      </c>
      <c r="O500" s="1" t="s">
        <v>30</v>
      </c>
      <c r="P500" s="1" t="s">
        <v>63</v>
      </c>
      <c r="Q500" s="1" t="s">
        <v>4179</v>
      </c>
      <c r="R500">
        <v>213.21600000000001</v>
      </c>
      <c r="S500" s="1"/>
      <c r="T500" s="1" t="str">
        <f>IF(O500="Furniture","Cardbaord",O500)</f>
        <v>Cardbaord</v>
      </c>
      <c r="U500" s="1" t="str">
        <f>IF(O500="furniture","cardbaord",IF(O500="office supplies","OS",O500))</f>
        <v>cardbaord</v>
      </c>
    </row>
    <row r="501" spans="1:21" x14ac:dyDescent="0.3">
      <c r="A501">
        <v>3067</v>
      </c>
      <c r="B501" s="1" t="s">
        <v>3698</v>
      </c>
      <c r="C501" s="1" t="s">
        <v>3699</v>
      </c>
      <c r="D501" s="1" t="s">
        <v>1848</v>
      </c>
      <c r="E501" s="1" t="s">
        <v>21</v>
      </c>
      <c r="F501" s="1" t="s">
        <v>3700</v>
      </c>
      <c r="G501" s="1" t="s">
        <v>3701</v>
      </c>
      <c r="H501" s="1" t="s">
        <v>90</v>
      </c>
      <c r="I501" s="1" t="s">
        <v>25</v>
      </c>
      <c r="J501" s="1" t="s">
        <v>3702</v>
      </c>
      <c r="K501" s="1" t="s">
        <v>616</v>
      </c>
      <c r="L501">
        <v>87105</v>
      </c>
      <c r="M501" s="1" t="s">
        <v>41</v>
      </c>
      <c r="N501" s="1" t="s">
        <v>3703</v>
      </c>
      <c r="O501" s="1" t="s">
        <v>174</v>
      </c>
      <c r="P501" s="1" t="s">
        <v>217</v>
      </c>
      <c r="Q501" s="1" t="s">
        <v>3704</v>
      </c>
      <c r="R501">
        <v>214.95</v>
      </c>
      <c r="S501" s="1"/>
      <c r="T501" s="1" t="str">
        <f>IF(O501="Furniture","Cardbaord",O501)</f>
        <v>Technology</v>
      </c>
      <c r="U501" s="1" t="str">
        <f>IF(O501="furniture","cardbaord",IF(O501="office supplies","OS",O501))</f>
        <v>Technology</v>
      </c>
    </row>
    <row r="502" spans="1:21" x14ac:dyDescent="0.3">
      <c r="A502">
        <v>202</v>
      </c>
      <c r="B502" s="1" t="s">
        <v>736</v>
      </c>
      <c r="C502" s="1" t="s">
        <v>737</v>
      </c>
      <c r="D502" s="1" t="s">
        <v>634</v>
      </c>
      <c r="E502" s="1" t="s">
        <v>169</v>
      </c>
      <c r="F502" s="1" t="s">
        <v>738</v>
      </c>
      <c r="G502" s="1" t="s">
        <v>739</v>
      </c>
      <c r="H502" s="1" t="s">
        <v>24</v>
      </c>
      <c r="I502" s="1" t="s">
        <v>25</v>
      </c>
      <c r="J502" s="1" t="s">
        <v>740</v>
      </c>
      <c r="K502" s="1" t="s">
        <v>431</v>
      </c>
      <c r="L502">
        <v>80219</v>
      </c>
      <c r="M502" s="1" t="s">
        <v>41</v>
      </c>
      <c r="N502" s="1" t="s">
        <v>741</v>
      </c>
      <c r="O502" s="1" t="s">
        <v>30</v>
      </c>
      <c r="P502" s="1" t="s">
        <v>55</v>
      </c>
      <c r="Q502" s="1" t="s">
        <v>742</v>
      </c>
      <c r="R502">
        <v>218.75</v>
      </c>
      <c r="S502" s="1"/>
      <c r="T502" s="1" t="str">
        <f>IF(O502="Furniture","Cardbaord",O502)</f>
        <v>Cardbaord</v>
      </c>
      <c r="U502" s="1" t="str">
        <f>IF(O502="furniture","cardbaord",IF(O502="office supplies","OS",O502))</f>
        <v>cardbaord</v>
      </c>
    </row>
    <row r="503" spans="1:21" x14ac:dyDescent="0.3">
      <c r="A503">
        <v>3244</v>
      </c>
      <c r="B503" s="1" t="s">
        <v>3772</v>
      </c>
      <c r="C503" s="1" t="s">
        <v>766</v>
      </c>
      <c r="D503" s="1" t="s">
        <v>1663</v>
      </c>
      <c r="E503" s="1" t="s">
        <v>49</v>
      </c>
      <c r="F503" s="1" t="s">
        <v>3773</v>
      </c>
      <c r="G503" s="1" t="s">
        <v>3774</v>
      </c>
      <c r="H503" s="1" t="s">
        <v>24</v>
      </c>
      <c r="I503" s="1" t="s">
        <v>25</v>
      </c>
      <c r="J503" s="1" t="s">
        <v>696</v>
      </c>
      <c r="K503" s="1" t="s">
        <v>92</v>
      </c>
      <c r="L503">
        <v>75051</v>
      </c>
      <c r="M503" s="1" t="s">
        <v>93</v>
      </c>
      <c r="N503" s="1" t="s">
        <v>3775</v>
      </c>
      <c r="O503" s="1" t="s">
        <v>174</v>
      </c>
      <c r="P503" s="1" t="s">
        <v>175</v>
      </c>
      <c r="Q503" s="1" t="s">
        <v>3776</v>
      </c>
      <c r="R503">
        <v>219.8</v>
      </c>
      <c r="S503" s="1"/>
      <c r="T503" s="1" t="str">
        <f>IF(O503="Furniture","Cardbaord",O503)</f>
        <v>Technology</v>
      </c>
      <c r="U503" s="1" t="str">
        <f>IF(O503="furniture","cardbaord",IF(O503="office supplies","OS",O503))</f>
        <v>Technology</v>
      </c>
    </row>
    <row r="504" spans="1:21" x14ac:dyDescent="0.3">
      <c r="A504">
        <v>3103</v>
      </c>
      <c r="B504" s="1" t="s">
        <v>3710</v>
      </c>
      <c r="C504" s="1" t="s">
        <v>545</v>
      </c>
      <c r="D504" s="1" t="s">
        <v>546</v>
      </c>
      <c r="E504" s="1" t="s">
        <v>21</v>
      </c>
      <c r="F504" s="1" t="s">
        <v>3711</v>
      </c>
      <c r="G504" s="1" t="s">
        <v>3712</v>
      </c>
      <c r="H504" s="1" t="s">
        <v>38</v>
      </c>
      <c r="I504" s="1" t="s">
        <v>25</v>
      </c>
      <c r="J504" s="1" t="s">
        <v>3713</v>
      </c>
      <c r="K504" s="1" t="s">
        <v>1236</v>
      </c>
      <c r="L504">
        <v>2908</v>
      </c>
      <c r="M504" s="1" t="s">
        <v>141</v>
      </c>
      <c r="N504" s="1" t="s">
        <v>3714</v>
      </c>
      <c r="O504" s="1" t="s">
        <v>30</v>
      </c>
      <c r="P504" s="1" t="s">
        <v>31</v>
      </c>
      <c r="Q504" s="1" t="s">
        <v>3715</v>
      </c>
      <c r="R504">
        <v>220.98</v>
      </c>
      <c r="S504" s="1"/>
      <c r="T504" s="1" t="str">
        <f>IF(O504="Furniture","Cardbaord",O504)</f>
        <v>Cardbaord</v>
      </c>
      <c r="U504" s="1" t="str">
        <f>IF(O504="furniture","cardbaord",IF(O504="office supplies","OS",O504))</f>
        <v>cardbaord</v>
      </c>
    </row>
    <row r="505" spans="1:21" x14ac:dyDescent="0.3">
      <c r="A505">
        <v>5014</v>
      </c>
      <c r="B505" s="1" t="s">
        <v>4131</v>
      </c>
      <c r="C505" s="1" t="s">
        <v>4132</v>
      </c>
      <c r="D505" s="1" t="s">
        <v>1649</v>
      </c>
      <c r="E505" s="1" t="s">
        <v>49</v>
      </c>
      <c r="F505" s="1" t="s">
        <v>4133</v>
      </c>
      <c r="G505" s="1" t="s">
        <v>4134</v>
      </c>
      <c r="H505" s="1" t="s">
        <v>90</v>
      </c>
      <c r="I505" s="1" t="s">
        <v>25</v>
      </c>
      <c r="J505" s="1" t="s">
        <v>1839</v>
      </c>
      <c r="K505" s="1" t="s">
        <v>471</v>
      </c>
      <c r="L505">
        <v>44105</v>
      </c>
      <c r="M505" s="1" t="s">
        <v>141</v>
      </c>
      <c r="N505" s="1" t="s">
        <v>4135</v>
      </c>
      <c r="O505" s="1" t="s">
        <v>43</v>
      </c>
      <c r="P505" s="1" t="s">
        <v>105</v>
      </c>
      <c r="Q505" s="1" t="s">
        <v>4136</v>
      </c>
      <c r="R505">
        <v>222.32</v>
      </c>
      <c r="S505" s="1"/>
      <c r="T505" s="1" t="str">
        <f>IF(O505="Furniture","Cardbaord",O505)</f>
        <v>Office Supplies</v>
      </c>
      <c r="U505" s="1" t="str">
        <f>IF(O505="furniture","cardbaord",IF(O505="office supplies","OS",O505))</f>
        <v>OS</v>
      </c>
    </row>
    <row r="506" spans="1:21" x14ac:dyDescent="0.3">
      <c r="A506">
        <v>9563</v>
      </c>
      <c r="B506" s="1" t="s">
        <v>4299</v>
      </c>
      <c r="C506" s="1" t="s">
        <v>4042</v>
      </c>
      <c r="D506" s="1" t="s">
        <v>2774</v>
      </c>
      <c r="E506" s="1" t="s">
        <v>169</v>
      </c>
      <c r="F506" s="1" t="s">
        <v>4300</v>
      </c>
      <c r="G506" s="1" t="s">
        <v>4301</v>
      </c>
      <c r="H506" s="1" t="s">
        <v>24</v>
      </c>
      <c r="I506" s="1" t="s">
        <v>25</v>
      </c>
      <c r="J506" s="1" t="s">
        <v>558</v>
      </c>
      <c r="K506" s="1" t="s">
        <v>471</v>
      </c>
      <c r="L506">
        <v>43055</v>
      </c>
      <c r="M506" s="1" t="s">
        <v>141</v>
      </c>
      <c r="N506" s="1" t="s">
        <v>4302</v>
      </c>
      <c r="O506" s="1" t="s">
        <v>174</v>
      </c>
      <c r="P506" s="1" t="s">
        <v>888</v>
      </c>
      <c r="Q506" s="1" t="s">
        <v>4303</v>
      </c>
      <c r="R506">
        <v>224.93700000000001</v>
      </c>
      <c r="S506" s="1"/>
      <c r="T506" s="1" t="str">
        <f>IF(O506="Furniture","Cardbaord",O506)</f>
        <v>Technology</v>
      </c>
      <c r="U506" s="1" t="str">
        <f>IF(O506="furniture","cardbaord",IF(O506="office supplies","OS",O506))</f>
        <v>Technology</v>
      </c>
    </row>
    <row r="507" spans="1:21" x14ac:dyDescent="0.3">
      <c r="A507">
        <v>2233</v>
      </c>
      <c r="B507" s="1" t="s">
        <v>3360</v>
      </c>
      <c r="C507" s="1" t="s">
        <v>2452</v>
      </c>
      <c r="D507" s="1" t="s">
        <v>3361</v>
      </c>
      <c r="E507" s="1" t="s">
        <v>49</v>
      </c>
      <c r="F507" s="1" t="s">
        <v>3362</v>
      </c>
      <c r="G507" s="1" t="s">
        <v>3363</v>
      </c>
      <c r="H507" s="1" t="s">
        <v>24</v>
      </c>
      <c r="I507" s="1" t="s">
        <v>25</v>
      </c>
      <c r="J507" s="1" t="s">
        <v>276</v>
      </c>
      <c r="K507" s="1" t="s">
        <v>191</v>
      </c>
      <c r="L507">
        <v>60610</v>
      </c>
      <c r="M507" s="1" t="s">
        <v>93</v>
      </c>
      <c r="N507" s="1" t="s">
        <v>3364</v>
      </c>
      <c r="O507" s="1" t="s">
        <v>43</v>
      </c>
      <c r="P507" s="1" t="s">
        <v>105</v>
      </c>
      <c r="Q507" s="1" t="s">
        <v>3365</v>
      </c>
      <c r="R507">
        <v>228.92</v>
      </c>
      <c r="S507" s="1"/>
      <c r="T507" s="1" t="str">
        <f>IF(O507="Furniture","Cardbaord",O507)</f>
        <v>Office Supplies</v>
      </c>
      <c r="U507" s="1" t="str">
        <f>IF(O507="furniture","cardbaord",IF(O507="office supplies","OS",O507))</f>
        <v>OS</v>
      </c>
    </row>
    <row r="508" spans="1:21" x14ac:dyDescent="0.3">
      <c r="A508">
        <v>85</v>
      </c>
      <c r="B508" s="1" t="s">
        <v>343</v>
      </c>
      <c r="C508" s="1" t="s">
        <v>344</v>
      </c>
      <c r="D508" s="1" t="s">
        <v>345</v>
      </c>
      <c r="E508" s="1" t="s">
        <v>169</v>
      </c>
      <c r="F508" s="1" t="s">
        <v>346</v>
      </c>
      <c r="G508" s="1" t="s">
        <v>347</v>
      </c>
      <c r="H508" s="1" t="s">
        <v>90</v>
      </c>
      <c r="I508" s="1" t="s">
        <v>25</v>
      </c>
      <c r="J508" s="1" t="s">
        <v>276</v>
      </c>
      <c r="K508" s="1" t="s">
        <v>191</v>
      </c>
      <c r="L508">
        <v>60623</v>
      </c>
      <c r="M508" s="1" t="s">
        <v>93</v>
      </c>
      <c r="N508" s="1" t="s">
        <v>348</v>
      </c>
      <c r="O508" s="1" t="s">
        <v>43</v>
      </c>
      <c r="P508" s="1" t="s">
        <v>105</v>
      </c>
      <c r="Q508" s="1" t="s">
        <v>349</v>
      </c>
      <c r="R508">
        <v>230.376</v>
      </c>
      <c r="S508" s="1"/>
      <c r="T508" s="1" t="str">
        <f>IF(O508="Furniture","Cardbaord",O508)</f>
        <v>Office Supplies</v>
      </c>
      <c r="U508" s="1" t="str">
        <f>IF(O508="furniture","cardbaord",IF(O508="office supplies","OS",O508))</f>
        <v>OS</v>
      </c>
    </row>
    <row r="509" spans="1:21" x14ac:dyDescent="0.3">
      <c r="A509">
        <v>130</v>
      </c>
      <c r="B509" s="1" t="s">
        <v>517</v>
      </c>
      <c r="C509" s="1" t="s">
        <v>518</v>
      </c>
      <c r="D509" s="1" t="s">
        <v>459</v>
      </c>
      <c r="E509" s="1" t="s">
        <v>21</v>
      </c>
      <c r="F509" s="1" t="s">
        <v>519</v>
      </c>
      <c r="G509" s="1" t="s">
        <v>520</v>
      </c>
      <c r="H509" s="1" t="s">
        <v>90</v>
      </c>
      <c r="I509" s="1" t="s">
        <v>25</v>
      </c>
      <c r="J509" s="1" t="s">
        <v>39</v>
      </c>
      <c r="K509" s="1" t="s">
        <v>40</v>
      </c>
      <c r="L509">
        <v>90004</v>
      </c>
      <c r="M509" s="1" t="s">
        <v>41</v>
      </c>
      <c r="N509" s="1" t="s">
        <v>521</v>
      </c>
      <c r="O509" s="1" t="s">
        <v>30</v>
      </c>
      <c r="P509" s="1" t="s">
        <v>63</v>
      </c>
      <c r="Q509" s="1" t="s">
        <v>522</v>
      </c>
      <c r="R509">
        <v>238.56</v>
      </c>
      <c r="S509" s="1"/>
      <c r="T509" s="1" t="str">
        <f>IF(O509="Furniture","Cardbaord",O509)</f>
        <v>Cardbaord</v>
      </c>
      <c r="U509" s="1" t="str">
        <f>IF(O509="furniture","cardbaord",IF(O509="office supplies","OS",O509))</f>
        <v>cardbaord</v>
      </c>
    </row>
    <row r="510" spans="1:21" x14ac:dyDescent="0.3">
      <c r="A510">
        <v>104</v>
      </c>
      <c r="B510" s="1" t="s">
        <v>425</v>
      </c>
      <c r="C510" s="1" t="s">
        <v>426</v>
      </c>
      <c r="D510" s="1" t="s">
        <v>427</v>
      </c>
      <c r="E510" s="1" t="s">
        <v>49</v>
      </c>
      <c r="F510" s="1" t="s">
        <v>428</v>
      </c>
      <c r="G510" s="1" t="s">
        <v>429</v>
      </c>
      <c r="H510" s="1" t="s">
        <v>24</v>
      </c>
      <c r="I510" s="1" t="s">
        <v>25</v>
      </c>
      <c r="J510" s="1" t="s">
        <v>430</v>
      </c>
      <c r="K510" s="1" t="s">
        <v>431</v>
      </c>
      <c r="L510">
        <v>80013</v>
      </c>
      <c r="M510" s="1" t="s">
        <v>41</v>
      </c>
      <c r="N510" s="1" t="s">
        <v>432</v>
      </c>
      <c r="O510" s="1" t="s">
        <v>174</v>
      </c>
      <c r="P510" s="1" t="s">
        <v>217</v>
      </c>
      <c r="Q510" s="1" t="s">
        <v>433</v>
      </c>
      <c r="R510">
        <v>238.89599999999999</v>
      </c>
      <c r="S510" s="1"/>
      <c r="T510" s="1" t="str">
        <f>IF(O510="Furniture","Cardbaord",O510)</f>
        <v>Technology</v>
      </c>
      <c r="U510" s="1" t="str">
        <f>IF(O510="furniture","cardbaord",IF(O510="office supplies","OS",O510))</f>
        <v>Technology</v>
      </c>
    </row>
    <row r="511" spans="1:21" x14ac:dyDescent="0.3">
      <c r="A511">
        <v>823</v>
      </c>
      <c r="B511" s="1" t="s">
        <v>2098</v>
      </c>
      <c r="C511" s="1" t="s">
        <v>398</v>
      </c>
      <c r="D511" s="1" t="s">
        <v>2099</v>
      </c>
      <c r="E511" s="1" t="s">
        <v>49</v>
      </c>
      <c r="F511" s="1" t="s">
        <v>2100</v>
      </c>
      <c r="G511" s="1" t="s">
        <v>2101</v>
      </c>
      <c r="H511" s="1" t="s">
        <v>24</v>
      </c>
      <c r="I511" s="1" t="s">
        <v>25</v>
      </c>
      <c r="J511" s="1" t="s">
        <v>976</v>
      </c>
      <c r="K511" s="1" t="s">
        <v>718</v>
      </c>
      <c r="L511">
        <v>7109</v>
      </c>
      <c r="M511" s="1" t="s">
        <v>141</v>
      </c>
      <c r="N511" s="1" t="s">
        <v>2102</v>
      </c>
      <c r="O511" s="1" t="s">
        <v>174</v>
      </c>
      <c r="P511" s="1" t="s">
        <v>217</v>
      </c>
      <c r="Q511" s="1" t="s">
        <v>2103</v>
      </c>
      <c r="R511">
        <v>239.97</v>
      </c>
      <c r="S511" s="1"/>
      <c r="T511" s="1" t="str">
        <f>IF(O511="Furniture","Cardbaord",O511)</f>
        <v>Technology</v>
      </c>
      <c r="U511" s="1" t="str">
        <f>IF(O511="furniture","cardbaord",IF(O511="office supplies","OS",O511))</f>
        <v>Technology</v>
      </c>
    </row>
    <row r="512" spans="1:21" x14ac:dyDescent="0.3">
      <c r="A512">
        <v>631</v>
      </c>
      <c r="B512" s="1" t="s">
        <v>1777</v>
      </c>
      <c r="C512" s="1" t="s">
        <v>247</v>
      </c>
      <c r="D512" s="1" t="s">
        <v>127</v>
      </c>
      <c r="E512" s="1" t="s">
        <v>21</v>
      </c>
      <c r="F512" s="1" t="s">
        <v>1778</v>
      </c>
      <c r="G512" s="1" t="s">
        <v>1779</v>
      </c>
      <c r="H512" s="1" t="s">
        <v>24</v>
      </c>
      <c r="I512" s="1" t="s">
        <v>25</v>
      </c>
      <c r="J512" s="1" t="s">
        <v>430</v>
      </c>
      <c r="K512" s="1" t="s">
        <v>431</v>
      </c>
      <c r="L512">
        <v>80013</v>
      </c>
      <c r="M512" s="1" t="s">
        <v>41</v>
      </c>
      <c r="N512" s="1" t="s">
        <v>1780</v>
      </c>
      <c r="O512" s="1" t="s">
        <v>43</v>
      </c>
      <c r="P512" s="1" t="s">
        <v>105</v>
      </c>
      <c r="Q512" s="1" t="s">
        <v>1781</v>
      </c>
      <c r="R512">
        <v>243.38399999999999</v>
      </c>
      <c r="S512" s="1"/>
      <c r="T512" s="1" t="str">
        <f>IF(O512="Furniture","Cardbaord",O512)</f>
        <v>Office Supplies</v>
      </c>
      <c r="U512" s="1" t="str">
        <f>IF(O512="furniture","cardbaord",IF(O512="office supplies","OS",O512))</f>
        <v>OS</v>
      </c>
    </row>
    <row r="513" spans="1:21" x14ac:dyDescent="0.3">
      <c r="A513">
        <v>392</v>
      </c>
      <c r="B513" s="1" t="s">
        <v>1208</v>
      </c>
      <c r="C513" s="1" t="s">
        <v>884</v>
      </c>
      <c r="D513" s="1" t="s">
        <v>1209</v>
      </c>
      <c r="E513" s="1" t="s">
        <v>21</v>
      </c>
      <c r="F513" s="1" t="s">
        <v>1210</v>
      </c>
      <c r="G513" s="1" t="s">
        <v>1211</v>
      </c>
      <c r="H513" s="1" t="s">
        <v>24</v>
      </c>
      <c r="I513" s="1" t="s">
        <v>25</v>
      </c>
      <c r="J513" s="1" t="s">
        <v>1212</v>
      </c>
      <c r="K513" s="1" t="s">
        <v>81</v>
      </c>
      <c r="L513">
        <v>98198</v>
      </c>
      <c r="M513" s="1" t="s">
        <v>41</v>
      </c>
      <c r="N513" s="1" t="s">
        <v>1213</v>
      </c>
      <c r="O513" s="1" t="s">
        <v>174</v>
      </c>
      <c r="P513" s="1" t="s">
        <v>175</v>
      </c>
      <c r="Q513" s="1" t="s">
        <v>1214</v>
      </c>
      <c r="R513">
        <v>246.38399999999999</v>
      </c>
      <c r="S513" s="1"/>
      <c r="T513" s="1" t="str">
        <f>IF(O513="Furniture","Cardbaord",O513)</f>
        <v>Technology</v>
      </c>
      <c r="U513" s="1" t="str">
        <f>IF(O513="furniture","cardbaord",IF(O513="office supplies","OS",O513))</f>
        <v>Technology</v>
      </c>
    </row>
    <row r="514" spans="1:21" x14ac:dyDescent="0.3">
      <c r="A514">
        <v>287</v>
      </c>
      <c r="B514" s="1" t="s">
        <v>954</v>
      </c>
      <c r="C514" s="1" t="s">
        <v>955</v>
      </c>
      <c r="D514" s="1" t="s">
        <v>956</v>
      </c>
      <c r="E514" s="1" t="s">
        <v>21</v>
      </c>
      <c r="F514" s="1" t="s">
        <v>957</v>
      </c>
      <c r="G514" s="1" t="s">
        <v>958</v>
      </c>
      <c r="H514" s="1" t="s">
        <v>38</v>
      </c>
      <c r="I514" s="1" t="s">
        <v>25</v>
      </c>
      <c r="J514" s="1" t="s">
        <v>959</v>
      </c>
      <c r="K514" s="1" t="s">
        <v>53</v>
      </c>
      <c r="L514">
        <v>33319</v>
      </c>
      <c r="M514" s="1" t="s">
        <v>28</v>
      </c>
      <c r="N514" s="1" t="s">
        <v>960</v>
      </c>
      <c r="O514" s="1" t="s">
        <v>43</v>
      </c>
      <c r="P514" s="1" t="s">
        <v>83</v>
      </c>
      <c r="Q514" s="1" t="s">
        <v>961</v>
      </c>
      <c r="R514">
        <v>254.05799999999999</v>
      </c>
      <c r="S514" s="1"/>
      <c r="T514" s="1" t="str">
        <f>IF(O514="Furniture","Cardbaord",O514)</f>
        <v>Office Supplies</v>
      </c>
      <c r="U514" s="1" t="str">
        <f>IF(O514="furniture","cardbaord",IF(O514="office supplies","OS",O514))</f>
        <v>OS</v>
      </c>
    </row>
    <row r="515" spans="1:21" x14ac:dyDescent="0.3">
      <c r="A515">
        <v>1222</v>
      </c>
      <c r="B515" s="1" t="s">
        <v>2615</v>
      </c>
      <c r="C515" s="1" t="s">
        <v>1079</v>
      </c>
      <c r="D515" s="1" t="s">
        <v>2616</v>
      </c>
      <c r="E515" s="1" t="s">
        <v>49</v>
      </c>
      <c r="F515" s="1" t="s">
        <v>2617</v>
      </c>
      <c r="G515" s="1" t="s">
        <v>2618</v>
      </c>
      <c r="H515" s="1" t="s">
        <v>90</v>
      </c>
      <c r="I515" s="1" t="s">
        <v>25</v>
      </c>
      <c r="J515" s="1" t="s">
        <v>39</v>
      </c>
      <c r="K515" s="1" t="s">
        <v>40</v>
      </c>
      <c r="L515">
        <v>90036</v>
      </c>
      <c r="M515" s="1" t="s">
        <v>41</v>
      </c>
      <c r="N515" s="1" t="s">
        <v>2619</v>
      </c>
      <c r="O515" s="1" t="s">
        <v>174</v>
      </c>
      <c r="P515" s="1" t="s">
        <v>175</v>
      </c>
      <c r="Q515" s="1" t="s">
        <v>2620</v>
      </c>
      <c r="R515">
        <v>255.93600000000001</v>
      </c>
      <c r="S515" s="1"/>
      <c r="T515" s="1" t="str">
        <f>IF(O515="Furniture","Cardbaord",O515)</f>
        <v>Technology</v>
      </c>
      <c r="U515" s="1" t="str">
        <f>IF(O515="furniture","cardbaord",IF(O515="office supplies","OS",O515))</f>
        <v>Technology</v>
      </c>
    </row>
    <row r="516" spans="1:21" x14ac:dyDescent="0.3">
      <c r="A516">
        <v>1</v>
      </c>
      <c r="B516" s="1" t="s">
        <v>18</v>
      </c>
      <c r="C516" s="1" t="s">
        <v>19</v>
      </c>
      <c r="D516" s="1" t="s">
        <v>20</v>
      </c>
      <c r="E516" s="1" t="s">
        <v>21</v>
      </c>
      <c r="F516" s="1" t="s">
        <v>22</v>
      </c>
      <c r="G516" s="1" t="s">
        <v>23</v>
      </c>
      <c r="H516" s="1" t="s">
        <v>24</v>
      </c>
      <c r="I516" s="1" t="s">
        <v>25</v>
      </c>
      <c r="J516" s="1" t="s">
        <v>26</v>
      </c>
      <c r="K516" s="1" t="s">
        <v>27</v>
      </c>
      <c r="L516">
        <v>42420</v>
      </c>
      <c r="M516" s="1" t="s">
        <v>28</v>
      </c>
      <c r="N516" s="1" t="s">
        <v>29</v>
      </c>
      <c r="O516" s="1" t="s">
        <v>30</v>
      </c>
      <c r="P516" s="1" t="s">
        <v>31</v>
      </c>
      <c r="Q516" s="1" t="s">
        <v>32</v>
      </c>
      <c r="R516">
        <v>261.95999999999998</v>
      </c>
      <c r="S516" s="1">
        <f>SUM(R:R)</f>
        <v>156017.70259999987</v>
      </c>
      <c r="T516" s="1" t="str">
        <f>IF(O516="Furniture","Cardbaord",O516)</f>
        <v>Cardbaord</v>
      </c>
      <c r="U516" s="1" t="str">
        <f>IF(O516="furniture","cardbaord",IF(O516="office supplies","OS",O516))</f>
        <v>cardbaord</v>
      </c>
    </row>
    <row r="517" spans="1:21" x14ac:dyDescent="0.3">
      <c r="A517">
        <v>2426</v>
      </c>
      <c r="B517" s="1" t="s">
        <v>3493</v>
      </c>
      <c r="C517" s="1" t="s">
        <v>451</v>
      </c>
      <c r="D517" s="1" t="s">
        <v>452</v>
      </c>
      <c r="E517" s="1" t="s">
        <v>49</v>
      </c>
      <c r="F517" s="1" t="s">
        <v>3494</v>
      </c>
      <c r="G517" s="1" t="s">
        <v>3495</v>
      </c>
      <c r="H517" s="1" t="s">
        <v>24</v>
      </c>
      <c r="I517" s="1" t="s">
        <v>25</v>
      </c>
      <c r="J517" s="1" t="s">
        <v>681</v>
      </c>
      <c r="K517" s="1" t="s">
        <v>471</v>
      </c>
      <c r="L517">
        <v>45014</v>
      </c>
      <c r="M517" s="1" t="s">
        <v>141</v>
      </c>
      <c r="N517" s="1" t="s">
        <v>3496</v>
      </c>
      <c r="O517" s="1" t="s">
        <v>30</v>
      </c>
      <c r="P517" s="1" t="s">
        <v>55</v>
      </c>
      <c r="Q517" s="1" t="s">
        <v>3497</v>
      </c>
      <c r="R517">
        <v>273.06</v>
      </c>
      <c r="S517" s="1"/>
      <c r="T517" s="1" t="str">
        <f>IF(O517="Furniture","Cardbaord",O517)</f>
        <v>Cardbaord</v>
      </c>
      <c r="U517" s="1" t="str">
        <f>IF(O517="furniture","cardbaord",IF(O517="office supplies","OS",O517))</f>
        <v>cardbaord</v>
      </c>
    </row>
    <row r="518" spans="1:21" x14ac:dyDescent="0.3">
      <c r="A518">
        <v>713</v>
      </c>
      <c r="B518" s="1" t="s">
        <v>1929</v>
      </c>
      <c r="C518" s="1" t="s">
        <v>1771</v>
      </c>
      <c r="D518" s="1" t="s">
        <v>1930</v>
      </c>
      <c r="E518" s="1" t="s">
        <v>49</v>
      </c>
      <c r="F518" s="1" t="s">
        <v>1931</v>
      </c>
      <c r="G518" s="1" t="s">
        <v>1932</v>
      </c>
      <c r="H518" s="1" t="s">
        <v>38</v>
      </c>
      <c r="I518" s="1" t="s">
        <v>25</v>
      </c>
      <c r="J518" s="1" t="s">
        <v>1933</v>
      </c>
      <c r="K518" s="1" t="s">
        <v>252</v>
      </c>
      <c r="L518">
        <v>10550</v>
      </c>
      <c r="M518" s="1" t="s">
        <v>141</v>
      </c>
      <c r="N518" s="1" t="s">
        <v>1934</v>
      </c>
      <c r="O518" s="1" t="s">
        <v>43</v>
      </c>
      <c r="P518" s="1" t="s">
        <v>95</v>
      </c>
      <c r="Q518" s="1" t="s">
        <v>1935</v>
      </c>
      <c r="R518">
        <v>281.33999999999997</v>
      </c>
      <c r="S518" s="1"/>
      <c r="T518" s="1" t="str">
        <f>IF(O518="Furniture","Cardbaord",O518)</f>
        <v>Office Supplies</v>
      </c>
      <c r="U518" s="1" t="str">
        <f>IF(O518="furniture","cardbaord",IF(O518="office supplies","OS",O518))</f>
        <v>OS</v>
      </c>
    </row>
    <row r="519" spans="1:21" x14ac:dyDescent="0.3">
      <c r="A519">
        <v>1137</v>
      </c>
      <c r="B519" s="1" t="s">
        <v>2556</v>
      </c>
      <c r="C519" s="1" t="s">
        <v>2221</v>
      </c>
      <c r="D519" s="1" t="s">
        <v>2557</v>
      </c>
      <c r="E519" s="1" t="s">
        <v>21</v>
      </c>
      <c r="F519" s="1" t="s">
        <v>2558</v>
      </c>
      <c r="G519" s="1" t="s">
        <v>2559</v>
      </c>
      <c r="H519" s="1" t="s">
        <v>38</v>
      </c>
      <c r="I519" s="1" t="s">
        <v>25</v>
      </c>
      <c r="J519" s="1" t="s">
        <v>2560</v>
      </c>
      <c r="K519" s="1" t="s">
        <v>243</v>
      </c>
      <c r="L519">
        <v>46350</v>
      </c>
      <c r="M519" s="1" t="s">
        <v>93</v>
      </c>
      <c r="N519" s="1" t="s">
        <v>2561</v>
      </c>
      <c r="O519" s="1" t="s">
        <v>43</v>
      </c>
      <c r="P519" s="1" t="s">
        <v>183</v>
      </c>
      <c r="Q519" s="1" t="s">
        <v>2562</v>
      </c>
      <c r="R519">
        <v>287.52</v>
      </c>
      <c r="S519" s="1"/>
      <c r="T519" s="1" t="str">
        <f>IF(O519="Furniture","Cardbaord",O519)</f>
        <v>Office Supplies</v>
      </c>
      <c r="U519" s="1" t="str">
        <f>IF(O519="furniture","cardbaord",IF(O519="office supplies","OS",O519))</f>
        <v>OS</v>
      </c>
    </row>
    <row r="520" spans="1:21" x14ac:dyDescent="0.3">
      <c r="A520">
        <v>327</v>
      </c>
      <c r="B520" s="1" t="s">
        <v>1057</v>
      </c>
      <c r="C520" s="1" t="s">
        <v>1058</v>
      </c>
      <c r="D520" s="1" t="s">
        <v>1059</v>
      </c>
      <c r="E520" s="1" t="s">
        <v>169</v>
      </c>
      <c r="F520" s="1" t="s">
        <v>1060</v>
      </c>
      <c r="G520" s="1" t="s">
        <v>1061</v>
      </c>
      <c r="H520" s="1" t="s">
        <v>24</v>
      </c>
      <c r="I520" s="1" t="s">
        <v>25</v>
      </c>
      <c r="J520" s="1" t="s">
        <v>139</v>
      </c>
      <c r="K520" s="1" t="s">
        <v>140</v>
      </c>
      <c r="L520">
        <v>19143</v>
      </c>
      <c r="M520" s="1" t="s">
        <v>141</v>
      </c>
      <c r="N520" s="1" t="s">
        <v>1062</v>
      </c>
      <c r="O520" s="1" t="s">
        <v>174</v>
      </c>
      <c r="P520" s="1" t="s">
        <v>175</v>
      </c>
      <c r="Q520" s="1" t="s">
        <v>1063</v>
      </c>
      <c r="R520">
        <v>290.89800000000002</v>
      </c>
      <c r="S520" s="1"/>
      <c r="T520" s="1" t="str">
        <f>IF(O520="Furniture","Cardbaord",O520)</f>
        <v>Technology</v>
      </c>
      <c r="U520" s="1" t="str">
        <f>IF(O520="furniture","cardbaord",IF(O520="office supplies","OS",O520))</f>
        <v>Technology</v>
      </c>
    </row>
    <row r="521" spans="1:21" x14ac:dyDescent="0.3">
      <c r="A521">
        <v>1996</v>
      </c>
      <c r="B521" s="1" t="s">
        <v>3267</v>
      </c>
      <c r="C521" s="1" t="s">
        <v>3199</v>
      </c>
      <c r="D521" s="1" t="s">
        <v>3268</v>
      </c>
      <c r="E521" s="1" t="s">
        <v>21</v>
      </c>
      <c r="F521" s="1" t="s">
        <v>3269</v>
      </c>
      <c r="G521" s="1" t="s">
        <v>3270</v>
      </c>
      <c r="H521" s="1" t="s">
        <v>24</v>
      </c>
      <c r="I521" s="1" t="s">
        <v>25</v>
      </c>
      <c r="J521" s="1" t="s">
        <v>164</v>
      </c>
      <c r="K521" s="1" t="s">
        <v>92</v>
      </c>
      <c r="L521">
        <v>77036</v>
      </c>
      <c r="M521" s="1" t="s">
        <v>93</v>
      </c>
      <c r="N521" s="1" t="s">
        <v>3271</v>
      </c>
      <c r="O521" s="1" t="s">
        <v>43</v>
      </c>
      <c r="P521" s="1" t="s">
        <v>95</v>
      </c>
      <c r="Q521" s="1" t="s">
        <v>3272</v>
      </c>
      <c r="R521">
        <v>294.62</v>
      </c>
      <c r="S521" s="1"/>
      <c r="T521" s="1" t="str">
        <f>IF(O521="Furniture","Cardbaord",O521)</f>
        <v>Office Supplies</v>
      </c>
      <c r="U521" s="1" t="str">
        <f>IF(O521="furniture","cardbaord",IF(O521="office supplies","OS",O521))</f>
        <v>OS</v>
      </c>
    </row>
    <row r="522" spans="1:21" x14ac:dyDescent="0.3">
      <c r="A522">
        <v>588</v>
      </c>
      <c r="B522" s="1" t="s">
        <v>1668</v>
      </c>
      <c r="C522" s="1" t="s">
        <v>1669</v>
      </c>
      <c r="D522" s="1" t="s">
        <v>1670</v>
      </c>
      <c r="E522" s="1" t="s">
        <v>49</v>
      </c>
      <c r="F522" s="1" t="s">
        <v>1671</v>
      </c>
      <c r="G522" s="1" t="s">
        <v>1672</v>
      </c>
      <c r="H522" s="1" t="s">
        <v>24</v>
      </c>
      <c r="I522" s="1" t="s">
        <v>25</v>
      </c>
      <c r="J522" s="1" t="s">
        <v>1673</v>
      </c>
      <c r="K522" s="1" t="s">
        <v>27</v>
      </c>
      <c r="L522">
        <v>40475</v>
      </c>
      <c r="M522" s="1" t="s">
        <v>28</v>
      </c>
      <c r="N522" s="1" t="s">
        <v>1674</v>
      </c>
      <c r="O522" s="1" t="s">
        <v>43</v>
      </c>
      <c r="P522" s="1" t="s">
        <v>44</v>
      </c>
      <c r="Q522" s="1" t="s">
        <v>1675</v>
      </c>
      <c r="R522">
        <v>294.93</v>
      </c>
      <c r="S522" s="1"/>
      <c r="T522" s="1" t="str">
        <f>IF(O522="Furniture","Cardbaord",O522)</f>
        <v>Office Supplies</v>
      </c>
      <c r="U522" s="1" t="str">
        <f>IF(O522="furniture","cardbaord",IF(O522="office supplies","OS",O522))</f>
        <v>OS</v>
      </c>
    </row>
    <row r="523" spans="1:21" x14ac:dyDescent="0.3">
      <c r="A523">
        <v>294</v>
      </c>
      <c r="B523" s="1" t="s">
        <v>967</v>
      </c>
      <c r="C523" s="1" t="s">
        <v>496</v>
      </c>
      <c r="D523" s="1" t="s">
        <v>497</v>
      </c>
      <c r="E523" s="1" t="s">
        <v>169</v>
      </c>
      <c r="F523" s="1" t="s">
        <v>968</v>
      </c>
      <c r="G523" s="1" t="s">
        <v>969</v>
      </c>
      <c r="H523" s="1" t="s">
        <v>38</v>
      </c>
      <c r="I523" s="1" t="s">
        <v>25</v>
      </c>
      <c r="J523" s="1" t="s">
        <v>970</v>
      </c>
      <c r="K523" s="1" t="s">
        <v>431</v>
      </c>
      <c r="L523">
        <v>80906</v>
      </c>
      <c r="M523" s="1" t="s">
        <v>41</v>
      </c>
      <c r="N523" s="1" t="s">
        <v>971</v>
      </c>
      <c r="O523" s="1" t="s">
        <v>30</v>
      </c>
      <c r="P523" s="1" t="s">
        <v>63</v>
      </c>
      <c r="Q523" s="1" t="s">
        <v>972</v>
      </c>
      <c r="R523">
        <v>300.416</v>
      </c>
      <c r="S523" s="1"/>
      <c r="T523" s="1" t="str">
        <f>IF(O523="Furniture","Cardbaord",O523)</f>
        <v>Cardbaord</v>
      </c>
      <c r="U523" s="1" t="str">
        <f>IF(O523="furniture","cardbaord",IF(O523="office supplies","OS",O523))</f>
        <v>cardbaord</v>
      </c>
    </row>
    <row r="524" spans="1:21" x14ac:dyDescent="0.3">
      <c r="A524">
        <v>623</v>
      </c>
      <c r="B524" s="1" t="s">
        <v>1758</v>
      </c>
      <c r="C524" s="1" t="s">
        <v>1759</v>
      </c>
      <c r="D524" s="1" t="s">
        <v>1190</v>
      </c>
      <c r="E524" s="1" t="s">
        <v>49</v>
      </c>
      <c r="F524" s="1" t="s">
        <v>1760</v>
      </c>
      <c r="G524" s="1" t="s">
        <v>1761</v>
      </c>
      <c r="H524" s="1" t="s">
        <v>38</v>
      </c>
      <c r="I524" s="1" t="s">
        <v>25</v>
      </c>
      <c r="J524" s="1" t="s">
        <v>1762</v>
      </c>
      <c r="K524" s="1" t="s">
        <v>225</v>
      </c>
      <c r="L524">
        <v>48126</v>
      </c>
      <c r="M524" s="1" t="s">
        <v>93</v>
      </c>
      <c r="N524" s="1" t="s">
        <v>1763</v>
      </c>
      <c r="O524" s="1" t="s">
        <v>30</v>
      </c>
      <c r="P524" s="1" t="s">
        <v>143</v>
      </c>
      <c r="Q524" s="1" t="s">
        <v>1764</v>
      </c>
      <c r="R524">
        <v>301.95999999999998</v>
      </c>
      <c r="S524" s="1"/>
      <c r="T524" s="1" t="str">
        <f>IF(O524="Furniture","Cardbaord",O524)</f>
        <v>Cardbaord</v>
      </c>
      <c r="U524" s="1" t="str">
        <f>IF(O524="furniture","cardbaord",IF(O524="office supplies","OS",O524))</f>
        <v>cardbaord</v>
      </c>
    </row>
    <row r="525" spans="1:21" x14ac:dyDescent="0.3">
      <c r="A525">
        <v>219</v>
      </c>
      <c r="B525" s="1" t="s">
        <v>788</v>
      </c>
      <c r="C525" s="1" t="s">
        <v>789</v>
      </c>
      <c r="D525" s="1" t="s">
        <v>790</v>
      </c>
      <c r="E525" s="1" t="s">
        <v>49</v>
      </c>
      <c r="F525" s="1" t="s">
        <v>791</v>
      </c>
      <c r="G525" s="1" t="s">
        <v>792</v>
      </c>
      <c r="H525" s="1" t="s">
        <v>24</v>
      </c>
      <c r="I525" s="1" t="s">
        <v>25</v>
      </c>
      <c r="J525" s="1" t="s">
        <v>39</v>
      </c>
      <c r="K525" s="1" t="s">
        <v>40</v>
      </c>
      <c r="L525">
        <v>90032</v>
      </c>
      <c r="M525" s="1" t="s">
        <v>41</v>
      </c>
      <c r="N525" s="1" t="s">
        <v>793</v>
      </c>
      <c r="O525" s="1" t="s">
        <v>174</v>
      </c>
      <c r="P525" s="1" t="s">
        <v>175</v>
      </c>
      <c r="Q525" s="1" t="s">
        <v>794</v>
      </c>
      <c r="R525">
        <v>302.37599999999998</v>
      </c>
      <c r="S525" s="1"/>
      <c r="T525" s="1" t="str">
        <f>IF(O525="Furniture","Cardbaord",O525)</f>
        <v>Technology</v>
      </c>
      <c r="U525" s="1" t="str">
        <f>IF(O525="furniture","cardbaord",IF(O525="office supplies","OS",O525))</f>
        <v>Technology</v>
      </c>
    </row>
    <row r="526" spans="1:21" x14ac:dyDescent="0.3">
      <c r="A526">
        <v>1715</v>
      </c>
      <c r="B526" s="1" t="s">
        <v>3072</v>
      </c>
      <c r="C526" s="1" t="s">
        <v>3073</v>
      </c>
      <c r="D526" s="1" t="s">
        <v>941</v>
      </c>
      <c r="E526" s="1" t="s">
        <v>49</v>
      </c>
      <c r="F526" s="1" t="s">
        <v>3074</v>
      </c>
      <c r="G526" s="1" t="s">
        <v>3075</v>
      </c>
      <c r="H526" s="1" t="s">
        <v>24</v>
      </c>
      <c r="I526" s="1" t="s">
        <v>25</v>
      </c>
      <c r="J526" s="1" t="s">
        <v>121</v>
      </c>
      <c r="K526" s="1" t="s">
        <v>40</v>
      </c>
      <c r="L526">
        <v>94110</v>
      </c>
      <c r="M526" s="1" t="s">
        <v>41</v>
      </c>
      <c r="N526" s="1" t="s">
        <v>3076</v>
      </c>
      <c r="O526" s="1" t="s">
        <v>30</v>
      </c>
      <c r="P526" s="1" t="s">
        <v>31</v>
      </c>
      <c r="Q526" s="1" t="s">
        <v>3077</v>
      </c>
      <c r="R526">
        <v>307.666</v>
      </c>
      <c r="S526" s="1"/>
      <c r="T526" s="1" t="str">
        <f>IF(O526="Furniture","Cardbaord",O526)</f>
        <v>Cardbaord</v>
      </c>
      <c r="U526" s="1" t="str">
        <f>IF(O526="furniture","cardbaord",IF(O526="office supplies","OS",O526))</f>
        <v>cardbaord</v>
      </c>
    </row>
    <row r="527" spans="1:21" x14ac:dyDescent="0.3">
      <c r="A527">
        <v>769</v>
      </c>
      <c r="B527" s="1" t="s">
        <v>2022</v>
      </c>
      <c r="C527" s="1" t="s">
        <v>2023</v>
      </c>
      <c r="D527" s="1" t="s">
        <v>2024</v>
      </c>
      <c r="E527" s="1" t="s">
        <v>49</v>
      </c>
      <c r="F527" s="1" t="s">
        <v>2025</v>
      </c>
      <c r="G527" s="1" t="s">
        <v>2026</v>
      </c>
      <c r="H527" s="1" t="s">
        <v>38</v>
      </c>
      <c r="I527" s="1" t="s">
        <v>25</v>
      </c>
      <c r="J527" s="1" t="s">
        <v>1019</v>
      </c>
      <c r="K527" s="1" t="s">
        <v>53</v>
      </c>
      <c r="L527">
        <v>33710</v>
      </c>
      <c r="M527" s="1" t="s">
        <v>28</v>
      </c>
      <c r="N527" s="1" t="s">
        <v>2027</v>
      </c>
      <c r="O527" s="1" t="s">
        <v>30</v>
      </c>
      <c r="P527" s="1" t="s">
        <v>63</v>
      </c>
      <c r="Q527" s="1" t="s">
        <v>2028</v>
      </c>
      <c r="R527">
        <v>310.88</v>
      </c>
      <c r="S527" s="1"/>
      <c r="T527" s="1" t="str">
        <f>IF(O527="Furniture","Cardbaord",O527)</f>
        <v>Cardbaord</v>
      </c>
      <c r="U527" s="1" t="str">
        <f>IF(O527="furniture","cardbaord",IF(O527="office supplies","OS",O527))</f>
        <v>cardbaord</v>
      </c>
    </row>
    <row r="528" spans="1:21" x14ac:dyDescent="0.3">
      <c r="A528">
        <v>651</v>
      </c>
      <c r="B528" s="1" t="s">
        <v>1817</v>
      </c>
      <c r="C528" s="1" t="s">
        <v>247</v>
      </c>
      <c r="D528" s="1" t="s">
        <v>1818</v>
      </c>
      <c r="E528" s="1" t="s">
        <v>21</v>
      </c>
      <c r="F528" s="1" t="s">
        <v>1819</v>
      </c>
      <c r="G528" s="1" t="s">
        <v>1820</v>
      </c>
      <c r="H528" s="1" t="s">
        <v>38</v>
      </c>
      <c r="I528" s="1" t="s">
        <v>25</v>
      </c>
      <c r="J528" s="1" t="s">
        <v>1821</v>
      </c>
      <c r="K528" s="1" t="s">
        <v>81</v>
      </c>
      <c r="L528">
        <v>98661</v>
      </c>
      <c r="M528" s="1" t="s">
        <v>41</v>
      </c>
      <c r="N528" s="1" t="s">
        <v>1822</v>
      </c>
      <c r="O528" s="1" t="s">
        <v>174</v>
      </c>
      <c r="P528" s="1" t="s">
        <v>217</v>
      </c>
      <c r="Q528" s="1" t="s">
        <v>1823</v>
      </c>
      <c r="R528">
        <v>316</v>
      </c>
      <c r="S528" s="1"/>
      <c r="T528" s="1" t="str">
        <f>IF(O528="Furniture","Cardbaord",O528)</f>
        <v>Technology</v>
      </c>
      <c r="U528" s="1" t="str">
        <f>IF(O528="furniture","cardbaord",IF(O528="office supplies","OS",O528))</f>
        <v>Technology</v>
      </c>
    </row>
    <row r="529" spans="1:21" x14ac:dyDescent="0.3">
      <c r="A529">
        <v>6575</v>
      </c>
      <c r="B529" s="1" t="s">
        <v>4233</v>
      </c>
      <c r="C529" s="1" t="s">
        <v>2870</v>
      </c>
      <c r="D529" s="1" t="s">
        <v>4234</v>
      </c>
      <c r="E529" s="1" t="s">
        <v>49</v>
      </c>
      <c r="F529" s="1" t="s">
        <v>4235</v>
      </c>
      <c r="G529" s="1" t="s">
        <v>4236</v>
      </c>
      <c r="H529" s="1" t="s">
        <v>38</v>
      </c>
      <c r="I529" s="1" t="s">
        <v>25</v>
      </c>
      <c r="J529" s="1" t="s">
        <v>4237</v>
      </c>
      <c r="K529" s="1" t="s">
        <v>718</v>
      </c>
      <c r="L529">
        <v>7060</v>
      </c>
      <c r="M529" s="1" t="s">
        <v>141</v>
      </c>
      <c r="N529" s="1" t="s">
        <v>4238</v>
      </c>
      <c r="O529" s="1" t="s">
        <v>174</v>
      </c>
      <c r="P529" s="1" t="s">
        <v>888</v>
      </c>
      <c r="Q529" s="1" t="s">
        <v>4239</v>
      </c>
      <c r="R529">
        <v>319.92</v>
      </c>
      <c r="S529" s="1"/>
      <c r="T529" s="1" t="str">
        <f>IF(O529="Furniture","Cardbaord",O529)</f>
        <v>Technology</v>
      </c>
      <c r="U529" s="1" t="str">
        <f>IF(O529="furniture","cardbaord",IF(O529="office supplies","OS",O529))</f>
        <v>Technology</v>
      </c>
    </row>
    <row r="530" spans="1:21" x14ac:dyDescent="0.3">
      <c r="A530">
        <v>250</v>
      </c>
      <c r="B530" s="1" t="s">
        <v>845</v>
      </c>
      <c r="C530" s="1" t="s">
        <v>77</v>
      </c>
      <c r="D530" s="1" t="s">
        <v>846</v>
      </c>
      <c r="E530" s="1" t="s">
        <v>21</v>
      </c>
      <c r="F530" s="1" t="s">
        <v>847</v>
      </c>
      <c r="G530" s="1" t="s">
        <v>848</v>
      </c>
      <c r="H530" s="1" t="s">
        <v>24</v>
      </c>
      <c r="I530" s="1" t="s">
        <v>25</v>
      </c>
      <c r="J530" s="1" t="s">
        <v>121</v>
      </c>
      <c r="K530" s="1" t="s">
        <v>40</v>
      </c>
      <c r="L530">
        <v>94109</v>
      </c>
      <c r="M530" s="1" t="s">
        <v>41</v>
      </c>
      <c r="N530" s="1" t="s">
        <v>849</v>
      </c>
      <c r="O530" s="1" t="s">
        <v>30</v>
      </c>
      <c r="P530" s="1" t="s">
        <v>143</v>
      </c>
      <c r="Q530" s="1" t="s">
        <v>850</v>
      </c>
      <c r="R530">
        <v>321.56799999999998</v>
      </c>
      <c r="S530" s="1"/>
      <c r="T530" s="1" t="str">
        <f>IF(O530="Furniture","Cardbaord",O530)</f>
        <v>Cardbaord</v>
      </c>
      <c r="U530" s="1" t="str">
        <f>IF(O530="furniture","cardbaord",IF(O530="office supplies","OS",O530))</f>
        <v>cardbaord</v>
      </c>
    </row>
    <row r="531" spans="1:21" x14ac:dyDescent="0.3">
      <c r="A531">
        <v>4543</v>
      </c>
      <c r="B531" s="1" t="s">
        <v>4073</v>
      </c>
      <c r="C531" s="1" t="s">
        <v>4074</v>
      </c>
      <c r="D531" s="1" t="s">
        <v>2760</v>
      </c>
      <c r="E531" s="1" t="s">
        <v>169</v>
      </c>
      <c r="F531" s="1" t="s">
        <v>4075</v>
      </c>
      <c r="G531" s="1" t="s">
        <v>4076</v>
      </c>
      <c r="H531" s="1" t="s">
        <v>24</v>
      </c>
      <c r="I531" s="1" t="s">
        <v>25</v>
      </c>
      <c r="J531" s="1" t="s">
        <v>3549</v>
      </c>
      <c r="K531" s="1" t="s">
        <v>595</v>
      </c>
      <c r="L531">
        <v>73120</v>
      </c>
      <c r="M531" s="1" t="s">
        <v>93</v>
      </c>
      <c r="N531" s="1" t="s">
        <v>4077</v>
      </c>
      <c r="O531" s="1" t="s">
        <v>43</v>
      </c>
      <c r="P531" s="1" t="s">
        <v>183</v>
      </c>
      <c r="Q531" s="1" t="s">
        <v>4078</v>
      </c>
      <c r="R531">
        <v>325.86</v>
      </c>
      <c r="S531" s="1"/>
      <c r="T531" s="1" t="str">
        <f>IF(O531="Furniture","Cardbaord",O531)</f>
        <v>Office Supplies</v>
      </c>
      <c r="U531" s="1" t="str">
        <f>IF(O531="furniture","cardbaord",IF(O531="office supplies","OS",O531))</f>
        <v>OS</v>
      </c>
    </row>
    <row r="532" spans="1:21" x14ac:dyDescent="0.3">
      <c r="A532">
        <v>265</v>
      </c>
      <c r="B532" s="1" t="s">
        <v>890</v>
      </c>
      <c r="C532" s="1" t="s">
        <v>290</v>
      </c>
      <c r="D532" s="1" t="s">
        <v>891</v>
      </c>
      <c r="E532" s="1" t="s">
        <v>49</v>
      </c>
      <c r="F532" s="1" t="s">
        <v>892</v>
      </c>
      <c r="G532" s="1" t="s">
        <v>893</v>
      </c>
      <c r="H532" s="1" t="s">
        <v>24</v>
      </c>
      <c r="I532" s="1" t="s">
        <v>25</v>
      </c>
      <c r="J532" s="1" t="s">
        <v>276</v>
      </c>
      <c r="K532" s="1" t="s">
        <v>191</v>
      </c>
      <c r="L532">
        <v>60610</v>
      </c>
      <c r="M532" s="1" t="s">
        <v>93</v>
      </c>
      <c r="N532" s="1" t="s">
        <v>894</v>
      </c>
      <c r="O532" s="1" t="s">
        <v>174</v>
      </c>
      <c r="P532" s="1" t="s">
        <v>175</v>
      </c>
      <c r="Q532" s="1" t="s">
        <v>895</v>
      </c>
      <c r="R532">
        <v>328.22399999999999</v>
      </c>
      <c r="S532" s="1"/>
      <c r="T532" s="1" t="str">
        <f>IF(O532="Furniture","Cardbaord",O532)</f>
        <v>Technology</v>
      </c>
      <c r="U532" s="1" t="str">
        <f>IF(O532="furniture","cardbaord",IF(O532="office supplies","OS",O532))</f>
        <v>Technology</v>
      </c>
    </row>
    <row r="533" spans="1:21" x14ac:dyDescent="0.3">
      <c r="A533">
        <v>642</v>
      </c>
      <c r="B533" s="1" t="s">
        <v>1803</v>
      </c>
      <c r="C533" s="1" t="s">
        <v>1804</v>
      </c>
      <c r="D533" s="1" t="s">
        <v>1805</v>
      </c>
      <c r="E533" s="1" t="s">
        <v>21</v>
      </c>
      <c r="F533" s="1" t="s">
        <v>1806</v>
      </c>
      <c r="G533" s="1" t="s">
        <v>1807</v>
      </c>
      <c r="H533" s="1" t="s">
        <v>24</v>
      </c>
      <c r="I533" s="1" t="s">
        <v>25</v>
      </c>
      <c r="J533" s="1" t="s">
        <v>1808</v>
      </c>
      <c r="K533" s="1" t="s">
        <v>40</v>
      </c>
      <c r="L533">
        <v>92691</v>
      </c>
      <c r="M533" s="1" t="s">
        <v>41</v>
      </c>
      <c r="N533" s="1" t="s">
        <v>1809</v>
      </c>
      <c r="O533" s="1" t="s">
        <v>43</v>
      </c>
      <c r="P533" s="1" t="s">
        <v>105</v>
      </c>
      <c r="Q533" s="1" t="s">
        <v>1810</v>
      </c>
      <c r="R533">
        <v>330.4</v>
      </c>
      <c r="S533" s="1"/>
      <c r="T533" s="1" t="str">
        <f>IF(O533="Furniture","Cardbaord",O533)</f>
        <v>Office Supplies</v>
      </c>
      <c r="U533" s="1" t="str">
        <f>IF(O533="furniture","cardbaord",IF(O533="office supplies","OS",O533))</f>
        <v>OS</v>
      </c>
    </row>
    <row r="534" spans="1:21" x14ac:dyDescent="0.3">
      <c r="A534">
        <v>3796</v>
      </c>
      <c r="B534" s="1" t="s">
        <v>3852</v>
      </c>
      <c r="C534" s="1" t="s">
        <v>3853</v>
      </c>
      <c r="D534" s="1" t="s">
        <v>3061</v>
      </c>
      <c r="E534" s="1" t="s">
        <v>49</v>
      </c>
      <c r="F534" s="1" t="s">
        <v>3854</v>
      </c>
      <c r="G534" s="1" t="s">
        <v>3855</v>
      </c>
      <c r="H534" s="1" t="s">
        <v>24</v>
      </c>
      <c r="I534" s="1" t="s">
        <v>25</v>
      </c>
      <c r="J534" s="1" t="s">
        <v>854</v>
      </c>
      <c r="K534" s="1" t="s">
        <v>40</v>
      </c>
      <c r="L534">
        <v>92037</v>
      </c>
      <c r="M534" s="1" t="s">
        <v>41</v>
      </c>
      <c r="N534" s="1" t="s">
        <v>3856</v>
      </c>
      <c r="O534" s="1" t="s">
        <v>30</v>
      </c>
      <c r="P534" s="1" t="s">
        <v>55</v>
      </c>
      <c r="Q534" s="1" t="s">
        <v>3857</v>
      </c>
      <c r="R534">
        <v>333</v>
      </c>
      <c r="S534" s="1"/>
      <c r="T534" s="1" t="str">
        <f>IF(O534="Furniture","Cardbaord",O534)</f>
        <v>Cardbaord</v>
      </c>
      <c r="U534" s="1" t="str">
        <f>IF(O534="furniture","cardbaord",IF(O534="office supplies","OS",O534))</f>
        <v>cardbaord</v>
      </c>
    </row>
    <row r="535" spans="1:21" x14ac:dyDescent="0.3">
      <c r="A535">
        <v>4478</v>
      </c>
      <c r="B535" s="1" t="s">
        <v>4054</v>
      </c>
      <c r="C535" s="1" t="s">
        <v>3581</v>
      </c>
      <c r="D535" s="1" t="s">
        <v>3581</v>
      </c>
      <c r="E535" s="1" t="s">
        <v>1124</v>
      </c>
      <c r="F535" s="1" t="s">
        <v>4055</v>
      </c>
      <c r="G535" s="1" t="s">
        <v>4056</v>
      </c>
      <c r="H535" s="1" t="s">
        <v>24</v>
      </c>
      <c r="I535" s="1" t="s">
        <v>25</v>
      </c>
      <c r="J535" s="1" t="s">
        <v>4057</v>
      </c>
      <c r="K535" s="1" t="s">
        <v>595</v>
      </c>
      <c r="L535">
        <v>73505</v>
      </c>
      <c r="M535" s="1" t="s">
        <v>93</v>
      </c>
      <c r="N535" s="1" t="s">
        <v>4058</v>
      </c>
      <c r="O535" s="1" t="s">
        <v>43</v>
      </c>
      <c r="P535" s="1" t="s">
        <v>105</v>
      </c>
      <c r="Q535" s="1" t="s">
        <v>4059</v>
      </c>
      <c r="R535">
        <v>333.09</v>
      </c>
      <c r="S535" s="1"/>
      <c r="T535" s="1" t="str">
        <f>IF(O535="Furniture","Cardbaord",O535)</f>
        <v>Office Supplies</v>
      </c>
      <c r="U535" s="1" t="str">
        <f>IF(O535="furniture","cardbaord",IF(O535="office supplies","OS",O535))</f>
        <v>OS</v>
      </c>
    </row>
    <row r="536" spans="1:21" x14ac:dyDescent="0.3">
      <c r="A536">
        <v>1414</v>
      </c>
      <c r="B536" s="1" t="s">
        <v>2811</v>
      </c>
      <c r="C536" s="1" t="s">
        <v>2812</v>
      </c>
      <c r="D536" s="1" t="s">
        <v>1869</v>
      </c>
      <c r="E536" s="1" t="s">
        <v>49</v>
      </c>
      <c r="F536" s="1" t="s">
        <v>2813</v>
      </c>
      <c r="G536" s="1" t="s">
        <v>2814</v>
      </c>
      <c r="H536" s="1" t="s">
        <v>24</v>
      </c>
      <c r="I536" s="1" t="s">
        <v>25</v>
      </c>
      <c r="J536" s="1" t="s">
        <v>251</v>
      </c>
      <c r="K536" s="1" t="s">
        <v>252</v>
      </c>
      <c r="L536">
        <v>10024</v>
      </c>
      <c r="M536" s="1" t="s">
        <v>141</v>
      </c>
      <c r="N536" s="1" t="s">
        <v>2815</v>
      </c>
      <c r="O536" s="1" t="s">
        <v>43</v>
      </c>
      <c r="P536" s="1" t="s">
        <v>83</v>
      </c>
      <c r="Q536" s="1" t="s">
        <v>2816</v>
      </c>
      <c r="R536">
        <v>334.76799999999997</v>
      </c>
      <c r="S536" s="1"/>
      <c r="T536" s="1" t="str">
        <f>IF(O536="Furniture","Cardbaord",O536)</f>
        <v>Office Supplies</v>
      </c>
      <c r="U536" s="1" t="str">
        <f>IF(O536="furniture","cardbaord",IF(O536="office supplies","OS",O536))</f>
        <v>OS</v>
      </c>
    </row>
    <row r="537" spans="1:21" x14ac:dyDescent="0.3">
      <c r="A537">
        <v>110</v>
      </c>
      <c r="B537" s="1" t="s">
        <v>442</v>
      </c>
      <c r="C537" s="1" t="s">
        <v>443</v>
      </c>
      <c r="D537" s="1" t="s">
        <v>444</v>
      </c>
      <c r="E537" s="1" t="s">
        <v>49</v>
      </c>
      <c r="F537" s="1" t="s">
        <v>445</v>
      </c>
      <c r="G537" s="1" t="s">
        <v>446</v>
      </c>
      <c r="H537" s="1" t="s">
        <v>90</v>
      </c>
      <c r="I537" s="1" t="s">
        <v>25</v>
      </c>
      <c r="J537" s="1" t="s">
        <v>447</v>
      </c>
      <c r="K537" s="1" t="s">
        <v>191</v>
      </c>
      <c r="L537">
        <v>60462</v>
      </c>
      <c r="M537" s="1" t="s">
        <v>93</v>
      </c>
      <c r="N537" s="1" t="s">
        <v>448</v>
      </c>
      <c r="O537" s="1" t="s">
        <v>174</v>
      </c>
      <c r="P537" s="1" t="s">
        <v>217</v>
      </c>
      <c r="Q537" s="1" t="s">
        <v>449</v>
      </c>
      <c r="R537">
        <v>339.96</v>
      </c>
      <c r="S537" s="1"/>
      <c r="T537" s="1" t="str">
        <f>IF(O537="Furniture","Cardbaord",O537)</f>
        <v>Technology</v>
      </c>
      <c r="U537" s="1" t="str">
        <f>IF(O537="furniture","cardbaord",IF(O537="office supplies","OS",O537))</f>
        <v>Technology</v>
      </c>
    </row>
    <row r="538" spans="1:21" x14ac:dyDescent="0.3">
      <c r="A538">
        <v>472</v>
      </c>
      <c r="B538" s="1" t="s">
        <v>1390</v>
      </c>
      <c r="C538" s="1" t="s">
        <v>1030</v>
      </c>
      <c r="D538" s="1" t="s">
        <v>98</v>
      </c>
      <c r="E538" s="1" t="s">
        <v>21</v>
      </c>
      <c r="F538" s="1" t="s">
        <v>1391</v>
      </c>
      <c r="G538" s="1" t="s">
        <v>1392</v>
      </c>
      <c r="H538" s="1" t="s">
        <v>24</v>
      </c>
      <c r="I538" s="1" t="s">
        <v>25</v>
      </c>
      <c r="J538" s="1" t="s">
        <v>121</v>
      </c>
      <c r="K538" s="1" t="s">
        <v>40</v>
      </c>
      <c r="L538">
        <v>94110</v>
      </c>
      <c r="M538" s="1" t="s">
        <v>41</v>
      </c>
      <c r="N538" s="1" t="s">
        <v>1393</v>
      </c>
      <c r="O538" s="1" t="s">
        <v>43</v>
      </c>
      <c r="P538" s="1" t="s">
        <v>105</v>
      </c>
      <c r="Q538" s="1" t="s">
        <v>1394</v>
      </c>
      <c r="R538">
        <v>340.92</v>
      </c>
      <c r="S538" s="1"/>
      <c r="T538" s="1" t="str">
        <f>IF(O538="Furniture","Cardbaord",O538)</f>
        <v>Office Supplies</v>
      </c>
      <c r="U538" s="1" t="str">
        <f>IF(O538="furniture","cardbaord",IF(O538="office supplies","OS",O538))</f>
        <v>OS</v>
      </c>
    </row>
    <row r="539" spans="1:21" x14ac:dyDescent="0.3">
      <c r="A539">
        <v>4002</v>
      </c>
      <c r="B539" s="1" t="s">
        <v>3946</v>
      </c>
      <c r="C539" s="1" t="s">
        <v>3947</v>
      </c>
      <c r="D539" s="1" t="s">
        <v>330</v>
      </c>
      <c r="E539" s="1" t="s">
        <v>49</v>
      </c>
      <c r="F539" s="1" t="s">
        <v>3948</v>
      </c>
      <c r="G539" s="1" t="s">
        <v>3949</v>
      </c>
      <c r="H539" s="1" t="s">
        <v>90</v>
      </c>
      <c r="I539" s="1" t="s">
        <v>25</v>
      </c>
      <c r="J539" s="1" t="s">
        <v>80</v>
      </c>
      <c r="K539" s="1" t="s">
        <v>81</v>
      </c>
      <c r="L539">
        <v>98115</v>
      </c>
      <c r="M539" s="1" t="s">
        <v>41</v>
      </c>
      <c r="N539" s="1" t="s">
        <v>3950</v>
      </c>
      <c r="O539" s="1" t="s">
        <v>174</v>
      </c>
      <c r="P539" s="1" t="s">
        <v>217</v>
      </c>
      <c r="Q539" s="1" t="s">
        <v>3951</v>
      </c>
      <c r="R539">
        <v>345</v>
      </c>
      <c r="S539" s="1"/>
      <c r="T539" s="1" t="str">
        <f>IF(O539="Furniture","Cardbaord",O539)</f>
        <v>Technology</v>
      </c>
      <c r="U539" s="1" t="str">
        <f>IF(O539="furniture","cardbaord",IF(O539="office supplies","OS",O539))</f>
        <v>Technology</v>
      </c>
    </row>
    <row r="540" spans="1:21" x14ac:dyDescent="0.3">
      <c r="A540">
        <v>1096</v>
      </c>
      <c r="B540" s="1" t="s">
        <v>2527</v>
      </c>
      <c r="C540" s="1" t="s">
        <v>1974</v>
      </c>
      <c r="D540" s="1" t="s">
        <v>2528</v>
      </c>
      <c r="E540" s="1" t="s">
        <v>49</v>
      </c>
      <c r="F540" s="1" t="s">
        <v>2529</v>
      </c>
      <c r="G540" s="1" t="s">
        <v>2530</v>
      </c>
      <c r="H540" s="1" t="s">
        <v>90</v>
      </c>
      <c r="I540" s="1" t="s">
        <v>25</v>
      </c>
      <c r="J540" s="1" t="s">
        <v>439</v>
      </c>
      <c r="K540" s="1" t="s">
        <v>71</v>
      </c>
      <c r="L540">
        <v>28205</v>
      </c>
      <c r="M540" s="1" t="s">
        <v>28</v>
      </c>
      <c r="N540" s="1" t="s">
        <v>2531</v>
      </c>
      <c r="O540" s="1" t="s">
        <v>43</v>
      </c>
      <c r="P540" s="1" t="s">
        <v>105</v>
      </c>
      <c r="Q540" s="1" t="s">
        <v>2532</v>
      </c>
      <c r="R540">
        <v>348.20800000000003</v>
      </c>
      <c r="S540" s="1"/>
      <c r="T540" s="1" t="str">
        <f>IF(O540="Furniture","Cardbaord",O540)</f>
        <v>Office Supplies</v>
      </c>
      <c r="U540" s="1" t="str">
        <f>IF(O540="furniture","cardbaord",IF(O540="office supplies","OS",O540))</f>
        <v>OS</v>
      </c>
    </row>
    <row r="541" spans="1:21" x14ac:dyDescent="0.3">
      <c r="A541">
        <v>1384</v>
      </c>
      <c r="B541" s="1" t="s">
        <v>2804</v>
      </c>
      <c r="C541" s="1" t="s">
        <v>2805</v>
      </c>
      <c r="D541" s="1" t="s">
        <v>2805</v>
      </c>
      <c r="E541" s="1" t="s">
        <v>1124</v>
      </c>
      <c r="F541" s="1" t="s">
        <v>2806</v>
      </c>
      <c r="G541" s="1" t="s">
        <v>2807</v>
      </c>
      <c r="H541" s="1" t="s">
        <v>90</v>
      </c>
      <c r="I541" s="1" t="s">
        <v>25</v>
      </c>
      <c r="J541" s="1" t="s">
        <v>2808</v>
      </c>
      <c r="K541" s="1" t="s">
        <v>1112</v>
      </c>
      <c r="L541">
        <v>30080</v>
      </c>
      <c r="M541" s="1" t="s">
        <v>28</v>
      </c>
      <c r="N541" s="1" t="s">
        <v>2809</v>
      </c>
      <c r="O541" s="1" t="s">
        <v>43</v>
      </c>
      <c r="P541" s="1" t="s">
        <v>73</v>
      </c>
      <c r="Q541" s="1" t="s">
        <v>2810</v>
      </c>
      <c r="R541">
        <v>348.84</v>
      </c>
      <c r="S541" s="1"/>
      <c r="T541" s="1" t="str">
        <f>IF(O541="Furniture","Cardbaord",O541)</f>
        <v>Office Supplies</v>
      </c>
      <c r="U541" s="1" t="str">
        <f>IF(O541="furniture","cardbaord",IF(O541="office supplies","OS",O541))</f>
        <v>OS</v>
      </c>
    </row>
    <row r="542" spans="1:21" x14ac:dyDescent="0.3">
      <c r="A542">
        <v>788</v>
      </c>
      <c r="B542" s="1" t="s">
        <v>2049</v>
      </c>
      <c r="C542" s="1" t="s">
        <v>2050</v>
      </c>
      <c r="D542" s="1" t="s">
        <v>2051</v>
      </c>
      <c r="E542" s="1" t="s">
        <v>49</v>
      </c>
      <c r="F542" s="1" t="s">
        <v>2052</v>
      </c>
      <c r="G542" s="1" t="s">
        <v>2053</v>
      </c>
      <c r="H542" s="1" t="s">
        <v>24</v>
      </c>
      <c r="I542" s="1" t="s">
        <v>25</v>
      </c>
      <c r="J542" s="1" t="s">
        <v>2054</v>
      </c>
      <c r="K542" s="1" t="s">
        <v>40</v>
      </c>
      <c r="L542">
        <v>93534</v>
      </c>
      <c r="M542" s="1" t="s">
        <v>41</v>
      </c>
      <c r="N542" s="1" t="s">
        <v>2055</v>
      </c>
      <c r="O542" s="1" t="s">
        <v>30</v>
      </c>
      <c r="P542" s="1" t="s">
        <v>143</v>
      </c>
      <c r="Q542" s="1" t="s">
        <v>2056</v>
      </c>
      <c r="R542">
        <v>348.928</v>
      </c>
      <c r="S542" s="1"/>
      <c r="T542" s="1" t="str">
        <f>IF(O542="Furniture","Cardbaord",O542)</f>
        <v>Cardbaord</v>
      </c>
      <c r="U542" s="1" t="str">
        <f>IF(O542="furniture","cardbaord",IF(O542="office supplies","OS",O542))</f>
        <v>cardbaord</v>
      </c>
    </row>
    <row r="543" spans="1:21" x14ac:dyDescent="0.3">
      <c r="A543">
        <v>3911</v>
      </c>
      <c r="B543" s="1" t="s">
        <v>3898</v>
      </c>
      <c r="C543" s="1" t="s">
        <v>482</v>
      </c>
      <c r="D543" s="1" t="s">
        <v>483</v>
      </c>
      <c r="E543" s="1" t="s">
        <v>49</v>
      </c>
      <c r="F543" s="1" t="s">
        <v>3899</v>
      </c>
      <c r="G543" s="1" t="s">
        <v>3900</v>
      </c>
      <c r="H543" s="1" t="s">
        <v>90</v>
      </c>
      <c r="I543" s="1" t="s">
        <v>25</v>
      </c>
      <c r="J543" s="1" t="s">
        <v>139</v>
      </c>
      <c r="K543" s="1" t="s">
        <v>140</v>
      </c>
      <c r="L543">
        <v>19143</v>
      </c>
      <c r="M543" s="1" t="s">
        <v>141</v>
      </c>
      <c r="N543" s="1" t="s">
        <v>3901</v>
      </c>
      <c r="O543" s="1" t="s">
        <v>30</v>
      </c>
      <c r="P543" s="1" t="s">
        <v>31</v>
      </c>
      <c r="Q543" s="1" t="s">
        <v>3902</v>
      </c>
      <c r="R543">
        <v>352.45</v>
      </c>
      <c r="S543" s="1"/>
      <c r="T543" s="1" t="str">
        <f>IF(O543="Furniture","Cardbaord",O543)</f>
        <v>Cardbaord</v>
      </c>
      <c r="U543" s="1" t="str">
        <f>IF(O543="furniture","cardbaord",IF(O543="office supplies","OS",O543))</f>
        <v>cardbaord</v>
      </c>
    </row>
    <row r="544" spans="1:21" x14ac:dyDescent="0.3">
      <c r="A544">
        <v>1595</v>
      </c>
      <c r="B544" s="1" t="s">
        <v>2977</v>
      </c>
      <c r="C544" s="1" t="s">
        <v>2978</v>
      </c>
      <c r="D544" s="1" t="s">
        <v>2979</v>
      </c>
      <c r="E544" s="1" t="s">
        <v>169</v>
      </c>
      <c r="F544" s="1" t="s">
        <v>2980</v>
      </c>
      <c r="G544" s="1" t="s">
        <v>2981</v>
      </c>
      <c r="H544" s="1" t="s">
        <v>90</v>
      </c>
      <c r="I544" s="1" t="s">
        <v>25</v>
      </c>
      <c r="J544" s="1" t="s">
        <v>1220</v>
      </c>
      <c r="K544" s="1" t="s">
        <v>191</v>
      </c>
      <c r="L544">
        <v>61604</v>
      </c>
      <c r="M544" s="1" t="s">
        <v>93</v>
      </c>
      <c r="N544" s="1" t="s">
        <v>2982</v>
      </c>
      <c r="O544" s="1" t="s">
        <v>30</v>
      </c>
      <c r="P544" s="1" t="s">
        <v>31</v>
      </c>
      <c r="Q544" s="1" t="s">
        <v>2983</v>
      </c>
      <c r="R544">
        <v>359.05799999999999</v>
      </c>
      <c r="S544" s="1"/>
      <c r="T544" s="1" t="str">
        <f>IF(O544="Furniture","Cardbaord",O544)</f>
        <v>Cardbaord</v>
      </c>
      <c r="U544" s="1" t="str">
        <f>IF(O544="furniture","cardbaord",IF(O544="office supplies","OS",O544))</f>
        <v>cardbaord</v>
      </c>
    </row>
    <row r="545" spans="1:21" x14ac:dyDescent="0.3">
      <c r="A545">
        <v>2409</v>
      </c>
      <c r="B545" s="1" t="s">
        <v>3482</v>
      </c>
      <c r="C545" s="1" t="s">
        <v>3036</v>
      </c>
      <c r="D545" s="1" t="s">
        <v>1975</v>
      </c>
      <c r="E545" s="1" t="s">
        <v>49</v>
      </c>
      <c r="F545" s="1" t="s">
        <v>3483</v>
      </c>
      <c r="G545" s="1" t="s">
        <v>3484</v>
      </c>
      <c r="H545" s="1" t="s">
        <v>24</v>
      </c>
      <c r="I545" s="1" t="s">
        <v>25</v>
      </c>
      <c r="J545" s="1" t="s">
        <v>121</v>
      </c>
      <c r="K545" s="1" t="s">
        <v>40</v>
      </c>
      <c r="L545">
        <v>94122</v>
      </c>
      <c r="M545" s="1" t="s">
        <v>41</v>
      </c>
      <c r="N545" s="1" t="s">
        <v>3485</v>
      </c>
      <c r="O545" s="1" t="s">
        <v>174</v>
      </c>
      <c r="P545" s="1" t="s">
        <v>175</v>
      </c>
      <c r="Q545" s="1" t="s">
        <v>3486</v>
      </c>
      <c r="R545">
        <v>359.976</v>
      </c>
      <c r="S545" s="1"/>
      <c r="T545" s="1" t="str">
        <f>IF(O545="Furniture","Cardbaord",O545)</f>
        <v>Technology</v>
      </c>
      <c r="U545" s="1" t="str">
        <f>IF(O545="furniture","cardbaord",IF(O545="office supplies","OS",O545))</f>
        <v>Technology</v>
      </c>
    </row>
    <row r="546" spans="1:21" x14ac:dyDescent="0.3">
      <c r="A546">
        <v>2433</v>
      </c>
      <c r="B546" s="1" t="s">
        <v>3498</v>
      </c>
      <c r="C546" s="1" t="s">
        <v>708</v>
      </c>
      <c r="D546" s="1" t="s">
        <v>3499</v>
      </c>
      <c r="E546" s="1" t="s">
        <v>49</v>
      </c>
      <c r="F546" s="1" t="s">
        <v>3500</v>
      </c>
      <c r="G546" s="1" t="s">
        <v>3501</v>
      </c>
      <c r="H546" s="1" t="s">
        <v>24</v>
      </c>
      <c r="I546" s="1" t="s">
        <v>25</v>
      </c>
      <c r="J546" s="1" t="s">
        <v>251</v>
      </c>
      <c r="K546" s="1" t="s">
        <v>252</v>
      </c>
      <c r="L546">
        <v>10009</v>
      </c>
      <c r="M546" s="1" t="s">
        <v>141</v>
      </c>
      <c r="N546" s="1" t="s">
        <v>3502</v>
      </c>
      <c r="O546" s="1" t="s">
        <v>30</v>
      </c>
      <c r="P546" s="1" t="s">
        <v>143</v>
      </c>
      <c r="Q546" s="1" t="s">
        <v>3503</v>
      </c>
      <c r="R546">
        <v>366.786</v>
      </c>
      <c r="S546" s="1"/>
      <c r="T546" s="1" t="str">
        <f>IF(O546="Furniture","Cardbaord",O546)</f>
        <v>Cardbaord</v>
      </c>
      <c r="U546" s="1" t="str">
        <f>IF(O546="furniture","cardbaord",IF(O546="office supplies","OS",O546))</f>
        <v>cardbaord</v>
      </c>
    </row>
    <row r="547" spans="1:21" x14ac:dyDescent="0.3">
      <c r="A547">
        <v>704</v>
      </c>
      <c r="B547" s="1" t="s">
        <v>1903</v>
      </c>
      <c r="C547" s="1" t="s">
        <v>1904</v>
      </c>
      <c r="D547" s="1" t="s">
        <v>1905</v>
      </c>
      <c r="E547" s="1" t="s">
        <v>49</v>
      </c>
      <c r="F547" s="1" t="s">
        <v>1906</v>
      </c>
      <c r="G547" s="1" t="s">
        <v>1907</v>
      </c>
      <c r="H547" s="1" t="s">
        <v>24</v>
      </c>
      <c r="I547" s="1" t="s">
        <v>25</v>
      </c>
      <c r="J547" s="1" t="s">
        <v>1039</v>
      </c>
      <c r="K547" s="1" t="s">
        <v>40</v>
      </c>
      <c r="L547">
        <v>90805</v>
      </c>
      <c r="M547" s="1" t="s">
        <v>41</v>
      </c>
      <c r="N547" s="1" t="s">
        <v>1908</v>
      </c>
      <c r="O547" s="1" t="s">
        <v>30</v>
      </c>
      <c r="P547" s="1" t="s">
        <v>55</v>
      </c>
      <c r="Q547" s="1" t="s">
        <v>1909</v>
      </c>
      <c r="R547">
        <v>369.91199999999998</v>
      </c>
      <c r="S547" s="1"/>
      <c r="T547" s="1" t="str">
        <f>IF(O547="Furniture","Cardbaord",O547)</f>
        <v>Cardbaord</v>
      </c>
      <c r="U547" s="1" t="str">
        <f>IF(O547="furniture","cardbaord",IF(O547="office supplies","OS",O547))</f>
        <v>cardbaord</v>
      </c>
    </row>
    <row r="548" spans="1:21" x14ac:dyDescent="0.3">
      <c r="A548">
        <v>566</v>
      </c>
      <c r="B548" s="1" t="s">
        <v>1617</v>
      </c>
      <c r="C548" s="1" t="s">
        <v>767</v>
      </c>
      <c r="D548" s="1" t="s">
        <v>1618</v>
      </c>
      <c r="E548" s="1" t="s">
        <v>169</v>
      </c>
      <c r="F548" s="1" t="s">
        <v>1619</v>
      </c>
      <c r="G548" s="1" t="s">
        <v>1620</v>
      </c>
      <c r="H548" s="1" t="s">
        <v>24</v>
      </c>
      <c r="I548" s="1" t="s">
        <v>25</v>
      </c>
      <c r="J548" s="1" t="s">
        <v>39</v>
      </c>
      <c r="K548" s="1" t="s">
        <v>40</v>
      </c>
      <c r="L548">
        <v>90008</v>
      </c>
      <c r="M548" s="1" t="s">
        <v>41</v>
      </c>
      <c r="N548" s="1" t="s">
        <v>1621</v>
      </c>
      <c r="O548" s="1" t="s">
        <v>174</v>
      </c>
      <c r="P548" s="1" t="s">
        <v>175</v>
      </c>
      <c r="Q548" s="1" t="s">
        <v>1622</v>
      </c>
      <c r="R548">
        <v>374.37599999999998</v>
      </c>
      <c r="S548" s="1"/>
      <c r="T548" s="1" t="str">
        <f>IF(O548="Furniture","Cardbaord",O548)</f>
        <v>Technology</v>
      </c>
      <c r="U548" s="1" t="str">
        <f>IF(O548="furniture","cardbaord",IF(O548="office supplies","OS",O548))</f>
        <v>Technology</v>
      </c>
    </row>
    <row r="549" spans="1:21" x14ac:dyDescent="0.3">
      <c r="A549">
        <v>385</v>
      </c>
      <c r="B549" s="1" t="s">
        <v>1181</v>
      </c>
      <c r="C549" s="1" t="s">
        <v>1182</v>
      </c>
      <c r="D549" s="1" t="s">
        <v>1183</v>
      </c>
      <c r="E549" s="1" t="s">
        <v>49</v>
      </c>
      <c r="F549" s="1" t="s">
        <v>1184</v>
      </c>
      <c r="G549" s="1" t="s">
        <v>1185</v>
      </c>
      <c r="H549" s="1" t="s">
        <v>24</v>
      </c>
      <c r="I549" s="1" t="s">
        <v>25</v>
      </c>
      <c r="J549" s="1" t="s">
        <v>1186</v>
      </c>
      <c r="K549" s="1" t="s">
        <v>53</v>
      </c>
      <c r="L549">
        <v>33024</v>
      </c>
      <c r="M549" s="1" t="s">
        <v>28</v>
      </c>
      <c r="N549" s="1" t="s">
        <v>1187</v>
      </c>
      <c r="O549" s="1" t="s">
        <v>30</v>
      </c>
      <c r="P549" s="1" t="s">
        <v>55</v>
      </c>
      <c r="Q549" s="1" t="s">
        <v>1188</v>
      </c>
      <c r="R549">
        <v>375.45749999999998</v>
      </c>
      <c r="S549" s="1"/>
      <c r="T549" s="1" t="str">
        <f>IF(O549="Furniture","Cardbaord",O549)</f>
        <v>Cardbaord</v>
      </c>
      <c r="U549" s="1" t="str">
        <f>IF(O549="furniture","cardbaord",IF(O549="office supplies","OS",O549))</f>
        <v>cardbaord</v>
      </c>
    </row>
    <row r="550" spans="1:21" x14ac:dyDescent="0.3">
      <c r="A550">
        <v>2860</v>
      </c>
      <c r="B550" s="1" t="s">
        <v>3649</v>
      </c>
      <c r="C550" s="1" t="s">
        <v>1771</v>
      </c>
      <c r="D550" s="1" t="s">
        <v>1772</v>
      </c>
      <c r="E550" s="1" t="s">
        <v>49</v>
      </c>
      <c r="F550" s="1" t="s">
        <v>3650</v>
      </c>
      <c r="G550" s="1" t="s">
        <v>3651</v>
      </c>
      <c r="H550" s="1" t="s">
        <v>24</v>
      </c>
      <c r="I550" s="1" t="s">
        <v>25</v>
      </c>
      <c r="J550" s="1" t="s">
        <v>1474</v>
      </c>
      <c r="K550" s="1" t="s">
        <v>1112</v>
      </c>
      <c r="L550">
        <v>30318</v>
      </c>
      <c r="M550" s="1" t="s">
        <v>28</v>
      </c>
      <c r="N550" s="1" t="s">
        <v>3652</v>
      </c>
      <c r="O550" s="1" t="s">
        <v>174</v>
      </c>
      <c r="P550" s="1" t="s">
        <v>175</v>
      </c>
      <c r="Q550" s="1" t="s">
        <v>3653</v>
      </c>
      <c r="R550">
        <v>377.97</v>
      </c>
      <c r="S550" s="1"/>
      <c r="T550" s="1" t="str">
        <f>IF(O550="Furniture","Cardbaord",O550)</f>
        <v>Technology</v>
      </c>
      <c r="U550" s="1" t="str">
        <f>IF(O550="furniture","cardbaord",IF(O550="office supplies","OS",O550))</f>
        <v>Technology</v>
      </c>
    </row>
    <row r="551" spans="1:21" x14ac:dyDescent="0.3">
      <c r="A551">
        <v>418</v>
      </c>
      <c r="B551" s="1" t="s">
        <v>1281</v>
      </c>
      <c r="C551" s="1" t="s">
        <v>1282</v>
      </c>
      <c r="D551" s="1" t="s">
        <v>1283</v>
      </c>
      <c r="E551" s="1" t="s">
        <v>49</v>
      </c>
      <c r="F551" s="1" t="s">
        <v>1284</v>
      </c>
      <c r="G551" s="1" t="s">
        <v>1285</v>
      </c>
      <c r="H551" s="1" t="s">
        <v>24</v>
      </c>
      <c r="I551" s="1" t="s">
        <v>25</v>
      </c>
      <c r="J551" s="1" t="s">
        <v>39</v>
      </c>
      <c r="K551" s="1" t="s">
        <v>40</v>
      </c>
      <c r="L551">
        <v>90004</v>
      </c>
      <c r="M551" s="1" t="s">
        <v>41</v>
      </c>
      <c r="N551" s="1" t="s">
        <v>1286</v>
      </c>
      <c r="O551" s="1" t="s">
        <v>30</v>
      </c>
      <c r="P551" s="1" t="s">
        <v>143</v>
      </c>
      <c r="Q551" s="1" t="s">
        <v>1287</v>
      </c>
      <c r="R551">
        <v>383.8</v>
      </c>
      <c r="S551" s="1"/>
      <c r="T551" s="1" t="str">
        <f>IF(O551="Furniture","Cardbaord",O551)</f>
        <v>Cardbaord</v>
      </c>
      <c r="U551" s="1" t="str">
        <f>IF(O551="furniture","cardbaord",IF(O551="office supplies","OS",O551))</f>
        <v>cardbaord</v>
      </c>
    </row>
    <row r="552" spans="1:21" x14ac:dyDescent="0.3">
      <c r="A552">
        <v>148</v>
      </c>
      <c r="B552" s="1" t="s">
        <v>561</v>
      </c>
      <c r="C552" s="1" t="s">
        <v>76</v>
      </c>
      <c r="D552" s="1" t="s">
        <v>126</v>
      </c>
      <c r="E552" s="1" t="s">
        <v>49</v>
      </c>
      <c r="F552" s="1" t="s">
        <v>562</v>
      </c>
      <c r="G552" s="1" t="s">
        <v>563</v>
      </c>
      <c r="H552" s="1" t="s">
        <v>38</v>
      </c>
      <c r="I552" s="1" t="s">
        <v>25</v>
      </c>
      <c r="J552" s="1" t="s">
        <v>564</v>
      </c>
      <c r="K552" s="1" t="s">
        <v>103</v>
      </c>
      <c r="L552">
        <v>53132</v>
      </c>
      <c r="M552" s="1" t="s">
        <v>93</v>
      </c>
      <c r="N552" s="1" t="s">
        <v>565</v>
      </c>
      <c r="O552" s="1" t="s">
        <v>174</v>
      </c>
      <c r="P552" s="1" t="s">
        <v>175</v>
      </c>
      <c r="Q552" s="1" t="s">
        <v>566</v>
      </c>
      <c r="R552">
        <v>384.45</v>
      </c>
      <c r="S552" s="1"/>
      <c r="T552" s="1" t="str">
        <f>IF(O552="Furniture","Cardbaord",O552)</f>
        <v>Technology</v>
      </c>
      <c r="U552" s="1" t="str">
        <f>IF(O552="furniture","cardbaord",IF(O552="office supplies","OS",O552))</f>
        <v>Technology</v>
      </c>
    </row>
    <row r="553" spans="1:21" x14ac:dyDescent="0.3">
      <c r="A553">
        <v>355</v>
      </c>
      <c r="B553" s="1" t="s">
        <v>1100</v>
      </c>
      <c r="C553" s="1" t="s">
        <v>1101</v>
      </c>
      <c r="D553" s="1" t="s">
        <v>1102</v>
      </c>
      <c r="E553" s="1" t="s">
        <v>49</v>
      </c>
      <c r="F553" s="1" t="s">
        <v>1103</v>
      </c>
      <c r="G553" s="1" t="s">
        <v>1104</v>
      </c>
      <c r="H553" s="1" t="s">
        <v>24</v>
      </c>
      <c r="I553" s="1" t="s">
        <v>25</v>
      </c>
      <c r="J553" s="1" t="s">
        <v>251</v>
      </c>
      <c r="K553" s="1" t="s">
        <v>252</v>
      </c>
      <c r="L553">
        <v>10035</v>
      </c>
      <c r="M553" s="1" t="s">
        <v>141</v>
      </c>
      <c r="N553" s="1" t="s">
        <v>1105</v>
      </c>
      <c r="O553" s="1" t="s">
        <v>30</v>
      </c>
      <c r="P553" s="1" t="s">
        <v>31</v>
      </c>
      <c r="Q553" s="1" t="s">
        <v>1106</v>
      </c>
      <c r="R553">
        <v>388.70400000000001</v>
      </c>
      <c r="S553" s="1"/>
      <c r="T553" s="1" t="str">
        <f>IF(O553="Furniture","Cardbaord",O553)</f>
        <v>Cardbaord</v>
      </c>
      <c r="U553" s="1" t="str">
        <f>IF(O553="furniture","cardbaord",IF(O553="office supplies","OS",O553))</f>
        <v>cardbaord</v>
      </c>
    </row>
    <row r="554" spans="1:21" x14ac:dyDescent="0.3">
      <c r="A554">
        <v>2319</v>
      </c>
      <c r="B554" s="1" t="s">
        <v>3422</v>
      </c>
      <c r="C554" s="1" t="s">
        <v>1648</v>
      </c>
      <c r="D554" s="1" t="s">
        <v>3423</v>
      </c>
      <c r="E554" s="1" t="s">
        <v>49</v>
      </c>
      <c r="F554" s="1" t="s">
        <v>3424</v>
      </c>
      <c r="G554" s="1" t="s">
        <v>3425</v>
      </c>
      <c r="H554" s="1" t="s">
        <v>38</v>
      </c>
      <c r="I554" s="1" t="s">
        <v>25</v>
      </c>
      <c r="J554" s="1" t="s">
        <v>3426</v>
      </c>
      <c r="K554" s="1" t="s">
        <v>3427</v>
      </c>
      <c r="L554">
        <v>57103</v>
      </c>
      <c r="M554" s="1" t="s">
        <v>93</v>
      </c>
      <c r="N554" s="1" t="s">
        <v>3428</v>
      </c>
      <c r="O554" s="1" t="s">
        <v>174</v>
      </c>
      <c r="P554" s="1" t="s">
        <v>217</v>
      </c>
      <c r="Q554" s="1" t="s">
        <v>3429</v>
      </c>
      <c r="R554">
        <v>389.97</v>
      </c>
      <c r="S554" s="1"/>
      <c r="T554" s="1" t="str">
        <f>IF(O554="Furniture","Cardbaord",O554)</f>
        <v>Technology</v>
      </c>
      <c r="U554" s="1" t="str">
        <f>IF(O554="furniture","cardbaord",IF(O554="office supplies","OS",O554))</f>
        <v>Technology</v>
      </c>
    </row>
    <row r="555" spans="1:21" x14ac:dyDescent="0.3">
      <c r="A555">
        <v>636</v>
      </c>
      <c r="B555" s="1" t="s">
        <v>1782</v>
      </c>
      <c r="C555" s="1" t="s">
        <v>1783</v>
      </c>
      <c r="D555" s="1" t="s">
        <v>1784</v>
      </c>
      <c r="E555" s="1" t="s">
        <v>21</v>
      </c>
      <c r="F555" s="1" t="s">
        <v>1785</v>
      </c>
      <c r="G555" s="1" t="s">
        <v>1786</v>
      </c>
      <c r="H555" s="1" t="s">
        <v>38</v>
      </c>
      <c r="I555" s="1" t="s">
        <v>25</v>
      </c>
      <c r="J555" s="1" t="s">
        <v>1787</v>
      </c>
      <c r="K555" s="1" t="s">
        <v>1112</v>
      </c>
      <c r="L555">
        <v>31088</v>
      </c>
      <c r="M555" s="1" t="s">
        <v>28</v>
      </c>
      <c r="N555" s="1" t="s">
        <v>1788</v>
      </c>
      <c r="O555" s="1" t="s">
        <v>30</v>
      </c>
      <c r="P555" s="1" t="s">
        <v>143</v>
      </c>
      <c r="Q555" s="1" t="s">
        <v>1789</v>
      </c>
      <c r="R555">
        <v>392.94</v>
      </c>
      <c r="S555" s="1"/>
      <c r="T555" s="1" t="str">
        <f>IF(O555="Furniture","Cardbaord",O555)</f>
        <v>Cardbaord</v>
      </c>
      <c r="U555" s="1" t="str">
        <f>IF(O555="furniture","cardbaord",IF(O555="office supplies","OS",O555))</f>
        <v>cardbaord</v>
      </c>
    </row>
    <row r="556" spans="1:21" x14ac:dyDescent="0.3">
      <c r="A556">
        <v>1508</v>
      </c>
      <c r="B556" s="1" t="s">
        <v>2913</v>
      </c>
      <c r="C556" s="1" t="s">
        <v>366</v>
      </c>
      <c r="D556" s="1" t="s">
        <v>299</v>
      </c>
      <c r="E556" s="1" t="s">
        <v>49</v>
      </c>
      <c r="F556" s="1" t="s">
        <v>2914</v>
      </c>
      <c r="G556" s="1" t="s">
        <v>2915</v>
      </c>
      <c r="H556" s="1" t="s">
        <v>24</v>
      </c>
      <c r="I556" s="1" t="s">
        <v>25</v>
      </c>
      <c r="J556" s="1" t="s">
        <v>470</v>
      </c>
      <c r="K556" s="1" t="s">
        <v>1112</v>
      </c>
      <c r="L556">
        <v>31907</v>
      </c>
      <c r="M556" s="1" t="s">
        <v>28</v>
      </c>
      <c r="N556" s="1" t="s">
        <v>2916</v>
      </c>
      <c r="O556" s="1" t="s">
        <v>174</v>
      </c>
      <c r="P556" s="1" t="s">
        <v>888</v>
      </c>
      <c r="Q556" s="1" t="s">
        <v>2917</v>
      </c>
      <c r="R556">
        <v>396</v>
      </c>
      <c r="S556" s="1"/>
      <c r="T556" s="1" t="str">
        <f>IF(O556="Furniture","Cardbaord",O556)</f>
        <v>Technology</v>
      </c>
      <c r="U556" s="1" t="str">
        <f>IF(O556="furniture","cardbaord",IF(O556="office supplies","OS",O556))</f>
        <v>Technology</v>
      </c>
    </row>
    <row r="557" spans="1:21" x14ac:dyDescent="0.3">
      <c r="A557">
        <v>14</v>
      </c>
      <c r="B557" s="1" t="s">
        <v>75</v>
      </c>
      <c r="C557" s="1" t="s">
        <v>76</v>
      </c>
      <c r="D557" s="1" t="s">
        <v>77</v>
      </c>
      <c r="E557" s="1" t="s">
        <v>49</v>
      </c>
      <c r="F557" s="1" t="s">
        <v>78</v>
      </c>
      <c r="G557" s="1" t="s">
        <v>79</v>
      </c>
      <c r="H557" s="1" t="s">
        <v>24</v>
      </c>
      <c r="I557" s="1" t="s">
        <v>25</v>
      </c>
      <c r="J557" s="1" t="s">
        <v>80</v>
      </c>
      <c r="K557" s="1" t="s">
        <v>81</v>
      </c>
      <c r="L557">
        <v>98103</v>
      </c>
      <c r="M557" s="1" t="s">
        <v>41</v>
      </c>
      <c r="N557" s="1" t="s">
        <v>82</v>
      </c>
      <c r="O557" s="1" t="s">
        <v>43</v>
      </c>
      <c r="P557" s="1" t="s">
        <v>83</v>
      </c>
      <c r="Q557" s="1" t="s">
        <v>84</v>
      </c>
      <c r="R557">
        <v>407.976</v>
      </c>
      <c r="S557" s="1">
        <f>COUNTIF(R:R,"&gt;500")</f>
        <v>74</v>
      </c>
      <c r="T557" s="1" t="str">
        <f>IF(O557="Furniture","Cardbaord",O557)</f>
        <v>Office Supplies</v>
      </c>
      <c r="U557" s="1" t="str">
        <f>IF(O557="furniture","cardbaord",IF(O557="office supplies","OS",O557))</f>
        <v>OS</v>
      </c>
    </row>
    <row r="558" spans="1:21" x14ac:dyDescent="0.3">
      <c r="A558">
        <v>5842</v>
      </c>
      <c r="B558" s="1" t="s">
        <v>4201</v>
      </c>
      <c r="C558" s="1" t="s">
        <v>427</v>
      </c>
      <c r="D558" s="1" t="s">
        <v>4202</v>
      </c>
      <c r="E558" s="1" t="s">
        <v>49</v>
      </c>
      <c r="F558" s="1" t="s">
        <v>4203</v>
      </c>
      <c r="G558" s="1" t="s">
        <v>4204</v>
      </c>
      <c r="H558" s="1" t="s">
        <v>24</v>
      </c>
      <c r="I558" s="1" t="s">
        <v>25</v>
      </c>
      <c r="J558" s="1" t="s">
        <v>854</v>
      </c>
      <c r="K558" s="1" t="s">
        <v>40</v>
      </c>
      <c r="L558">
        <v>92105</v>
      </c>
      <c r="M558" s="1" t="s">
        <v>41</v>
      </c>
      <c r="N558" s="1" t="s">
        <v>4205</v>
      </c>
      <c r="O558" s="1" t="s">
        <v>174</v>
      </c>
      <c r="P558" s="1" t="s">
        <v>175</v>
      </c>
      <c r="Q558" s="1" t="s">
        <v>4206</v>
      </c>
      <c r="R558">
        <v>415.96800000000002</v>
      </c>
      <c r="S558" s="1"/>
      <c r="T558" s="1" t="str">
        <f>IF(O558="Furniture","Cardbaord",O558)</f>
        <v>Technology</v>
      </c>
      <c r="U558" s="1" t="str">
        <f>IF(O558="furniture","cardbaord",IF(O558="office supplies","OS",O558))</f>
        <v>Technology</v>
      </c>
    </row>
    <row r="559" spans="1:21" x14ac:dyDescent="0.3">
      <c r="A559">
        <v>2337</v>
      </c>
      <c r="B559" s="1" t="s">
        <v>3436</v>
      </c>
      <c r="C559" s="1" t="s">
        <v>1618</v>
      </c>
      <c r="D559" s="1" t="s">
        <v>1618</v>
      </c>
      <c r="E559" s="1" t="s">
        <v>1124</v>
      </c>
      <c r="F559" s="1" t="s">
        <v>3437</v>
      </c>
      <c r="G559" s="1" t="s">
        <v>3438</v>
      </c>
      <c r="H559" s="1" t="s">
        <v>24</v>
      </c>
      <c r="I559" s="1" t="s">
        <v>25</v>
      </c>
      <c r="J559" s="1" t="s">
        <v>681</v>
      </c>
      <c r="K559" s="1" t="s">
        <v>682</v>
      </c>
      <c r="L559">
        <v>6824</v>
      </c>
      <c r="M559" s="1" t="s">
        <v>141</v>
      </c>
      <c r="N559" s="1" t="s">
        <v>3439</v>
      </c>
      <c r="O559" s="1" t="s">
        <v>43</v>
      </c>
      <c r="P559" s="1" t="s">
        <v>95</v>
      </c>
      <c r="Q559" s="1" t="s">
        <v>3440</v>
      </c>
      <c r="R559">
        <v>426.79</v>
      </c>
      <c r="S559" s="1"/>
      <c r="T559" s="1" t="str">
        <f>IF(O559="Furniture","Cardbaord",O559)</f>
        <v>Office Supplies</v>
      </c>
      <c r="U559" s="1" t="str">
        <f>IF(O559="furniture","cardbaord",IF(O559="office supplies","OS",O559))</f>
        <v>OS</v>
      </c>
    </row>
    <row r="560" spans="1:21" x14ac:dyDescent="0.3">
      <c r="A560">
        <v>1638</v>
      </c>
      <c r="B560" s="1" t="s">
        <v>3010</v>
      </c>
      <c r="C560" s="1" t="s">
        <v>1197</v>
      </c>
      <c r="D560" s="1" t="s">
        <v>1917</v>
      </c>
      <c r="E560" s="1" t="s">
        <v>49</v>
      </c>
      <c r="F560" s="1" t="s">
        <v>3011</v>
      </c>
      <c r="G560" s="1" t="s">
        <v>3012</v>
      </c>
      <c r="H560" s="1" t="s">
        <v>24</v>
      </c>
      <c r="I560" s="1" t="s">
        <v>25</v>
      </c>
      <c r="J560" s="1" t="s">
        <v>3013</v>
      </c>
      <c r="K560" s="1" t="s">
        <v>386</v>
      </c>
      <c r="L560">
        <v>97224</v>
      </c>
      <c r="M560" s="1" t="s">
        <v>41</v>
      </c>
      <c r="N560" s="1" t="s">
        <v>3014</v>
      </c>
      <c r="O560" s="1" t="s">
        <v>174</v>
      </c>
      <c r="P560" s="1" t="s">
        <v>175</v>
      </c>
      <c r="Q560" s="1" t="s">
        <v>3015</v>
      </c>
      <c r="R560">
        <v>438.33600000000001</v>
      </c>
      <c r="S560" s="1"/>
      <c r="T560" s="1" t="str">
        <f>IF(O560="Furniture","Cardbaord",O560)</f>
        <v>Technology</v>
      </c>
      <c r="U560" s="1" t="str">
        <f>IF(O560="furniture","cardbaord",IF(O560="office supplies","OS",O560))</f>
        <v>Technology</v>
      </c>
    </row>
    <row r="561" spans="1:21" x14ac:dyDescent="0.3">
      <c r="A561">
        <v>206</v>
      </c>
      <c r="B561" s="1" t="s">
        <v>758</v>
      </c>
      <c r="C561" s="1" t="s">
        <v>314</v>
      </c>
      <c r="D561" s="1" t="s">
        <v>759</v>
      </c>
      <c r="E561" s="1" t="s">
        <v>49</v>
      </c>
      <c r="F561" s="1" t="s">
        <v>760</v>
      </c>
      <c r="G561" s="1" t="s">
        <v>761</v>
      </c>
      <c r="H561" s="1" t="s">
        <v>24</v>
      </c>
      <c r="I561" s="1" t="s">
        <v>25</v>
      </c>
      <c r="J561" s="1" t="s">
        <v>762</v>
      </c>
      <c r="K561" s="1" t="s">
        <v>40</v>
      </c>
      <c r="L561">
        <v>90604</v>
      </c>
      <c r="M561" s="1" t="s">
        <v>41</v>
      </c>
      <c r="N561" s="1" t="s">
        <v>763</v>
      </c>
      <c r="O561" s="1" t="s">
        <v>174</v>
      </c>
      <c r="P561" s="1" t="s">
        <v>175</v>
      </c>
      <c r="Q561" s="1" t="s">
        <v>764</v>
      </c>
      <c r="R561">
        <v>444.76799999999997</v>
      </c>
      <c r="S561" s="1"/>
      <c r="T561" s="1" t="str">
        <f>IF(O561="Furniture","Cardbaord",O561)</f>
        <v>Technology</v>
      </c>
      <c r="U561" s="1" t="str">
        <f>IF(O561="furniture","cardbaord",IF(O561="office supplies","OS",O561))</f>
        <v>Technology</v>
      </c>
    </row>
    <row r="562" spans="1:21" x14ac:dyDescent="0.3">
      <c r="A562">
        <v>3859</v>
      </c>
      <c r="B562" s="1" t="s">
        <v>3884</v>
      </c>
      <c r="C562" s="1" t="s">
        <v>3885</v>
      </c>
      <c r="D562" s="1" t="s">
        <v>3885</v>
      </c>
      <c r="E562" s="1" t="s">
        <v>1124</v>
      </c>
      <c r="F562" s="1" t="s">
        <v>3886</v>
      </c>
      <c r="G562" s="1" t="s">
        <v>3887</v>
      </c>
      <c r="H562" s="1" t="s">
        <v>24</v>
      </c>
      <c r="I562" s="1" t="s">
        <v>25</v>
      </c>
      <c r="J562" s="1" t="s">
        <v>3888</v>
      </c>
      <c r="K562" s="1" t="s">
        <v>431</v>
      </c>
      <c r="L562">
        <v>80229</v>
      </c>
      <c r="M562" s="1" t="s">
        <v>41</v>
      </c>
      <c r="N562" s="1" t="s">
        <v>3889</v>
      </c>
      <c r="O562" s="1" t="s">
        <v>174</v>
      </c>
      <c r="P562" s="1" t="s">
        <v>217</v>
      </c>
      <c r="Q562" s="1" t="s">
        <v>3890</v>
      </c>
      <c r="R562">
        <v>447.94400000000002</v>
      </c>
      <c r="S562" s="1"/>
      <c r="T562" s="1" t="str">
        <f>IF(O562="Furniture","Cardbaord",O562)</f>
        <v>Technology</v>
      </c>
      <c r="U562" s="1" t="str">
        <f>IF(O562="furniture","cardbaord",IF(O562="office supplies","OS",O562))</f>
        <v>Technology</v>
      </c>
    </row>
    <row r="563" spans="1:21" x14ac:dyDescent="0.3">
      <c r="A563">
        <v>492</v>
      </c>
      <c r="B563" s="1" t="s">
        <v>1436</v>
      </c>
      <c r="C563" s="1" t="s">
        <v>641</v>
      </c>
      <c r="D563" s="1" t="s">
        <v>642</v>
      </c>
      <c r="E563" s="1" t="s">
        <v>49</v>
      </c>
      <c r="F563" s="1" t="s">
        <v>1437</v>
      </c>
      <c r="G563" s="1" t="s">
        <v>1438</v>
      </c>
      <c r="H563" s="1" t="s">
        <v>24</v>
      </c>
      <c r="I563" s="1" t="s">
        <v>25</v>
      </c>
      <c r="J563" s="1" t="s">
        <v>355</v>
      </c>
      <c r="K563" s="1" t="s">
        <v>252</v>
      </c>
      <c r="L563">
        <v>14609</v>
      </c>
      <c r="M563" s="1" t="s">
        <v>141</v>
      </c>
      <c r="N563" s="1" t="s">
        <v>1439</v>
      </c>
      <c r="O563" s="1" t="s">
        <v>43</v>
      </c>
      <c r="P563" s="1" t="s">
        <v>105</v>
      </c>
      <c r="Q563" s="1" t="s">
        <v>1440</v>
      </c>
      <c r="R563">
        <v>449.15</v>
      </c>
      <c r="S563" s="1"/>
      <c r="T563" s="1" t="str">
        <f>IF(O563="Furniture","Cardbaord",O563)</f>
        <v>Office Supplies</v>
      </c>
      <c r="U563" s="1" t="str">
        <f>IF(O563="furniture","cardbaord",IF(O563="office supplies","OS",O563))</f>
        <v>OS</v>
      </c>
    </row>
    <row r="564" spans="1:21" x14ac:dyDescent="0.3">
      <c r="A564">
        <v>5087</v>
      </c>
      <c r="B564" s="1" t="s">
        <v>4137</v>
      </c>
      <c r="C564" s="1" t="s">
        <v>4138</v>
      </c>
      <c r="D564" s="1" t="s">
        <v>4139</v>
      </c>
      <c r="E564" s="1" t="s">
        <v>49</v>
      </c>
      <c r="F564" s="1" t="s">
        <v>4140</v>
      </c>
      <c r="G564" s="1" t="s">
        <v>4141</v>
      </c>
      <c r="H564" s="1" t="s">
        <v>38</v>
      </c>
      <c r="I564" s="1" t="s">
        <v>25</v>
      </c>
      <c r="J564" s="1" t="s">
        <v>139</v>
      </c>
      <c r="K564" s="1" t="s">
        <v>140</v>
      </c>
      <c r="L564">
        <v>19120</v>
      </c>
      <c r="M564" s="1" t="s">
        <v>141</v>
      </c>
      <c r="N564" s="1" t="s">
        <v>4142</v>
      </c>
      <c r="O564" s="1" t="s">
        <v>174</v>
      </c>
      <c r="P564" s="1" t="s">
        <v>175</v>
      </c>
      <c r="Q564" s="1" t="s">
        <v>4143</v>
      </c>
      <c r="R564">
        <v>466.15800000000002</v>
      </c>
      <c r="S564" s="1"/>
      <c r="T564" s="1" t="str">
        <f>IF(O564="Furniture","Cardbaord",O564)</f>
        <v>Technology</v>
      </c>
      <c r="U564" s="1" t="str">
        <f>IF(O564="furniture","cardbaord",IF(O564="office supplies","OS",O564))</f>
        <v>Technology</v>
      </c>
    </row>
    <row r="565" spans="1:21" x14ac:dyDescent="0.3">
      <c r="A565">
        <v>541</v>
      </c>
      <c r="B565" s="1" t="s">
        <v>1558</v>
      </c>
      <c r="C565" s="1" t="s">
        <v>1559</v>
      </c>
      <c r="D565" s="1" t="s">
        <v>1560</v>
      </c>
      <c r="E565" s="1" t="s">
        <v>169</v>
      </c>
      <c r="F565" s="1" t="s">
        <v>1561</v>
      </c>
      <c r="G565" s="1" t="s">
        <v>1562</v>
      </c>
      <c r="H565" s="1" t="s">
        <v>24</v>
      </c>
      <c r="I565" s="1" t="s">
        <v>25</v>
      </c>
      <c r="J565" s="1" t="s">
        <v>1563</v>
      </c>
      <c r="K565" s="1" t="s">
        <v>103</v>
      </c>
      <c r="L565">
        <v>54302</v>
      </c>
      <c r="M565" s="1" t="s">
        <v>93</v>
      </c>
      <c r="N565" s="1" t="s">
        <v>1564</v>
      </c>
      <c r="O565" s="1" t="s">
        <v>174</v>
      </c>
      <c r="P565" s="1" t="s">
        <v>217</v>
      </c>
      <c r="Q565" s="1" t="s">
        <v>1565</v>
      </c>
      <c r="R565">
        <v>468.9</v>
      </c>
      <c r="S565" s="1"/>
      <c r="T565" s="1" t="str">
        <f>IF(O565="Furniture","Cardbaord",O565)</f>
        <v>Technology</v>
      </c>
      <c r="U565" s="1" t="str">
        <f>IF(O565="furniture","cardbaord",IF(O565="office supplies","OS",O565))</f>
        <v>Technology</v>
      </c>
    </row>
    <row r="566" spans="1:21" x14ac:dyDescent="0.3">
      <c r="A566">
        <v>2740</v>
      </c>
      <c r="B566" s="1" t="s">
        <v>3616</v>
      </c>
      <c r="C566" s="1" t="s">
        <v>2919</v>
      </c>
      <c r="D566" s="1" t="s">
        <v>3617</v>
      </c>
      <c r="E566" s="1" t="s">
        <v>169</v>
      </c>
      <c r="F566" s="1" t="s">
        <v>3618</v>
      </c>
      <c r="G566" s="1" t="s">
        <v>3619</v>
      </c>
      <c r="H566" s="1" t="s">
        <v>38</v>
      </c>
      <c r="I566" s="1" t="s">
        <v>25</v>
      </c>
      <c r="J566" s="1" t="s">
        <v>3620</v>
      </c>
      <c r="K566" s="1" t="s">
        <v>325</v>
      </c>
      <c r="L566">
        <v>35244</v>
      </c>
      <c r="M566" s="1" t="s">
        <v>28</v>
      </c>
      <c r="N566" s="1" t="s">
        <v>3621</v>
      </c>
      <c r="O566" s="1" t="s">
        <v>43</v>
      </c>
      <c r="P566" s="1" t="s">
        <v>1660</v>
      </c>
      <c r="Q566" s="1" t="s">
        <v>3622</v>
      </c>
      <c r="R566">
        <v>477.24</v>
      </c>
      <c r="S566" s="1"/>
      <c r="T566" s="1" t="str">
        <f>IF(O566="Furniture","Cardbaord",O566)</f>
        <v>Office Supplies</v>
      </c>
      <c r="U566" s="1" t="str">
        <f>IF(O566="furniture","cardbaord",IF(O566="office supplies","OS",O566))</f>
        <v>OS</v>
      </c>
    </row>
    <row r="567" spans="1:21" x14ac:dyDescent="0.3">
      <c r="A567">
        <v>387</v>
      </c>
      <c r="B567" s="1" t="s">
        <v>1189</v>
      </c>
      <c r="C567" s="1" t="s">
        <v>1190</v>
      </c>
      <c r="D567" s="1" t="s">
        <v>1191</v>
      </c>
      <c r="E567" s="1" t="s">
        <v>49</v>
      </c>
      <c r="F567" s="1" t="s">
        <v>1192</v>
      </c>
      <c r="G567" s="1" t="s">
        <v>1193</v>
      </c>
      <c r="H567" s="1" t="s">
        <v>38</v>
      </c>
      <c r="I567" s="1" t="s">
        <v>25</v>
      </c>
      <c r="J567" s="1" t="s">
        <v>139</v>
      </c>
      <c r="K567" s="1" t="s">
        <v>140</v>
      </c>
      <c r="L567">
        <v>19140</v>
      </c>
      <c r="M567" s="1" t="s">
        <v>141</v>
      </c>
      <c r="N567" s="1" t="s">
        <v>1194</v>
      </c>
      <c r="O567" s="1" t="s">
        <v>174</v>
      </c>
      <c r="P567" s="1" t="s">
        <v>888</v>
      </c>
      <c r="Q567" s="1" t="s">
        <v>1195</v>
      </c>
      <c r="R567">
        <v>482.34</v>
      </c>
      <c r="S567" s="1"/>
      <c r="T567" s="1" t="str">
        <f>IF(O567="Furniture","Cardbaord",O567)</f>
        <v>Technology</v>
      </c>
      <c r="U567" s="1" t="str">
        <f>IF(O567="furniture","cardbaord",IF(O567="office supplies","OS",O567))</f>
        <v>Technology</v>
      </c>
    </row>
    <row r="568" spans="1:21" x14ac:dyDescent="0.3">
      <c r="A568">
        <v>4218</v>
      </c>
      <c r="B568" s="1" t="s">
        <v>4000</v>
      </c>
      <c r="C568" s="1" t="s">
        <v>4001</v>
      </c>
      <c r="D568" s="1" t="s">
        <v>2297</v>
      </c>
      <c r="E568" s="1" t="s">
        <v>169</v>
      </c>
      <c r="F568" s="1" t="s">
        <v>4002</v>
      </c>
      <c r="G568" s="1" t="s">
        <v>4003</v>
      </c>
      <c r="H568" s="1" t="s">
        <v>38</v>
      </c>
      <c r="I568" s="1" t="s">
        <v>25</v>
      </c>
      <c r="J568" s="1" t="s">
        <v>121</v>
      </c>
      <c r="K568" s="1" t="s">
        <v>40</v>
      </c>
      <c r="L568">
        <v>94110</v>
      </c>
      <c r="M568" s="1" t="s">
        <v>41</v>
      </c>
      <c r="N568" s="1" t="s">
        <v>4004</v>
      </c>
      <c r="O568" s="1" t="s">
        <v>30</v>
      </c>
      <c r="P568" s="1" t="s">
        <v>31</v>
      </c>
      <c r="Q568" s="1" t="s">
        <v>4005</v>
      </c>
      <c r="R568">
        <v>482.66399999999999</v>
      </c>
      <c r="S568" s="1"/>
      <c r="T568" s="1" t="str">
        <f>IF(O568="Furniture","Cardbaord",O568)</f>
        <v>Cardbaord</v>
      </c>
      <c r="U568" s="1" t="str">
        <f>IF(O568="furniture","cardbaord",IF(O568="office supplies","OS",O568))</f>
        <v>cardbaord</v>
      </c>
    </row>
    <row r="569" spans="1:21" x14ac:dyDescent="0.3">
      <c r="A569">
        <v>1005</v>
      </c>
      <c r="B569" s="1" t="s">
        <v>2375</v>
      </c>
      <c r="C569" s="1" t="s">
        <v>2376</v>
      </c>
      <c r="D569" s="1" t="s">
        <v>2377</v>
      </c>
      <c r="E569" s="1" t="s">
        <v>49</v>
      </c>
      <c r="F569" s="1" t="s">
        <v>2378</v>
      </c>
      <c r="G569" s="1" t="s">
        <v>2379</v>
      </c>
      <c r="H569" s="1" t="s">
        <v>24</v>
      </c>
      <c r="I569" s="1" t="s">
        <v>25</v>
      </c>
      <c r="J569" s="1" t="s">
        <v>2380</v>
      </c>
      <c r="K569" s="1" t="s">
        <v>40</v>
      </c>
      <c r="L569">
        <v>92563</v>
      </c>
      <c r="M569" s="1" t="s">
        <v>41</v>
      </c>
      <c r="N569" s="1" t="s">
        <v>2381</v>
      </c>
      <c r="O569" s="1" t="s">
        <v>43</v>
      </c>
      <c r="P569" s="1" t="s">
        <v>105</v>
      </c>
      <c r="Q569" s="1" t="s">
        <v>2382</v>
      </c>
      <c r="R569">
        <v>484.65</v>
      </c>
      <c r="S569" s="1"/>
      <c r="T569" s="1" t="str">
        <f>IF(O569="Furniture","Cardbaord",O569)</f>
        <v>Office Supplies</v>
      </c>
      <c r="U569" s="1" t="str">
        <f>IF(O569="furniture","cardbaord",IF(O569="office supplies","OS",O569))</f>
        <v>OS</v>
      </c>
    </row>
    <row r="570" spans="1:21" x14ac:dyDescent="0.3">
      <c r="A570">
        <v>363</v>
      </c>
      <c r="B570" s="1" t="s">
        <v>1115</v>
      </c>
      <c r="C570" s="1" t="s">
        <v>1116</v>
      </c>
      <c r="D570" s="1" t="s">
        <v>1117</v>
      </c>
      <c r="E570" s="1" t="s">
        <v>49</v>
      </c>
      <c r="F570" s="1" t="s">
        <v>1118</v>
      </c>
      <c r="G570" s="1" t="s">
        <v>1119</v>
      </c>
      <c r="H570" s="1" t="s">
        <v>24</v>
      </c>
      <c r="I570" s="1" t="s">
        <v>25</v>
      </c>
      <c r="J570" s="1" t="s">
        <v>251</v>
      </c>
      <c r="K570" s="1" t="s">
        <v>252</v>
      </c>
      <c r="L570">
        <v>10009</v>
      </c>
      <c r="M570" s="1" t="s">
        <v>141</v>
      </c>
      <c r="N570" s="1" t="s">
        <v>1120</v>
      </c>
      <c r="O570" s="1" t="s">
        <v>30</v>
      </c>
      <c r="P570" s="1" t="s">
        <v>143</v>
      </c>
      <c r="Q570" s="1" t="s">
        <v>1121</v>
      </c>
      <c r="R570">
        <v>488.64600000000002</v>
      </c>
      <c r="S570" s="1"/>
      <c r="T570" s="1" t="str">
        <f>IF(O570="Furniture","Cardbaord",O570)</f>
        <v>Cardbaord</v>
      </c>
      <c r="U570" s="1" t="str">
        <f>IF(O570="furniture","cardbaord",IF(O570="office supplies","OS",O570))</f>
        <v>cardbaord</v>
      </c>
    </row>
    <row r="571" spans="1:21" x14ac:dyDescent="0.3">
      <c r="A571">
        <v>183</v>
      </c>
      <c r="B571" s="1" t="s">
        <v>667</v>
      </c>
      <c r="C571" s="1" t="s">
        <v>668</v>
      </c>
      <c r="D571" s="1" t="s">
        <v>669</v>
      </c>
      <c r="E571" s="1" t="s">
        <v>21</v>
      </c>
      <c r="F571" s="1" t="s">
        <v>670</v>
      </c>
      <c r="G571" s="1" t="s">
        <v>671</v>
      </c>
      <c r="H571" s="1" t="s">
        <v>90</v>
      </c>
      <c r="I571" s="1" t="s">
        <v>25</v>
      </c>
      <c r="J571" s="1" t="s">
        <v>672</v>
      </c>
      <c r="K571" s="1" t="s">
        <v>673</v>
      </c>
      <c r="L571">
        <v>71203</v>
      </c>
      <c r="M571" s="1" t="s">
        <v>28</v>
      </c>
      <c r="N571" s="1" t="s">
        <v>674</v>
      </c>
      <c r="O571" s="1" t="s">
        <v>174</v>
      </c>
      <c r="P571" s="1" t="s">
        <v>175</v>
      </c>
      <c r="Q571" s="1" t="s">
        <v>675</v>
      </c>
      <c r="R571">
        <v>503.96</v>
      </c>
      <c r="S571" s="1"/>
      <c r="T571" s="1" t="str">
        <f>IF(O571="Furniture","Cardbaord",O571)</f>
        <v>Technology</v>
      </c>
      <c r="U571" s="1" t="str">
        <f>IF(O571="furniture","cardbaord",IF(O571="office supplies","OS",O571))</f>
        <v>Technology</v>
      </c>
    </row>
    <row r="572" spans="1:21" x14ac:dyDescent="0.3">
      <c r="A572">
        <v>3810</v>
      </c>
      <c r="B572" s="1" t="s">
        <v>3864</v>
      </c>
      <c r="C572" s="1" t="s">
        <v>3865</v>
      </c>
      <c r="D572" s="1" t="s">
        <v>3866</v>
      </c>
      <c r="E572" s="1" t="s">
        <v>49</v>
      </c>
      <c r="F572" s="1" t="s">
        <v>3867</v>
      </c>
      <c r="G572" s="1" t="s">
        <v>3868</v>
      </c>
      <c r="H572" s="1" t="s">
        <v>38</v>
      </c>
      <c r="I572" s="1" t="s">
        <v>25</v>
      </c>
      <c r="J572" s="1" t="s">
        <v>3869</v>
      </c>
      <c r="K572" s="1" t="s">
        <v>53</v>
      </c>
      <c r="L572">
        <v>33317</v>
      </c>
      <c r="M572" s="1" t="s">
        <v>28</v>
      </c>
      <c r="N572" s="1" t="s">
        <v>3870</v>
      </c>
      <c r="O572" s="1" t="s">
        <v>30</v>
      </c>
      <c r="P572" s="1" t="s">
        <v>143</v>
      </c>
      <c r="Q572" s="1" t="s">
        <v>3871</v>
      </c>
      <c r="R572">
        <v>523.91999999999996</v>
      </c>
      <c r="S572" s="1"/>
      <c r="T572" s="1" t="str">
        <f>IF(O572="Furniture","Cardbaord",O572)</f>
        <v>Cardbaord</v>
      </c>
      <c r="U572" s="1" t="str">
        <f>IF(O572="furniture","cardbaord",IF(O572="office supplies","OS",O572))</f>
        <v>cardbaord</v>
      </c>
    </row>
    <row r="573" spans="1:21" x14ac:dyDescent="0.3">
      <c r="A573">
        <v>1336</v>
      </c>
      <c r="B573" s="1" t="s">
        <v>2751</v>
      </c>
      <c r="C573" s="1" t="s">
        <v>2752</v>
      </c>
      <c r="D573" s="1" t="s">
        <v>2753</v>
      </c>
      <c r="E573" s="1" t="s">
        <v>49</v>
      </c>
      <c r="F573" s="1" t="s">
        <v>2754</v>
      </c>
      <c r="G573" s="1" t="s">
        <v>2755</v>
      </c>
      <c r="H573" s="1" t="s">
        <v>24</v>
      </c>
      <c r="I573" s="1" t="s">
        <v>25</v>
      </c>
      <c r="J573" s="1" t="s">
        <v>2756</v>
      </c>
      <c r="K573" s="1" t="s">
        <v>682</v>
      </c>
      <c r="L573">
        <v>6457</v>
      </c>
      <c r="M573" s="1" t="s">
        <v>141</v>
      </c>
      <c r="N573" s="1" t="s">
        <v>2757</v>
      </c>
      <c r="O573" s="1" t="s">
        <v>43</v>
      </c>
      <c r="P573" s="1" t="s">
        <v>105</v>
      </c>
      <c r="Q573" s="1" t="s">
        <v>2758</v>
      </c>
      <c r="R573">
        <v>552.55999999999995</v>
      </c>
      <c r="S573" s="1"/>
      <c r="T573" s="1" t="str">
        <f>IF(O573="Furniture","Cardbaord",O573)</f>
        <v>Office Supplies</v>
      </c>
      <c r="U573" s="1" t="str">
        <f>IF(O573="furniture","cardbaord",IF(O573="office supplies","OS",O573))</f>
        <v>OS</v>
      </c>
    </row>
    <row r="574" spans="1:21" x14ac:dyDescent="0.3">
      <c r="A574">
        <v>4587</v>
      </c>
      <c r="B574" s="1" t="s">
        <v>4079</v>
      </c>
      <c r="C574" s="1" t="s">
        <v>352</v>
      </c>
      <c r="D574" s="1" t="s">
        <v>1862</v>
      </c>
      <c r="E574" s="1" t="s">
        <v>21</v>
      </c>
      <c r="F574" s="1" t="s">
        <v>4080</v>
      </c>
      <c r="G574" s="1" t="s">
        <v>4081</v>
      </c>
      <c r="H574" s="1" t="s">
        <v>90</v>
      </c>
      <c r="I574" s="1" t="s">
        <v>25</v>
      </c>
      <c r="J574" s="1" t="s">
        <v>4082</v>
      </c>
      <c r="K574" s="1" t="s">
        <v>40</v>
      </c>
      <c r="L574">
        <v>94526</v>
      </c>
      <c r="M574" s="1" t="s">
        <v>41</v>
      </c>
      <c r="N574" s="1" t="s">
        <v>4083</v>
      </c>
      <c r="O574" s="1" t="s">
        <v>43</v>
      </c>
      <c r="P574" s="1" t="s">
        <v>83</v>
      </c>
      <c r="Q574" s="1" t="s">
        <v>4084</v>
      </c>
      <c r="R574">
        <v>590.35199999999998</v>
      </c>
      <c r="S574" s="1"/>
      <c r="T574" s="1" t="str">
        <f>IF(O574="Furniture","Cardbaord",O574)</f>
        <v>Office Supplies</v>
      </c>
      <c r="U574" s="1" t="str">
        <f>IF(O574="furniture","cardbaord",IF(O574="office supplies","OS",O574))</f>
        <v>OS</v>
      </c>
    </row>
    <row r="575" spans="1:21" x14ac:dyDescent="0.3">
      <c r="A575">
        <v>125</v>
      </c>
      <c r="B575" s="1" t="s">
        <v>495</v>
      </c>
      <c r="C575" s="1" t="s">
        <v>496</v>
      </c>
      <c r="D575" s="1" t="s">
        <v>497</v>
      </c>
      <c r="E575" s="1" t="s">
        <v>21</v>
      </c>
      <c r="F575" s="1" t="s">
        <v>498</v>
      </c>
      <c r="G575" s="1" t="s">
        <v>499</v>
      </c>
      <c r="H575" s="1" t="s">
        <v>90</v>
      </c>
      <c r="I575" s="1" t="s">
        <v>25</v>
      </c>
      <c r="J575" s="1" t="s">
        <v>164</v>
      </c>
      <c r="K575" s="1" t="s">
        <v>92</v>
      </c>
      <c r="L575">
        <v>77041</v>
      </c>
      <c r="M575" s="1" t="s">
        <v>93</v>
      </c>
      <c r="N575" s="1" t="s">
        <v>500</v>
      </c>
      <c r="O575" s="1" t="s">
        <v>30</v>
      </c>
      <c r="P575" s="1" t="s">
        <v>143</v>
      </c>
      <c r="Q575" s="1" t="s">
        <v>501</v>
      </c>
      <c r="R575">
        <v>600.55799999999999</v>
      </c>
      <c r="S575" s="1"/>
      <c r="T575" s="1" t="str">
        <f>IF(O575="Furniture","Cardbaord",O575)</f>
        <v>Cardbaord</v>
      </c>
      <c r="U575" s="1" t="str">
        <f>IF(O575="furniture","cardbaord",IF(O575="office supplies","OS",O575))</f>
        <v>cardbaord</v>
      </c>
    </row>
    <row r="576" spans="1:21" x14ac:dyDescent="0.3">
      <c r="A576">
        <v>126</v>
      </c>
      <c r="B576" s="1" t="s">
        <v>502</v>
      </c>
      <c r="C576" s="1" t="s">
        <v>503</v>
      </c>
      <c r="D576" s="1" t="s">
        <v>504</v>
      </c>
      <c r="E576" s="1" t="s">
        <v>49</v>
      </c>
      <c r="F576" s="1" t="s">
        <v>505</v>
      </c>
      <c r="G576" s="1" t="s">
        <v>506</v>
      </c>
      <c r="H576" s="1" t="s">
        <v>24</v>
      </c>
      <c r="I576" s="1" t="s">
        <v>25</v>
      </c>
      <c r="J576" s="1" t="s">
        <v>507</v>
      </c>
      <c r="K576" s="1" t="s">
        <v>191</v>
      </c>
      <c r="L576">
        <v>61701</v>
      </c>
      <c r="M576" s="1" t="s">
        <v>93</v>
      </c>
      <c r="N576" s="1" t="s">
        <v>508</v>
      </c>
      <c r="O576" s="1" t="s">
        <v>30</v>
      </c>
      <c r="P576" s="1" t="s">
        <v>55</v>
      </c>
      <c r="Q576" s="1" t="s">
        <v>509</v>
      </c>
      <c r="R576">
        <v>617.70000000000005</v>
      </c>
      <c r="S576" s="1"/>
      <c r="T576" s="1" t="str">
        <f>IF(O576="Furniture","Cardbaord",O576)</f>
        <v>Cardbaord</v>
      </c>
      <c r="U576" s="1" t="str">
        <f>IF(O576="furniture","cardbaord",IF(O576="office supplies","OS",O576))</f>
        <v>cardbaord</v>
      </c>
    </row>
    <row r="577" spans="1:21" x14ac:dyDescent="0.3">
      <c r="A577">
        <v>6944</v>
      </c>
      <c r="B577" s="1" t="s">
        <v>4251</v>
      </c>
      <c r="C577" s="1" t="s">
        <v>3630</v>
      </c>
      <c r="D577" s="1" t="s">
        <v>926</v>
      </c>
      <c r="E577" s="1" t="s">
        <v>49</v>
      </c>
      <c r="F577" s="1" t="s">
        <v>4252</v>
      </c>
      <c r="G577" s="1" t="s">
        <v>4253</v>
      </c>
      <c r="H577" s="1" t="s">
        <v>24</v>
      </c>
      <c r="I577" s="1" t="s">
        <v>25</v>
      </c>
      <c r="J577" s="1" t="s">
        <v>39</v>
      </c>
      <c r="K577" s="1" t="s">
        <v>40</v>
      </c>
      <c r="L577">
        <v>90032</v>
      </c>
      <c r="M577" s="1" t="s">
        <v>41</v>
      </c>
      <c r="N577" s="1" t="s">
        <v>4254</v>
      </c>
      <c r="O577" s="1" t="s">
        <v>174</v>
      </c>
      <c r="P577" s="1" t="s">
        <v>175</v>
      </c>
      <c r="Q577" s="1" t="s">
        <v>4255</v>
      </c>
      <c r="R577">
        <v>623.96</v>
      </c>
      <c r="S577" s="1"/>
      <c r="T577" s="1" t="str">
        <f>IF(O577="Furniture","Cardbaord",O577)</f>
        <v>Technology</v>
      </c>
      <c r="U577" s="1" t="str">
        <f>IF(O577="furniture","cardbaord",IF(O577="office supplies","OS",O577))</f>
        <v>Technology</v>
      </c>
    </row>
    <row r="578" spans="1:21" x14ac:dyDescent="0.3">
      <c r="A578">
        <v>2490</v>
      </c>
      <c r="B578" s="1" t="s">
        <v>3532</v>
      </c>
      <c r="C578" s="1" t="s">
        <v>1784</v>
      </c>
      <c r="D578" s="1" t="s">
        <v>3533</v>
      </c>
      <c r="E578" s="1" t="s">
        <v>21</v>
      </c>
      <c r="F578" s="1" t="s">
        <v>3534</v>
      </c>
      <c r="G578" s="1" t="s">
        <v>3535</v>
      </c>
      <c r="H578" s="1" t="s">
        <v>24</v>
      </c>
      <c r="I578" s="1" t="s">
        <v>25</v>
      </c>
      <c r="J578" s="1" t="s">
        <v>251</v>
      </c>
      <c r="K578" s="1" t="s">
        <v>252</v>
      </c>
      <c r="L578">
        <v>10024</v>
      </c>
      <c r="M578" s="1" t="s">
        <v>141</v>
      </c>
      <c r="N578" s="1" t="s">
        <v>3536</v>
      </c>
      <c r="O578" s="1" t="s">
        <v>174</v>
      </c>
      <c r="P578" s="1" t="s">
        <v>175</v>
      </c>
      <c r="Q578" s="1" t="s">
        <v>3537</v>
      </c>
      <c r="R578">
        <v>631.96</v>
      </c>
      <c r="S578" s="1"/>
      <c r="T578" s="1" t="str">
        <f>IF(O578="Furniture","Cardbaord",O578)</f>
        <v>Technology</v>
      </c>
      <c r="U578" s="1" t="str">
        <f>IF(O578="furniture","cardbaord",IF(O578="office supplies","OS",O578))</f>
        <v>Technology</v>
      </c>
    </row>
    <row r="579" spans="1:21" x14ac:dyDescent="0.3">
      <c r="A579">
        <v>1147</v>
      </c>
      <c r="B579" s="1" t="s">
        <v>2563</v>
      </c>
      <c r="C579" s="1" t="s">
        <v>2464</v>
      </c>
      <c r="D579" s="1" t="s">
        <v>2464</v>
      </c>
      <c r="E579" s="1" t="s">
        <v>1124</v>
      </c>
      <c r="F579" s="1" t="s">
        <v>2564</v>
      </c>
      <c r="G579" s="1" t="s">
        <v>2565</v>
      </c>
      <c r="H579" s="1" t="s">
        <v>24</v>
      </c>
      <c r="I579" s="1" t="s">
        <v>25</v>
      </c>
      <c r="J579" s="1" t="s">
        <v>2566</v>
      </c>
      <c r="K579" s="1" t="s">
        <v>225</v>
      </c>
      <c r="L579">
        <v>48911</v>
      </c>
      <c r="M579" s="1" t="s">
        <v>93</v>
      </c>
      <c r="N579" s="1" t="s">
        <v>2567</v>
      </c>
      <c r="O579" s="1" t="s">
        <v>43</v>
      </c>
      <c r="P579" s="1" t="s">
        <v>95</v>
      </c>
      <c r="Q579" s="1" t="s">
        <v>2568</v>
      </c>
      <c r="R579">
        <v>644.07600000000002</v>
      </c>
      <c r="S579" s="1"/>
      <c r="T579" s="1" t="str">
        <f>IF(O579="Furniture","Cardbaord",O579)</f>
        <v>Office Supplies</v>
      </c>
      <c r="U579" s="1" t="str">
        <f>IF(O579="furniture","cardbaord",IF(O579="office supplies","OS",O579))</f>
        <v>OS</v>
      </c>
    </row>
    <row r="580" spans="1:21" x14ac:dyDescent="0.3">
      <c r="A580">
        <v>360</v>
      </c>
      <c r="B580" s="1" t="s">
        <v>1107</v>
      </c>
      <c r="C580" s="1" t="s">
        <v>1108</v>
      </c>
      <c r="D580" s="1" t="s">
        <v>1109</v>
      </c>
      <c r="E580" s="1" t="s">
        <v>169</v>
      </c>
      <c r="F580" s="1" t="s">
        <v>1110</v>
      </c>
      <c r="G580" s="1" t="s">
        <v>1111</v>
      </c>
      <c r="H580" s="1" t="s">
        <v>38</v>
      </c>
      <c r="I580" s="1" t="s">
        <v>25</v>
      </c>
      <c r="J580" s="1" t="s">
        <v>470</v>
      </c>
      <c r="K580" s="1" t="s">
        <v>1112</v>
      </c>
      <c r="L580">
        <v>31907</v>
      </c>
      <c r="M580" s="1" t="s">
        <v>28</v>
      </c>
      <c r="N580" s="1" t="s">
        <v>1113</v>
      </c>
      <c r="O580" s="1" t="s">
        <v>43</v>
      </c>
      <c r="P580" s="1" t="s">
        <v>95</v>
      </c>
      <c r="Q580" s="1" t="s">
        <v>1114</v>
      </c>
      <c r="R580">
        <v>647.84</v>
      </c>
      <c r="S580" s="1"/>
      <c r="T580" s="1" t="str">
        <f>IF(O580="Furniture","Cardbaord",O580)</f>
        <v>Office Supplies</v>
      </c>
      <c r="U580" s="1" t="str">
        <f>IF(O580="furniture","cardbaord",IF(O580="office supplies","OS",O580))</f>
        <v>OS</v>
      </c>
    </row>
    <row r="581" spans="1:21" x14ac:dyDescent="0.3">
      <c r="A581">
        <v>3525</v>
      </c>
      <c r="B581" s="1" t="s">
        <v>3819</v>
      </c>
      <c r="C581" s="1" t="s">
        <v>591</v>
      </c>
      <c r="D581" s="1" t="s">
        <v>677</v>
      </c>
      <c r="E581" s="1" t="s">
        <v>49</v>
      </c>
      <c r="F581" s="1" t="s">
        <v>3820</v>
      </c>
      <c r="G581" s="1" t="s">
        <v>3821</v>
      </c>
      <c r="H581" s="1" t="s">
        <v>24</v>
      </c>
      <c r="I581" s="1" t="s">
        <v>25</v>
      </c>
      <c r="J581" s="1" t="s">
        <v>748</v>
      </c>
      <c r="K581" s="1" t="s">
        <v>92</v>
      </c>
      <c r="L581">
        <v>75081</v>
      </c>
      <c r="M581" s="1" t="s">
        <v>93</v>
      </c>
      <c r="N581" s="1" t="s">
        <v>3822</v>
      </c>
      <c r="O581" s="1" t="s">
        <v>174</v>
      </c>
      <c r="P581" s="1" t="s">
        <v>175</v>
      </c>
      <c r="Q581" s="1" t="s">
        <v>3823</v>
      </c>
      <c r="R581">
        <v>657.55200000000002</v>
      </c>
      <c r="S581" s="1"/>
      <c r="T581" s="1" t="str">
        <f>IF(O581="Furniture","Cardbaord",O581)</f>
        <v>Technology</v>
      </c>
      <c r="U581" s="1" t="str">
        <f>IF(O581="furniture","cardbaord",IF(O581="office supplies","OS",O581))</f>
        <v>Technology</v>
      </c>
    </row>
    <row r="582" spans="1:21" x14ac:dyDescent="0.3">
      <c r="A582">
        <v>455</v>
      </c>
      <c r="B582" s="1" t="s">
        <v>1363</v>
      </c>
      <c r="C582" s="1" t="s">
        <v>1364</v>
      </c>
      <c r="D582" s="1" t="s">
        <v>1365</v>
      </c>
      <c r="E582" s="1" t="s">
        <v>49</v>
      </c>
      <c r="F582" s="1" t="s">
        <v>1366</v>
      </c>
      <c r="G582" s="1" t="s">
        <v>1367</v>
      </c>
      <c r="H582" s="1" t="s">
        <v>38</v>
      </c>
      <c r="I582" s="1" t="s">
        <v>25</v>
      </c>
      <c r="J582" s="1" t="s">
        <v>733</v>
      </c>
      <c r="K582" s="1" t="s">
        <v>471</v>
      </c>
      <c r="L582">
        <v>44312</v>
      </c>
      <c r="M582" s="1" t="s">
        <v>141</v>
      </c>
      <c r="N582" s="1" t="s">
        <v>1368</v>
      </c>
      <c r="O582" s="1" t="s">
        <v>43</v>
      </c>
      <c r="P582" s="1" t="s">
        <v>105</v>
      </c>
      <c r="Q582" s="1" t="s">
        <v>1369</v>
      </c>
      <c r="R582">
        <v>665.40800000000002</v>
      </c>
      <c r="S582" s="1"/>
      <c r="T582" s="1" t="str">
        <f>IF(O582="Furniture","Cardbaord",O582)</f>
        <v>Office Supplies</v>
      </c>
      <c r="U582" s="1" t="str">
        <f>IF(O582="furniture","cardbaord",IF(O582="office supplies","OS",O582))</f>
        <v>OS</v>
      </c>
    </row>
    <row r="583" spans="1:21" x14ac:dyDescent="0.3">
      <c r="A583">
        <v>17</v>
      </c>
      <c r="B583" s="1" t="s">
        <v>97</v>
      </c>
      <c r="C583" s="1" t="s">
        <v>98</v>
      </c>
      <c r="D583" s="1" t="s">
        <v>99</v>
      </c>
      <c r="E583" s="1" t="s">
        <v>49</v>
      </c>
      <c r="F583" s="1" t="s">
        <v>100</v>
      </c>
      <c r="G583" s="1" t="s">
        <v>101</v>
      </c>
      <c r="H583" s="1" t="s">
        <v>24</v>
      </c>
      <c r="I583" s="1" t="s">
        <v>25</v>
      </c>
      <c r="J583" s="1" t="s">
        <v>102</v>
      </c>
      <c r="K583" s="1" t="s">
        <v>103</v>
      </c>
      <c r="L583">
        <v>53711</v>
      </c>
      <c r="M583" s="1" t="s">
        <v>93</v>
      </c>
      <c r="N583" s="1" t="s">
        <v>104</v>
      </c>
      <c r="O583" s="1" t="s">
        <v>43</v>
      </c>
      <c r="P583" s="1" t="s">
        <v>105</v>
      </c>
      <c r="Q583" s="1" t="s">
        <v>106</v>
      </c>
      <c r="R583">
        <v>665.88</v>
      </c>
      <c r="S583" s="1"/>
      <c r="T583" s="1" t="str">
        <f>IF(O583="Furniture","Cardbaord",O583)</f>
        <v>Office Supplies</v>
      </c>
      <c r="U583" s="1" t="str">
        <f>IF(O583="furniture","cardbaord",IF(O583="office supplies","OS",O583))</f>
        <v>OS</v>
      </c>
    </row>
    <row r="584" spans="1:21" x14ac:dyDescent="0.3">
      <c r="A584">
        <v>3090</v>
      </c>
      <c r="B584" s="1" t="s">
        <v>3705</v>
      </c>
      <c r="C584" s="1" t="s">
        <v>2760</v>
      </c>
      <c r="D584" s="1" t="s">
        <v>2761</v>
      </c>
      <c r="E584" s="1" t="s">
        <v>21</v>
      </c>
      <c r="F584" s="1" t="s">
        <v>3706</v>
      </c>
      <c r="G584" s="1" t="s">
        <v>3707</v>
      </c>
      <c r="H584" s="1" t="s">
        <v>90</v>
      </c>
      <c r="I584" s="1" t="s">
        <v>25</v>
      </c>
      <c r="J584" s="1" t="s">
        <v>26</v>
      </c>
      <c r="K584" s="1" t="s">
        <v>27</v>
      </c>
      <c r="L584">
        <v>42420</v>
      </c>
      <c r="M584" s="1" t="s">
        <v>28</v>
      </c>
      <c r="N584" s="1" t="s">
        <v>3708</v>
      </c>
      <c r="O584" s="1" t="s">
        <v>174</v>
      </c>
      <c r="P584" s="1" t="s">
        <v>175</v>
      </c>
      <c r="Q584" s="1" t="s">
        <v>3709</v>
      </c>
      <c r="R584">
        <v>671.93</v>
      </c>
      <c r="S584" s="1"/>
      <c r="T584" s="1" t="str">
        <f>IF(O584="Furniture","Cardbaord",O584)</f>
        <v>Technology</v>
      </c>
      <c r="U584" s="1" t="str">
        <f>IF(O584="furniture","cardbaord",IF(O584="office supplies","OS",O584))</f>
        <v>Technology</v>
      </c>
    </row>
    <row r="585" spans="1:21" x14ac:dyDescent="0.3">
      <c r="A585">
        <v>527</v>
      </c>
      <c r="B585" s="1" t="s">
        <v>1503</v>
      </c>
      <c r="C585" s="1" t="s">
        <v>1504</v>
      </c>
      <c r="D585" s="1" t="s">
        <v>351</v>
      </c>
      <c r="E585" s="1" t="s">
        <v>49</v>
      </c>
      <c r="F585" s="1" t="s">
        <v>1505</v>
      </c>
      <c r="G585" s="1" t="s">
        <v>1506</v>
      </c>
      <c r="H585" s="1" t="s">
        <v>90</v>
      </c>
      <c r="I585" s="1" t="s">
        <v>25</v>
      </c>
      <c r="J585" s="1" t="s">
        <v>1507</v>
      </c>
      <c r="K585" s="1" t="s">
        <v>53</v>
      </c>
      <c r="L585">
        <v>33801</v>
      </c>
      <c r="M585" s="1" t="s">
        <v>28</v>
      </c>
      <c r="N585" s="1" t="s">
        <v>1508</v>
      </c>
      <c r="O585" s="1" t="s">
        <v>30</v>
      </c>
      <c r="P585" s="1" t="s">
        <v>143</v>
      </c>
      <c r="Q585" s="1" t="s">
        <v>1509</v>
      </c>
      <c r="R585">
        <v>683.952</v>
      </c>
      <c r="S585" s="1"/>
      <c r="T585" s="1" t="str">
        <f>IF(O585="Furniture","Cardbaord",O585)</f>
        <v>Cardbaord</v>
      </c>
      <c r="U585" s="1" t="str">
        <f>IF(O585="furniture","cardbaord",IF(O585="office supplies","OS",O585))</f>
        <v>cardbaord</v>
      </c>
    </row>
    <row r="586" spans="1:21" x14ac:dyDescent="0.3">
      <c r="A586">
        <v>1341</v>
      </c>
      <c r="B586" s="1" t="s">
        <v>2766</v>
      </c>
      <c r="C586" s="1" t="s">
        <v>2767</v>
      </c>
      <c r="D586" s="1" t="s">
        <v>2768</v>
      </c>
      <c r="E586" s="1" t="s">
        <v>169</v>
      </c>
      <c r="F586" s="1" t="s">
        <v>2769</v>
      </c>
      <c r="G586" s="1" t="s">
        <v>2770</v>
      </c>
      <c r="H586" s="1" t="s">
        <v>38</v>
      </c>
      <c r="I586" s="1" t="s">
        <v>25</v>
      </c>
      <c r="J586" s="1" t="s">
        <v>1334</v>
      </c>
      <c r="K586" s="1" t="s">
        <v>71</v>
      </c>
      <c r="L586">
        <v>28540</v>
      </c>
      <c r="M586" s="1" t="s">
        <v>28</v>
      </c>
      <c r="N586" s="1" t="s">
        <v>2771</v>
      </c>
      <c r="O586" s="1" t="s">
        <v>174</v>
      </c>
      <c r="P586" s="1" t="s">
        <v>888</v>
      </c>
      <c r="Q586" s="1" t="s">
        <v>2772</v>
      </c>
      <c r="R586">
        <v>695.7</v>
      </c>
      <c r="S586" s="1"/>
      <c r="T586" s="1" t="str">
        <f>IF(O586="Furniture","Cardbaord",O586)</f>
        <v>Technology</v>
      </c>
      <c r="U586" s="1" t="str">
        <f>IF(O586="furniture","cardbaord",IF(O586="office supplies","OS",O586))</f>
        <v>Technology</v>
      </c>
    </row>
    <row r="587" spans="1:21" x14ac:dyDescent="0.3">
      <c r="A587">
        <v>7642</v>
      </c>
      <c r="B587" s="1" t="s">
        <v>4256</v>
      </c>
      <c r="C587" s="1" t="s">
        <v>2228</v>
      </c>
      <c r="D587" s="1" t="s">
        <v>4125</v>
      </c>
      <c r="E587" s="1" t="s">
        <v>169</v>
      </c>
      <c r="F587" s="1" t="s">
        <v>4257</v>
      </c>
      <c r="G587" s="1" t="s">
        <v>4258</v>
      </c>
      <c r="H587" s="1" t="s">
        <v>90</v>
      </c>
      <c r="I587" s="1" t="s">
        <v>25</v>
      </c>
      <c r="J587" s="1" t="s">
        <v>4259</v>
      </c>
      <c r="K587" s="1" t="s">
        <v>431</v>
      </c>
      <c r="L587">
        <v>81001</v>
      </c>
      <c r="M587" s="1" t="s">
        <v>41</v>
      </c>
      <c r="N587" s="1" t="s">
        <v>4260</v>
      </c>
      <c r="O587" s="1" t="s">
        <v>174</v>
      </c>
      <c r="P587" s="1" t="s">
        <v>888</v>
      </c>
      <c r="Q587" s="1" t="s">
        <v>4261</v>
      </c>
      <c r="R587">
        <v>703.71</v>
      </c>
      <c r="S587" s="1"/>
      <c r="T587" s="1" t="str">
        <f>IF(O587="Furniture","Cardbaord",O587)</f>
        <v>Technology</v>
      </c>
      <c r="U587" s="1" t="str">
        <f>IF(O587="furniture","cardbaord",IF(O587="office supplies","OS",O587))</f>
        <v>Technology</v>
      </c>
    </row>
    <row r="588" spans="1:21" x14ac:dyDescent="0.3">
      <c r="A588">
        <v>2555</v>
      </c>
      <c r="B588" s="1" t="s">
        <v>3563</v>
      </c>
      <c r="C588" s="1" t="s">
        <v>1791</v>
      </c>
      <c r="D588" s="1" t="s">
        <v>2509</v>
      </c>
      <c r="E588" s="1" t="s">
        <v>49</v>
      </c>
      <c r="F588" s="1" t="s">
        <v>3564</v>
      </c>
      <c r="G588" s="1" t="s">
        <v>3565</v>
      </c>
      <c r="H588" s="1" t="s">
        <v>24</v>
      </c>
      <c r="I588" s="1" t="s">
        <v>25</v>
      </c>
      <c r="J588" s="1" t="s">
        <v>3566</v>
      </c>
      <c r="K588" s="1" t="s">
        <v>53</v>
      </c>
      <c r="L588">
        <v>32303</v>
      </c>
      <c r="M588" s="1" t="s">
        <v>28</v>
      </c>
      <c r="N588" s="1" t="s">
        <v>3567</v>
      </c>
      <c r="O588" s="1" t="s">
        <v>174</v>
      </c>
      <c r="P588" s="1" t="s">
        <v>175</v>
      </c>
      <c r="Q588" s="1" t="s">
        <v>3568</v>
      </c>
      <c r="R588">
        <v>705.54399999999998</v>
      </c>
      <c r="S588" s="1"/>
      <c r="T588" s="1" t="str">
        <f>IF(O588="Furniture","Cardbaord",O588)</f>
        <v>Technology</v>
      </c>
      <c r="U588" s="1" t="str">
        <f>IF(O588="furniture","cardbaord",IF(O588="office supplies","OS",O588))</f>
        <v>Technology</v>
      </c>
    </row>
    <row r="589" spans="1:21" x14ac:dyDescent="0.3">
      <c r="A589">
        <v>434</v>
      </c>
      <c r="B589" s="1" t="s">
        <v>1323</v>
      </c>
      <c r="C589" s="1" t="s">
        <v>290</v>
      </c>
      <c r="D589" s="1" t="s">
        <v>1324</v>
      </c>
      <c r="E589" s="1" t="s">
        <v>169</v>
      </c>
      <c r="F589" s="1" t="s">
        <v>1325</v>
      </c>
      <c r="G589" s="1" t="s">
        <v>1326</v>
      </c>
      <c r="H589" s="1" t="s">
        <v>24</v>
      </c>
      <c r="I589" s="1" t="s">
        <v>25</v>
      </c>
      <c r="J589" s="1" t="s">
        <v>1090</v>
      </c>
      <c r="K589" s="1" t="s">
        <v>1091</v>
      </c>
      <c r="L589">
        <v>1852</v>
      </c>
      <c r="M589" s="1" t="s">
        <v>141</v>
      </c>
      <c r="N589" s="1" t="s">
        <v>1327</v>
      </c>
      <c r="O589" s="1" t="s">
        <v>43</v>
      </c>
      <c r="P589" s="1" t="s">
        <v>105</v>
      </c>
      <c r="Q589" s="1" t="s">
        <v>1328</v>
      </c>
      <c r="R589">
        <v>714.3</v>
      </c>
      <c r="S589" s="1"/>
      <c r="T589" s="1" t="str">
        <f>IF(O589="Furniture","Cardbaord",O589)</f>
        <v>Office Supplies</v>
      </c>
      <c r="U589" s="1" t="str">
        <f>IF(O589="furniture","cardbaord",IF(O589="office supplies","OS",O589))</f>
        <v>OS</v>
      </c>
    </row>
    <row r="590" spans="1:21" x14ac:dyDescent="0.3">
      <c r="A590">
        <v>271</v>
      </c>
      <c r="B590" s="1" t="s">
        <v>918</v>
      </c>
      <c r="C590" s="1" t="s">
        <v>919</v>
      </c>
      <c r="D590" s="1" t="s">
        <v>920</v>
      </c>
      <c r="E590" s="1" t="s">
        <v>21</v>
      </c>
      <c r="F590" s="1" t="s">
        <v>921</v>
      </c>
      <c r="G590" s="1" t="s">
        <v>922</v>
      </c>
      <c r="H590" s="1" t="s">
        <v>38</v>
      </c>
      <c r="I590" s="1" t="s">
        <v>25</v>
      </c>
      <c r="J590" s="1" t="s">
        <v>121</v>
      </c>
      <c r="K590" s="1" t="s">
        <v>40</v>
      </c>
      <c r="L590">
        <v>94110</v>
      </c>
      <c r="M590" s="1" t="s">
        <v>41</v>
      </c>
      <c r="N590" s="1" t="s">
        <v>923</v>
      </c>
      <c r="O590" s="1" t="s">
        <v>43</v>
      </c>
      <c r="P590" s="1" t="s">
        <v>105</v>
      </c>
      <c r="Q590" s="1" t="s">
        <v>924</v>
      </c>
      <c r="R590">
        <v>725.84</v>
      </c>
      <c r="S590" s="1"/>
      <c r="T590" s="1" t="str">
        <f>IF(O590="Furniture","Cardbaord",O590)</f>
        <v>Office Supplies</v>
      </c>
      <c r="U590" s="1" t="str">
        <f>IF(O590="furniture","cardbaord",IF(O590="office supplies","OS",O590))</f>
        <v>OS</v>
      </c>
    </row>
    <row r="591" spans="1:21" x14ac:dyDescent="0.3">
      <c r="A591">
        <v>1246</v>
      </c>
      <c r="B591" s="1" t="s">
        <v>2646</v>
      </c>
      <c r="C591" s="1" t="s">
        <v>2647</v>
      </c>
      <c r="D591" s="1" t="s">
        <v>2648</v>
      </c>
      <c r="E591" s="1" t="s">
        <v>21</v>
      </c>
      <c r="F591" s="1" t="s">
        <v>2649</v>
      </c>
      <c r="G591" s="1" t="s">
        <v>2650</v>
      </c>
      <c r="H591" s="1" t="s">
        <v>24</v>
      </c>
      <c r="I591" s="1" t="s">
        <v>25</v>
      </c>
      <c r="J591" s="1" t="s">
        <v>2651</v>
      </c>
      <c r="K591" s="1" t="s">
        <v>40</v>
      </c>
      <c r="L591">
        <v>93727</v>
      </c>
      <c r="M591" s="1" t="s">
        <v>41</v>
      </c>
      <c r="N591" s="1" t="s">
        <v>2652</v>
      </c>
      <c r="O591" s="1" t="s">
        <v>30</v>
      </c>
      <c r="P591" s="1" t="s">
        <v>55</v>
      </c>
      <c r="Q591" s="1" t="s">
        <v>2653</v>
      </c>
      <c r="R591">
        <v>764.68799999999999</v>
      </c>
      <c r="S591" s="1"/>
      <c r="T591" s="1" t="str">
        <f>IF(O591="Furniture","Cardbaord",O591)</f>
        <v>Cardbaord</v>
      </c>
      <c r="U591" s="1" t="str">
        <f>IF(O591="furniture","cardbaord",IF(O591="office supplies","OS",O591))</f>
        <v>cardbaord</v>
      </c>
    </row>
    <row r="592" spans="1:21" x14ac:dyDescent="0.3">
      <c r="A592">
        <v>2672</v>
      </c>
      <c r="B592" s="1" t="s">
        <v>3604</v>
      </c>
      <c r="C592" s="1" t="s">
        <v>3605</v>
      </c>
      <c r="D592" s="1" t="s">
        <v>627</v>
      </c>
      <c r="E592" s="1" t="s">
        <v>21</v>
      </c>
      <c r="F592" s="1" t="s">
        <v>3606</v>
      </c>
      <c r="G592" s="1" t="s">
        <v>3607</v>
      </c>
      <c r="H592" s="1" t="s">
        <v>38</v>
      </c>
      <c r="I592" s="1" t="s">
        <v>25</v>
      </c>
      <c r="J592" s="1" t="s">
        <v>1090</v>
      </c>
      <c r="K592" s="1" t="s">
        <v>1091</v>
      </c>
      <c r="L592">
        <v>1852</v>
      </c>
      <c r="M592" s="1" t="s">
        <v>141</v>
      </c>
      <c r="N592" s="1" t="s">
        <v>3608</v>
      </c>
      <c r="O592" s="1" t="s">
        <v>30</v>
      </c>
      <c r="P592" s="1" t="s">
        <v>143</v>
      </c>
      <c r="Q592" s="1" t="s">
        <v>3609</v>
      </c>
      <c r="R592">
        <v>785.88</v>
      </c>
      <c r="S592" s="1"/>
      <c r="T592" s="1" t="str">
        <f>IF(O592="Furniture","Cardbaord",O592)</f>
        <v>Cardbaord</v>
      </c>
      <c r="U592" s="1" t="str">
        <f>IF(O592="furniture","cardbaord",IF(O592="office supplies","OS",O592))</f>
        <v>cardbaord</v>
      </c>
    </row>
    <row r="593" spans="1:21" x14ac:dyDescent="0.3">
      <c r="A593">
        <v>118</v>
      </c>
      <c r="B593" s="1" t="s">
        <v>474</v>
      </c>
      <c r="C593" s="1" t="s">
        <v>475</v>
      </c>
      <c r="D593" s="1" t="s">
        <v>476</v>
      </c>
      <c r="E593" s="1" t="s">
        <v>49</v>
      </c>
      <c r="F593" s="1" t="s">
        <v>477</v>
      </c>
      <c r="G593" s="1" t="s">
        <v>478</v>
      </c>
      <c r="H593" s="1" t="s">
        <v>24</v>
      </c>
      <c r="I593" s="1" t="s">
        <v>25</v>
      </c>
      <c r="J593" s="1" t="s">
        <v>80</v>
      </c>
      <c r="K593" s="1" t="s">
        <v>81</v>
      </c>
      <c r="L593">
        <v>98103</v>
      </c>
      <c r="M593" s="1" t="s">
        <v>41</v>
      </c>
      <c r="N593" s="1" t="s">
        <v>479</v>
      </c>
      <c r="O593" s="1" t="s">
        <v>30</v>
      </c>
      <c r="P593" s="1" t="s">
        <v>55</v>
      </c>
      <c r="Q593" s="1" t="s">
        <v>480</v>
      </c>
      <c r="R593">
        <v>787.53</v>
      </c>
      <c r="S593" s="1"/>
      <c r="T593" s="1" t="str">
        <f>IF(O593="Furniture","Cardbaord",O593)</f>
        <v>Cardbaord</v>
      </c>
      <c r="U593" s="1" t="str">
        <f>IF(O593="furniture","cardbaord",IF(O593="office supplies","OS",O593))</f>
        <v>cardbaord</v>
      </c>
    </row>
    <row r="594" spans="1:21" x14ac:dyDescent="0.3">
      <c r="A594">
        <v>2552</v>
      </c>
      <c r="B594" s="1" t="s">
        <v>3558</v>
      </c>
      <c r="C594" s="1" t="s">
        <v>1567</v>
      </c>
      <c r="D594" s="1" t="s">
        <v>435</v>
      </c>
      <c r="E594" s="1" t="s">
        <v>49</v>
      </c>
      <c r="F594" s="1" t="s">
        <v>3559</v>
      </c>
      <c r="G594" s="1" t="s">
        <v>3560</v>
      </c>
      <c r="H594" s="1" t="s">
        <v>24</v>
      </c>
      <c r="I594" s="1" t="s">
        <v>25</v>
      </c>
      <c r="J594" s="1" t="s">
        <v>26</v>
      </c>
      <c r="K594" s="1" t="s">
        <v>27</v>
      </c>
      <c r="L594">
        <v>42420</v>
      </c>
      <c r="M594" s="1" t="s">
        <v>28</v>
      </c>
      <c r="N594" s="1" t="s">
        <v>3561</v>
      </c>
      <c r="O594" s="1" t="s">
        <v>30</v>
      </c>
      <c r="P594" s="1" t="s">
        <v>63</v>
      </c>
      <c r="Q594" s="1" t="s">
        <v>3562</v>
      </c>
      <c r="R594">
        <v>821.88</v>
      </c>
      <c r="S594" s="1"/>
      <c r="T594" s="1" t="str">
        <f>IF(O594="Furniture","Cardbaord",O594)</f>
        <v>Cardbaord</v>
      </c>
      <c r="U594" s="1" t="str">
        <f>IF(O594="furniture","cardbaord",IF(O594="office supplies","OS",O594))</f>
        <v>cardbaord</v>
      </c>
    </row>
    <row r="595" spans="1:21" x14ac:dyDescent="0.3">
      <c r="A595">
        <v>73</v>
      </c>
      <c r="B595" s="1" t="s">
        <v>304</v>
      </c>
      <c r="C595" s="1" t="s">
        <v>305</v>
      </c>
      <c r="D595" s="1" t="s">
        <v>306</v>
      </c>
      <c r="E595" s="1" t="s">
        <v>49</v>
      </c>
      <c r="F595" s="1" t="s">
        <v>307</v>
      </c>
      <c r="G595" s="1" t="s">
        <v>308</v>
      </c>
      <c r="H595" s="1" t="s">
        <v>24</v>
      </c>
      <c r="I595" s="1" t="s">
        <v>25</v>
      </c>
      <c r="J595" s="1" t="s">
        <v>309</v>
      </c>
      <c r="K595" s="1" t="s">
        <v>310</v>
      </c>
      <c r="L595">
        <v>38109</v>
      </c>
      <c r="M595" s="1" t="s">
        <v>28</v>
      </c>
      <c r="N595" s="1" t="s">
        <v>311</v>
      </c>
      <c r="O595" s="1" t="s">
        <v>30</v>
      </c>
      <c r="P595" s="1" t="s">
        <v>143</v>
      </c>
      <c r="Q595" s="1" t="s">
        <v>312</v>
      </c>
      <c r="R595">
        <v>831.93600000000004</v>
      </c>
      <c r="S595" s="1"/>
      <c r="T595" s="1" t="str">
        <f>IF(O595="Furniture","Cardbaord",O595)</f>
        <v>Cardbaord</v>
      </c>
      <c r="U595" s="1" t="str">
        <f>IF(O595="furniture","cardbaord",IF(O595="office supplies","OS",O595))</f>
        <v>cardbaord</v>
      </c>
    </row>
    <row r="596" spans="1:21" x14ac:dyDescent="0.3">
      <c r="A596">
        <v>2210</v>
      </c>
      <c r="B596" s="1" t="s">
        <v>3335</v>
      </c>
      <c r="C596" s="1" t="s">
        <v>2336</v>
      </c>
      <c r="D596" s="1" t="s">
        <v>3336</v>
      </c>
      <c r="E596" s="1" t="s">
        <v>21</v>
      </c>
      <c r="F596" s="1" t="s">
        <v>3337</v>
      </c>
      <c r="G596" s="1" t="s">
        <v>3338</v>
      </c>
      <c r="H596" s="1" t="s">
        <v>24</v>
      </c>
      <c r="I596" s="1" t="s">
        <v>25</v>
      </c>
      <c r="J596" s="1" t="s">
        <v>681</v>
      </c>
      <c r="K596" s="1" t="s">
        <v>682</v>
      </c>
      <c r="L596">
        <v>6824</v>
      </c>
      <c r="M596" s="1" t="s">
        <v>141</v>
      </c>
      <c r="N596" s="1" t="s">
        <v>3339</v>
      </c>
      <c r="O596" s="1" t="s">
        <v>174</v>
      </c>
      <c r="P596" s="1" t="s">
        <v>175</v>
      </c>
      <c r="Q596" s="1" t="s">
        <v>3340</v>
      </c>
      <c r="R596">
        <v>832.93</v>
      </c>
      <c r="S596" s="1"/>
      <c r="T596" s="1" t="str">
        <f>IF(O596="Furniture","Cardbaord",O596)</f>
        <v>Technology</v>
      </c>
      <c r="U596" s="1" t="str">
        <f>IF(O596="furniture","cardbaord",IF(O596="office supplies","OS",O596))</f>
        <v>Technology</v>
      </c>
    </row>
    <row r="597" spans="1:21" x14ac:dyDescent="0.3">
      <c r="A597">
        <v>145</v>
      </c>
      <c r="B597" s="1" t="s">
        <v>544</v>
      </c>
      <c r="C597" s="1" t="s">
        <v>545</v>
      </c>
      <c r="D597" s="1" t="s">
        <v>546</v>
      </c>
      <c r="E597" s="1" t="s">
        <v>49</v>
      </c>
      <c r="F597" s="1" t="s">
        <v>547</v>
      </c>
      <c r="G597" s="1" t="s">
        <v>548</v>
      </c>
      <c r="H597" s="1" t="s">
        <v>24</v>
      </c>
      <c r="I597" s="1" t="s">
        <v>25</v>
      </c>
      <c r="J597" s="1" t="s">
        <v>549</v>
      </c>
      <c r="K597" s="1" t="s">
        <v>550</v>
      </c>
      <c r="L597">
        <v>64055</v>
      </c>
      <c r="M597" s="1" t="s">
        <v>93</v>
      </c>
      <c r="N597" s="1" t="s">
        <v>551</v>
      </c>
      <c r="O597" s="1" t="s">
        <v>43</v>
      </c>
      <c r="P597" s="1" t="s">
        <v>95</v>
      </c>
      <c r="Q597" s="1" t="s">
        <v>552</v>
      </c>
      <c r="R597">
        <v>839.43</v>
      </c>
      <c r="S597" s="1"/>
      <c r="T597" s="1" t="str">
        <f>IF(O597="Furniture","Cardbaord",O597)</f>
        <v>Office Supplies</v>
      </c>
      <c r="U597" s="1" t="str">
        <f>IF(O597="furniture","cardbaord",IF(O597="office supplies","OS",O597))</f>
        <v>OS</v>
      </c>
    </row>
    <row r="598" spans="1:21" x14ac:dyDescent="0.3">
      <c r="A598">
        <v>1234</v>
      </c>
      <c r="B598" s="1" t="s">
        <v>2628</v>
      </c>
      <c r="C598" s="1" t="s">
        <v>1463</v>
      </c>
      <c r="D598" s="1" t="s">
        <v>1532</v>
      </c>
      <c r="E598" s="1" t="s">
        <v>169</v>
      </c>
      <c r="F598" s="1" t="s">
        <v>2629</v>
      </c>
      <c r="G598" s="1" t="s">
        <v>2630</v>
      </c>
      <c r="H598" s="1" t="s">
        <v>38</v>
      </c>
      <c r="I598" s="1" t="s">
        <v>25</v>
      </c>
      <c r="J598" s="1" t="s">
        <v>915</v>
      </c>
      <c r="K598" s="1" t="s">
        <v>471</v>
      </c>
      <c r="L598">
        <v>45231</v>
      </c>
      <c r="M598" s="1" t="s">
        <v>141</v>
      </c>
      <c r="N598" s="1" t="s">
        <v>2631</v>
      </c>
      <c r="O598" s="1" t="s">
        <v>174</v>
      </c>
      <c r="P598" s="1" t="s">
        <v>1266</v>
      </c>
      <c r="Q598" s="1" t="s">
        <v>2632</v>
      </c>
      <c r="R598">
        <v>839.98800000000006</v>
      </c>
      <c r="S598" s="1"/>
      <c r="T598" s="1" t="str">
        <f>IF(O598="Furniture","Cardbaord",O598)</f>
        <v>Technology</v>
      </c>
      <c r="U598" s="1" t="str">
        <f>IF(O598="furniture","cardbaord",IF(O598="office supplies","OS",O598))</f>
        <v>Technology</v>
      </c>
    </row>
    <row r="599" spans="1:21" x14ac:dyDescent="0.3">
      <c r="A599">
        <v>1923</v>
      </c>
      <c r="B599" s="1" t="s">
        <v>3232</v>
      </c>
      <c r="C599" s="1" t="s">
        <v>3233</v>
      </c>
      <c r="D599" s="1" t="s">
        <v>1539</v>
      </c>
      <c r="E599" s="1" t="s">
        <v>21</v>
      </c>
      <c r="F599" s="1" t="s">
        <v>3234</v>
      </c>
      <c r="G599" s="1" t="s">
        <v>3235</v>
      </c>
      <c r="H599" s="1" t="s">
        <v>38</v>
      </c>
      <c r="I599" s="1" t="s">
        <v>25</v>
      </c>
      <c r="J599" s="1" t="s">
        <v>996</v>
      </c>
      <c r="K599" s="1" t="s">
        <v>92</v>
      </c>
      <c r="L599">
        <v>76017</v>
      </c>
      <c r="M599" s="1" t="s">
        <v>93</v>
      </c>
      <c r="N599" s="1" t="s">
        <v>3236</v>
      </c>
      <c r="O599" s="1" t="s">
        <v>174</v>
      </c>
      <c r="P599" s="1" t="s">
        <v>175</v>
      </c>
      <c r="Q599" s="1" t="s">
        <v>3237</v>
      </c>
      <c r="R599">
        <v>863.64</v>
      </c>
      <c r="S599" s="1"/>
      <c r="T599" s="1" t="str">
        <f>IF(O599="Furniture","Cardbaord",O599)</f>
        <v>Technology</v>
      </c>
      <c r="U599" s="1" t="str">
        <f>IF(O599="furniture","cardbaord",IF(O599="office supplies","OS",O599))</f>
        <v>Technology</v>
      </c>
    </row>
    <row r="600" spans="1:21" x14ac:dyDescent="0.3">
      <c r="A600">
        <v>1261</v>
      </c>
      <c r="B600" s="1" t="s">
        <v>2661</v>
      </c>
      <c r="C600" s="1" t="s">
        <v>161</v>
      </c>
      <c r="D600" s="1" t="s">
        <v>2662</v>
      </c>
      <c r="E600" s="1" t="s">
        <v>49</v>
      </c>
      <c r="F600" s="1" t="s">
        <v>2663</v>
      </c>
      <c r="G600" s="1" t="s">
        <v>2664</v>
      </c>
      <c r="H600" s="1" t="s">
        <v>24</v>
      </c>
      <c r="I600" s="1" t="s">
        <v>25</v>
      </c>
      <c r="J600" s="1" t="s">
        <v>1334</v>
      </c>
      <c r="K600" s="1" t="s">
        <v>53</v>
      </c>
      <c r="L600">
        <v>32216</v>
      </c>
      <c r="M600" s="1" t="s">
        <v>28</v>
      </c>
      <c r="N600" s="1" t="s">
        <v>2665</v>
      </c>
      <c r="O600" s="1" t="s">
        <v>174</v>
      </c>
      <c r="P600" s="1" t="s">
        <v>175</v>
      </c>
      <c r="Q600" s="1" t="s">
        <v>2666</v>
      </c>
      <c r="R600">
        <v>863.88</v>
      </c>
      <c r="S600" s="1"/>
      <c r="T600" s="1" t="str">
        <f>IF(O600="Furniture","Cardbaord",O600)</f>
        <v>Technology</v>
      </c>
      <c r="U600" s="1" t="str">
        <f>IF(O600="furniture","cardbaord",IF(O600="office supplies","OS",O600))</f>
        <v>Technology</v>
      </c>
    </row>
    <row r="601" spans="1:21" x14ac:dyDescent="0.3">
      <c r="A601">
        <v>425</v>
      </c>
      <c r="B601" s="1" t="s">
        <v>1294</v>
      </c>
      <c r="C601" s="1" t="s">
        <v>1295</v>
      </c>
      <c r="D601" s="1" t="s">
        <v>1296</v>
      </c>
      <c r="E601" s="1" t="s">
        <v>21</v>
      </c>
      <c r="F601" s="1" t="s">
        <v>1297</v>
      </c>
      <c r="G601" s="1" t="s">
        <v>1298</v>
      </c>
      <c r="H601" s="1" t="s">
        <v>24</v>
      </c>
      <c r="I601" s="1" t="s">
        <v>25</v>
      </c>
      <c r="J601" s="1" t="s">
        <v>1299</v>
      </c>
      <c r="K601" s="1" t="s">
        <v>1300</v>
      </c>
      <c r="L601">
        <v>39212</v>
      </c>
      <c r="M601" s="1" t="s">
        <v>28</v>
      </c>
      <c r="N601" s="1" t="s">
        <v>1301</v>
      </c>
      <c r="O601" s="1" t="s">
        <v>30</v>
      </c>
      <c r="P601" s="1" t="s">
        <v>143</v>
      </c>
      <c r="Q601" s="1" t="s">
        <v>1302</v>
      </c>
      <c r="R601">
        <v>866.4</v>
      </c>
      <c r="S601" s="1"/>
      <c r="T601" s="1" t="str">
        <f>IF(O601="Furniture","Cardbaord",O601)</f>
        <v>Cardbaord</v>
      </c>
      <c r="U601" s="1" t="str">
        <f>IF(O601="furniture","cardbaord",IF(O601="office supplies","OS",O601))</f>
        <v>cardbaord</v>
      </c>
    </row>
    <row r="602" spans="1:21" x14ac:dyDescent="0.3">
      <c r="A602">
        <v>709</v>
      </c>
      <c r="B602" s="1" t="s">
        <v>1916</v>
      </c>
      <c r="C602" s="1" t="s">
        <v>1917</v>
      </c>
      <c r="D602" s="1" t="s">
        <v>1918</v>
      </c>
      <c r="E602" s="1" t="s">
        <v>169</v>
      </c>
      <c r="F602" s="1" t="s">
        <v>1919</v>
      </c>
      <c r="G602" s="1" t="s">
        <v>1920</v>
      </c>
      <c r="H602" s="1" t="s">
        <v>24</v>
      </c>
      <c r="I602" s="1" t="s">
        <v>25</v>
      </c>
      <c r="J602" s="1" t="s">
        <v>251</v>
      </c>
      <c r="K602" s="1" t="s">
        <v>252</v>
      </c>
      <c r="L602">
        <v>10035</v>
      </c>
      <c r="M602" s="1" t="s">
        <v>141</v>
      </c>
      <c r="N602" s="1" t="s">
        <v>1921</v>
      </c>
      <c r="O602" s="1" t="s">
        <v>30</v>
      </c>
      <c r="P602" s="1" t="s">
        <v>31</v>
      </c>
      <c r="Q602" s="1" t="s">
        <v>1922</v>
      </c>
      <c r="R602">
        <v>883.92</v>
      </c>
      <c r="S602" s="1"/>
      <c r="T602" s="1" t="str">
        <f>IF(O602="Furniture","Cardbaord",O602)</f>
        <v>Cardbaord</v>
      </c>
      <c r="U602" s="1" t="str">
        <f>IF(O602="furniture","cardbaord",IF(O602="office supplies","OS",O602))</f>
        <v>cardbaord</v>
      </c>
    </row>
    <row r="603" spans="1:21" x14ac:dyDescent="0.3">
      <c r="A603">
        <v>1190</v>
      </c>
      <c r="B603" s="1" t="s">
        <v>2595</v>
      </c>
      <c r="C603" s="1" t="s">
        <v>2596</v>
      </c>
      <c r="D603" s="1" t="s">
        <v>2597</v>
      </c>
      <c r="E603" s="1" t="s">
        <v>21</v>
      </c>
      <c r="F603" s="1" t="s">
        <v>2598</v>
      </c>
      <c r="G603" s="1" t="s">
        <v>2599</v>
      </c>
      <c r="H603" s="1" t="s">
        <v>90</v>
      </c>
      <c r="I603" s="1" t="s">
        <v>25</v>
      </c>
      <c r="J603" s="1" t="s">
        <v>39</v>
      </c>
      <c r="K603" s="1" t="s">
        <v>40</v>
      </c>
      <c r="L603">
        <v>90036</v>
      </c>
      <c r="M603" s="1" t="s">
        <v>41</v>
      </c>
      <c r="N603" s="1" t="s">
        <v>2600</v>
      </c>
      <c r="O603" s="1" t="s">
        <v>174</v>
      </c>
      <c r="P603" s="1" t="s">
        <v>175</v>
      </c>
      <c r="Q603" s="1" t="s">
        <v>2601</v>
      </c>
      <c r="R603">
        <v>889.53599999999994</v>
      </c>
      <c r="S603" s="1"/>
      <c r="T603" s="1" t="str">
        <f>IF(O603="Furniture","Cardbaord",O603)</f>
        <v>Technology</v>
      </c>
      <c r="U603" s="1" t="str">
        <f>IF(O603="furniture","cardbaord",IF(O603="office supplies","OS",O603))</f>
        <v>Technology</v>
      </c>
    </row>
    <row r="604" spans="1:21" x14ac:dyDescent="0.3">
      <c r="A604">
        <v>2290</v>
      </c>
      <c r="B604" s="1" t="s">
        <v>3415</v>
      </c>
      <c r="C604" s="1" t="s">
        <v>3416</v>
      </c>
      <c r="D604" s="1" t="s">
        <v>3417</v>
      </c>
      <c r="E604" s="1" t="s">
        <v>169</v>
      </c>
      <c r="F604" s="1" t="s">
        <v>3418</v>
      </c>
      <c r="G604" s="1" t="s">
        <v>3419</v>
      </c>
      <c r="H604" s="1" t="s">
        <v>38</v>
      </c>
      <c r="I604" s="1" t="s">
        <v>25</v>
      </c>
      <c r="J604" s="1" t="s">
        <v>80</v>
      </c>
      <c r="K604" s="1" t="s">
        <v>81</v>
      </c>
      <c r="L604">
        <v>98115</v>
      </c>
      <c r="M604" s="1" t="s">
        <v>41</v>
      </c>
      <c r="N604" s="1" t="s">
        <v>3420</v>
      </c>
      <c r="O604" s="1" t="s">
        <v>30</v>
      </c>
      <c r="P604" s="1" t="s">
        <v>55</v>
      </c>
      <c r="Q604" s="1" t="s">
        <v>3421</v>
      </c>
      <c r="R604">
        <v>892.98</v>
      </c>
      <c r="S604" s="1"/>
      <c r="T604" s="1" t="str">
        <f>IF(O604="Furniture","Cardbaord",O604)</f>
        <v>Cardbaord</v>
      </c>
      <c r="U604" s="1" t="str">
        <f>IF(O604="furniture","cardbaord",IF(O604="office supplies","OS",O604))</f>
        <v>cardbaord</v>
      </c>
    </row>
    <row r="605" spans="1:21" x14ac:dyDescent="0.3">
      <c r="A605">
        <v>1920</v>
      </c>
      <c r="B605" s="1" t="s">
        <v>3218</v>
      </c>
      <c r="C605" s="1" t="s">
        <v>3219</v>
      </c>
      <c r="D605" s="1" t="s">
        <v>3220</v>
      </c>
      <c r="E605" s="1" t="s">
        <v>169</v>
      </c>
      <c r="F605" s="1" t="s">
        <v>3221</v>
      </c>
      <c r="G605" s="1" t="s">
        <v>3222</v>
      </c>
      <c r="H605" s="1" t="s">
        <v>38</v>
      </c>
      <c r="I605" s="1" t="s">
        <v>25</v>
      </c>
      <c r="J605" s="1" t="s">
        <v>3223</v>
      </c>
      <c r="K605" s="1" t="s">
        <v>252</v>
      </c>
      <c r="L605">
        <v>13601</v>
      </c>
      <c r="M605" s="1" t="s">
        <v>141</v>
      </c>
      <c r="N605" s="1" t="s">
        <v>3224</v>
      </c>
      <c r="O605" s="1" t="s">
        <v>43</v>
      </c>
      <c r="P605" s="1" t="s">
        <v>83</v>
      </c>
      <c r="Q605" s="1" t="s">
        <v>3225</v>
      </c>
      <c r="R605">
        <v>895.92</v>
      </c>
      <c r="S605" s="1"/>
      <c r="T605" s="1" t="str">
        <f>IF(O605="Furniture","Cardbaord",O605)</f>
        <v>Office Supplies</v>
      </c>
      <c r="U605" s="1" t="str">
        <f>IF(O605="furniture","cardbaord",IF(O605="office supplies","OS",O605))</f>
        <v>OS</v>
      </c>
    </row>
    <row r="606" spans="1:21" x14ac:dyDescent="0.3">
      <c r="A606">
        <v>190</v>
      </c>
      <c r="B606" s="1" t="s">
        <v>699</v>
      </c>
      <c r="C606" s="1" t="s">
        <v>700</v>
      </c>
      <c r="D606" s="1" t="s">
        <v>701</v>
      </c>
      <c r="E606" s="1" t="s">
        <v>169</v>
      </c>
      <c r="F606" s="1" t="s">
        <v>702</v>
      </c>
      <c r="G606" s="1" t="s">
        <v>703</v>
      </c>
      <c r="H606" s="1" t="s">
        <v>90</v>
      </c>
      <c r="I606" s="1" t="s">
        <v>25</v>
      </c>
      <c r="J606" s="1" t="s">
        <v>251</v>
      </c>
      <c r="K606" s="1" t="s">
        <v>252</v>
      </c>
      <c r="L606">
        <v>10035</v>
      </c>
      <c r="M606" s="1" t="s">
        <v>141</v>
      </c>
      <c r="N606" s="1" t="s">
        <v>704</v>
      </c>
      <c r="O606" s="1" t="s">
        <v>30</v>
      </c>
      <c r="P606" s="1" t="s">
        <v>31</v>
      </c>
      <c r="Q606" s="1" t="s">
        <v>705</v>
      </c>
      <c r="R606">
        <v>899.13599999999997</v>
      </c>
      <c r="S606" s="1"/>
      <c r="T606" s="1" t="str">
        <f>IF(O606="Furniture","Cardbaord",O606)</f>
        <v>Cardbaord</v>
      </c>
      <c r="U606" s="1" t="str">
        <f>IF(O606="furniture","cardbaord",IF(O606="office supplies","OS",O606))</f>
        <v>cardbaord</v>
      </c>
    </row>
    <row r="607" spans="1:21" x14ac:dyDescent="0.3">
      <c r="A607">
        <v>1417</v>
      </c>
      <c r="B607" s="1" t="s">
        <v>2825</v>
      </c>
      <c r="C607" s="1" t="s">
        <v>154</v>
      </c>
      <c r="D607" s="1" t="s">
        <v>2705</v>
      </c>
      <c r="E607" s="1" t="s">
        <v>169</v>
      </c>
      <c r="F607" s="1" t="s">
        <v>2826</v>
      </c>
      <c r="G607" s="1" t="s">
        <v>2827</v>
      </c>
      <c r="H607" s="1" t="s">
        <v>38</v>
      </c>
      <c r="I607" s="1" t="s">
        <v>25</v>
      </c>
      <c r="J607" s="1" t="s">
        <v>164</v>
      </c>
      <c r="K607" s="1" t="s">
        <v>92</v>
      </c>
      <c r="L607">
        <v>77041</v>
      </c>
      <c r="M607" s="1" t="s">
        <v>93</v>
      </c>
      <c r="N607" s="1" t="s">
        <v>2828</v>
      </c>
      <c r="O607" s="1" t="s">
        <v>174</v>
      </c>
      <c r="P607" s="1" t="s">
        <v>175</v>
      </c>
      <c r="Q607" s="1" t="s">
        <v>2829</v>
      </c>
      <c r="R607">
        <v>946.34400000000005</v>
      </c>
      <c r="S607" s="1"/>
      <c r="T607" s="1" t="str">
        <f>IF(O607="Furniture","Cardbaord",O607)</f>
        <v>Technology</v>
      </c>
      <c r="U607" s="1" t="str">
        <f>IF(O607="furniture","cardbaord",IF(O607="office supplies","OS",O607))</f>
        <v>Technology</v>
      </c>
    </row>
    <row r="608" spans="1:21" x14ac:dyDescent="0.3">
      <c r="A608">
        <v>4</v>
      </c>
      <c r="B608" s="1" t="s">
        <v>46</v>
      </c>
      <c r="C608" s="1" t="s">
        <v>47</v>
      </c>
      <c r="D608" s="1" t="s">
        <v>48</v>
      </c>
      <c r="E608" s="1" t="s">
        <v>49</v>
      </c>
      <c r="F608" s="1" t="s">
        <v>50</v>
      </c>
      <c r="G608" s="1" t="s">
        <v>51</v>
      </c>
      <c r="H608" s="1" t="s">
        <v>24</v>
      </c>
      <c r="I608" s="1" t="s">
        <v>25</v>
      </c>
      <c r="J608" s="1" t="s">
        <v>52</v>
      </c>
      <c r="K608" s="1" t="s">
        <v>53</v>
      </c>
      <c r="L608">
        <v>33311</v>
      </c>
      <c r="M608" s="1" t="s">
        <v>28</v>
      </c>
      <c r="N608" s="1" t="s">
        <v>54</v>
      </c>
      <c r="O608" s="1" t="s">
        <v>30</v>
      </c>
      <c r="P608" s="1" t="s">
        <v>55</v>
      </c>
      <c r="Q608" s="1" t="s">
        <v>56</v>
      </c>
      <c r="R608">
        <v>957.57749999999999</v>
      </c>
      <c r="S608" s="1">
        <f>AVERAGE(R:R)</f>
        <v>242.64028398133729</v>
      </c>
      <c r="T608" s="1" t="str">
        <f>IF(O608="Furniture","Cardbaord",O608)</f>
        <v>Cardbaord</v>
      </c>
      <c r="U608" s="1" t="str">
        <f>IF(O608="furniture","cardbaord",IF(O608="office supplies","OS",O608))</f>
        <v>cardbaord</v>
      </c>
    </row>
    <row r="609" spans="1:21" x14ac:dyDescent="0.3">
      <c r="A609">
        <v>3146</v>
      </c>
      <c r="B609" s="1" t="s">
        <v>3738</v>
      </c>
      <c r="C609" s="1" t="s">
        <v>3739</v>
      </c>
      <c r="D609" s="1" t="s">
        <v>3740</v>
      </c>
      <c r="E609" s="1" t="s">
        <v>21</v>
      </c>
      <c r="F609" s="1" t="s">
        <v>3741</v>
      </c>
      <c r="G609" s="1" t="s">
        <v>3742</v>
      </c>
      <c r="H609" s="1" t="s">
        <v>38</v>
      </c>
      <c r="I609" s="1" t="s">
        <v>25</v>
      </c>
      <c r="J609" s="1" t="s">
        <v>80</v>
      </c>
      <c r="K609" s="1" t="s">
        <v>81</v>
      </c>
      <c r="L609">
        <v>98105</v>
      </c>
      <c r="M609" s="1" t="s">
        <v>41</v>
      </c>
      <c r="N609" s="1" t="s">
        <v>3743</v>
      </c>
      <c r="O609" s="1" t="s">
        <v>30</v>
      </c>
      <c r="P609" s="1" t="s">
        <v>143</v>
      </c>
      <c r="Q609" s="1" t="s">
        <v>3744</v>
      </c>
      <c r="R609">
        <v>963.13599999999997</v>
      </c>
      <c r="S609" s="1"/>
      <c r="T609" s="1" t="str">
        <f>IF(O609="Furniture","Cardbaord",O609)</f>
        <v>Cardbaord</v>
      </c>
      <c r="U609" s="1" t="str">
        <f>IF(O609="furniture","cardbaord",IF(O609="office supplies","OS",O609))</f>
        <v>cardbaord</v>
      </c>
    </row>
    <row r="610" spans="1:21" x14ac:dyDescent="0.3">
      <c r="A610">
        <v>534</v>
      </c>
      <c r="B610" s="1" t="s">
        <v>1530</v>
      </c>
      <c r="C610" s="1" t="s">
        <v>1531</v>
      </c>
      <c r="D610" s="1" t="s">
        <v>1532</v>
      </c>
      <c r="E610" s="1" t="s">
        <v>21</v>
      </c>
      <c r="F610" s="1" t="s">
        <v>1533</v>
      </c>
      <c r="G610" s="1" t="s">
        <v>1534</v>
      </c>
      <c r="H610" s="1" t="s">
        <v>24</v>
      </c>
      <c r="I610" s="1" t="s">
        <v>25</v>
      </c>
      <c r="J610" s="1" t="s">
        <v>1535</v>
      </c>
      <c r="K610" s="1" t="s">
        <v>325</v>
      </c>
      <c r="L610">
        <v>36116</v>
      </c>
      <c r="M610" s="1" t="s">
        <v>28</v>
      </c>
      <c r="N610" s="1" t="s">
        <v>1536</v>
      </c>
      <c r="O610" s="1" t="s">
        <v>174</v>
      </c>
      <c r="P610" s="1" t="s">
        <v>175</v>
      </c>
      <c r="Q610" s="1" t="s">
        <v>1537</v>
      </c>
      <c r="R610">
        <v>979.95</v>
      </c>
      <c r="S610" s="1"/>
      <c r="T610" s="1" t="str">
        <f>IF(O610="Furniture","Cardbaord",O610)</f>
        <v>Technology</v>
      </c>
      <c r="U610" s="1" t="str">
        <f>IF(O610="furniture","cardbaord",IF(O610="office supplies","OS",O610))</f>
        <v>Technology</v>
      </c>
    </row>
    <row r="611" spans="1:21" x14ac:dyDescent="0.3">
      <c r="A611">
        <v>1506</v>
      </c>
      <c r="B611" s="1" t="s">
        <v>2906</v>
      </c>
      <c r="C611" s="1" t="s">
        <v>2907</v>
      </c>
      <c r="D611" s="1" t="s">
        <v>2908</v>
      </c>
      <c r="E611" s="1" t="s">
        <v>49</v>
      </c>
      <c r="F611" s="1" t="s">
        <v>2909</v>
      </c>
      <c r="G611" s="1" t="s">
        <v>2910</v>
      </c>
      <c r="H611" s="1" t="s">
        <v>90</v>
      </c>
      <c r="I611" s="1" t="s">
        <v>25</v>
      </c>
      <c r="J611" s="1" t="s">
        <v>39</v>
      </c>
      <c r="K611" s="1" t="s">
        <v>40</v>
      </c>
      <c r="L611">
        <v>90004</v>
      </c>
      <c r="M611" s="1" t="s">
        <v>41</v>
      </c>
      <c r="N611" s="1" t="s">
        <v>2911</v>
      </c>
      <c r="O611" s="1" t="s">
        <v>30</v>
      </c>
      <c r="P611" s="1" t="s">
        <v>55</v>
      </c>
      <c r="Q611" s="1" t="s">
        <v>2912</v>
      </c>
      <c r="R611">
        <v>1004.976</v>
      </c>
      <c r="S611" s="1"/>
      <c r="T611" s="1" t="str">
        <f>IF(O611="Furniture","Cardbaord",O611)</f>
        <v>Cardbaord</v>
      </c>
      <c r="U611" s="1" t="str">
        <f>IF(O611="furniture","cardbaord",IF(O611="office supplies","OS",O611))</f>
        <v>cardbaord</v>
      </c>
    </row>
    <row r="612" spans="1:21" x14ac:dyDescent="0.3">
      <c r="A612">
        <v>437</v>
      </c>
      <c r="B612" s="1" t="s">
        <v>1337</v>
      </c>
      <c r="C612" s="1" t="s">
        <v>34</v>
      </c>
      <c r="D612" s="1" t="s">
        <v>1338</v>
      </c>
      <c r="E612" s="1" t="s">
        <v>21</v>
      </c>
      <c r="F612" s="1" t="s">
        <v>1339</v>
      </c>
      <c r="G612" s="1" t="s">
        <v>1340</v>
      </c>
      <c r="H612" s="1" t="s">
        <v>90</v>
      </c>
      <c r="I612" s="1" t="s">
        <v>25</v>
      </c>
      <c r="J612" s="1" t="s">
        <v>276</v>
      </c>
      <c r="K612" s="1" t="s">
        <v>191</v>
      </c>
      <c r="L612">
        <v>60623</v>
      </c>
      <c r="M612" s="1" t="s">
        <v>93</v>
      </c>
      <c r="N612" s="1" t="s">
        <v>1341</v>
      </c>
      <c r="O612" s="1" t="s">
        <v>174</v>
      </c>
      <c r="P612" s="1" t="s">
        <v>888</v>
      </c>
      <c r="Q612" s="1" t="s">
        <v>1342</v>
      </c>
      <c r="R612">
        <v>1007.979</v>
      </c>
      <c r="S612" s="1"/>
      <c r="T612" s="1" t="str">
        <f>IF(O612="Furniture","Cardbaord",O612)</f>
        <v>Technology</v>
      </c>
      <c r="U612" s="1" t="str">
        <f>IF(O612="furniture","cardbaord",IF(O612="office supplies","OS",O612))</f>
        <v>Technology</v>
      </c>
    </row>
    <row r="613" spans="1:21" x14ac:dyDescent="0.3">
      <c r="A613">
        <v>374</v>
      </c>
      <c r="B613" s="1" t="s">
        <v>1138</v>
      </c>
      <c r="C613" s="1" t="s">
        <v>1139</v>
      </c>
      <c r="D613" s="1" t="s">
        <v>1140</v>
      </c>
      <c r="E613" s="1" t="s">
        <v>49</v>
      </c>
      <c r="F613" s="1" t="s">
        <v>1141</v>
      </c>
      <c r="G613" s="1" t="s">
        <v>1142</v>
      </c>
      <c r="H613" s="1" t="s">
        <v>24</v>
      </c>
      <c r="I613" s="1" t="s">
        <v>25</v>
      </c>
      <c r="J613" s="1" t="s">
        <v>1143</v>
      </c>
      <c r="K613" s="1" t="s">
        <v>285</v>
      </c>
      <c r="L613">
        <v>85705</v>
      </c>
      <c r="M613" s="1" t="s">
        <v>41</v>
      </c>
      <c r="N613" s="1" t="s">
        <v>1144</v>
      </c>
      <c r="O613" s="1" t="s">
        <v>174</v>
      </c>
      <c r="P613" s="1" t="s">
        <v>217</v>
      </c>
      <c r="Q613" s="1" t="s">
        <v>1145</v>
      </c>
      <c r="R613">
        <v>1023.936</v>
      </c>
      <c r="S613" s="1"/>
      <c r="T613" s="1" t="str">
        <f>IF(O613="Furniture","Cardbaord",O613)</f>
        <v>Technology</v>
      </c>
      <c r="U613" s="1" t="str">
        <f>IF(O613="furniture","cardbaord",IF(O613="office supplies","OS",O613))</f>
        <v>Technology</v>
      </c>
    </row>
    <row r="614" spans="1:21" x14ac:dyDescent="0.3">
      <c r="A614">
        <v>283</v>
      </c>
      <c r="B614" s="1" t="s">
        <v>947</v>
      </c>
      <c r="C614" s="1" t="s">
        <v>948</v>
      </c>
      <c r="D614" s="1" t="s">
        <v>949</v>
      </c>
      <c r="E614" s="1" t="s">
        <v>49</v>
      </c>
      <c r="F614" s="1" t="s">
        <v>950</v>
      </c>
      <c r="G614" s="1" t="s">
        <v>951</v>
      </c>
      <c r="H614" s="1" t="s">
        <v>24</v>
      </c>
      <c r="I614" s="1" t="s">
        <v>25</v>
      </c>
      <c r="J614" s="1" t="s">
        <v>39</v>
      </c>
      <c r="K614" s="1" t="s">
        <v>40</v>
      </c>
      <c r="L614">
        <v>90004</v>
      </c>
      <c r="M614" s="1" t="s">
        <v>41</v>
      </c>
      <c r="N614" s="1" t="s">
        <v>952</v>
      </c>
      <c r="O614" s="1" t="s">
        <v>30</v>
      </c>
      <c r="P614" s="1" t="s">
        <v>55</v>
      </c>
      <c r="Q614" s="1" t="s">
        <v>953</v>
      </c>
      <c r="R614">
        <v>1038.8399999999999</v>
      </c>
      <c r="S614" s="1"/>
      <c r="T614" s="1" t="str">
        <f>IF(O614="Furniture","Cardbaord",O614)</f>
        <v>Cardbaord</v>
      </c>
      <c r="U614" s="1" t="str">
        <f>IF(O614="furniture","cardbaord",IF(O614="office supplies","OS",O614))</f>
        <v>cardbaord</v>
      </c>
    </row>
    <row r="615" spans="1:21" x14ac:dyDescent="0.3">
      <c r="A615">
        <v>1728</v>
      </c>
      <c r="B615" s="1" t="s">
        <v>3078</v>
      </c>
      <c r="C615" s="1" t="s">
        <v>3079</v>
      </c>
      <c r="D615" s="1" t="s">
        <v>3080</v>
      </c>
      <c r="E615" s="1" t="s">
        <v>21</v>
      </c>
      <c r="F615" s="1" t="s">
        <v>3081</v>
      </c>
      <c r="G615" s="1" t="s">
        <v>3082</v>
      </c>
      <c r="H615" s="1" t="s">
        <v>38</v>
      </c>
      <c r="I615" s="1" t="s">
        <v>25</v>
      </c>
      <c r="J615" s="1" t="s">
        <v>799</v>
      </c>
      <c r="K615" s="1" t="s">
        <v>471</v>
      </c>
      <c r="L615">
        <v>43017</v>
      </c>
      <c r="M615" s="1" t="s">
        <v>141</v>
      </c>
      <c r="N615" s="1" t="s">
        <v>3083</v>
      </c>
      <c r="O615" s="1" t="s">
        <v>30</v>
      </c>
      <c r="P615" s="1" t="s">
        <v>55</v>
      </c>
      <c r="Q615" s="1" t="s">
        <v>3084</v>
      </c>
      <c r="R615">
        <v>1048.3499999999999</v>
      </c>
      <c r="S615" s="1"/>
      <c r="T615" s="1" t="str">
        <f>IF(O615="Furniture","Cardbaord",O615)</f>
        <v>Cardbaord</v>
      </c>
      <c r="U615" s="1" t="str">
        <f>IF(O615="furniture","cardbaord",IF(O615="office supplies","OS",O615))</f>
        <v>cardbaord</v>
      </c>
    </row>
    <row r="616" spans="1:21" x14ac:dyDescent="0.3">
      <c r="A616">
        <v>36</v>
      </c>
      <c r="B616" s="1" t="s">
        <v>167</v>
      </c>
      <c r="C616" s="1" t="s">
        <v>168</v>
      </c>
      <c r="D616" s="1" t="s">
        <v>77</v>
      </c>
      <c r="E616" s="1" t="s">
        <v>169</v>
      </c>
      <c r="F616" s="1" t="s">
        <v>170</v>
      </c>
      <c r="G616" s="1" t="s">
        <v>171</v>
      </c>
      <c r="H616" s="1" t="s">
        <v>38</v>
      </c>
      <c r="I616" s="1" t="s">
        <v>25</v>
      </c>
      <c r="J616" s="1" t="s">
        <v>172</v>
      </c>
      <c r="K616" s="1" t="s">
        <v>92</v>
      </c>
      <c r="L616">
        <v>75080</v>
      </c>
      <c r="M616" s="1" t="s">
        <v>93</v>
      </c>
      <c r="N616" s="1" t="s">
        <v>173</v>
      </c>
      <c r="O616" s="1" t="s">
        <v>174</v>
      </c>
      <c r="P616" s="1" t="s">
        <v>175</v>
      </c>
      <c r="Q616" s="1" t="s">
        <v>176</v>
      </c>
      <c r="R616">
        <v>1097.5440000000001</v>
      </c>
      <c r="S616" s="1"/>
      <c r="T616" s="1" t="str">
        <f>IF(O616="Furniture","Cardbaord",O616)</f>
        <v>Technology</v>
      </c>
      <c r="U616" s="1" t="str">
        <f>IF(O616="furniture","cardbaord",IF(O616="office supplies","OS",O616))</f>
        <v>Technology</v>
      </c>
    </row>
    <row r="617" spans="1:21" x14ac:dyDescent="0.3">
      <c r="A617">
        <v>68</v>
      </c>
      <c r="B617" s="1" t="s">
        <v>279</v>
      </c>
      <c r="C617" s="1" t="s">
        <v>280</v>
      </c>
      <c r="D617" s="1" t="s">
        <v>281</v>
      </c>
      <c r="E617" s="1" t="s">
        <v>49</v>
      </c>
      <c r="F617" s="1" t="s">
        <v>282</v>
      </c>
      <c r="G617" s="1" t="s">
        <v>283</v>
      </c>
      <c r="H617" s="1" t="s">
        <v>38</v>
      </c>
      <c r="I617" s="1" t="s">
        <v>25</v>
      </c>
      <c r="J617" s="1" t="s">
        <v>284</v>
      </c>
      <c r="K617" s="1" t="s">
        <v>285</v>
      </c>
      <c r="L617">
        <v>85234</v>
      </c>
      <c r="M617" s="1" t="s">
        <v>41</v>
      </c>
      <c r="N617" s="1" t="s">
        <v>286</v>
      </c>
      <c r="O617" s="1" t="s">
        <v>43</v>
      </c>
      <c r="P617" s="1" t="s">
        <v>123</v>
      </c>
      <c r="Q617" s="1" t="s">
        <v>287</v>
      </c>
      <c r="R617">
        <v>1113.0239999999999</v>
      </c>
      <c r="S617" s="1"/>
      <c r="T617" s="1" t="str">
        <f>IF(O617="Furniture","Cardbaord",O617)</f>
        <v>Office Supplies</v>
      </c>
      <c r="U617" s="1" t="str">
        <f>IF(O617="furniture","cardbaord",IF(O617="office supplies","OS",O617))</f>
        <v>OS</v>
      </c>
    </row>
    <row r="618" spans="1:21" x14ac:dyDescent="0.3">
      <c r="A618">
        <v>2511</v>
      </c>
      <c r="B618" s="1" t="s">
        <v>3544</v>
      </c>
      <c r="C618" s="1" t="s">
        <v>3545</v>
      </c>
      <c r="D618" s="1" t="s">
        <v>3546</v>
      </c>
      <c r="E618" s="1" t="s">
        <v>49</v>
      </c>
      <c r="F618" s="1" t="s">
        <v>3547</v>
      </c>
      <c r="G618" s="1" t="s">
        <v>3548</v>
      </c>
      <c r="H618" s="1" t="s">
        <v>90</v>
      </c>
      <c r="I618" s="1" t="s">
        <v>25</v>
      </c>
      <c r="J618" s="1" t="s">
        <v>3549</v>
      </c>
      <c r="K618" s="1" t="s">
        <v>595</v>
      </c>
      <c r="L618">
        <v>73120</v>
      </c>
      <c r="M618" s="1" t="s">
        <v>93</v>
      </c>
      <c r="N618" s="1" t="s">
        <v>3550</v>
      </c>
      <c r="O618" s="1" t="s">
        <v>43</v>
      </c>
      <c r="P618" s="1" t="s">
        <v>105</v>
      </c>
      <c r="Q618" s="1" t="s">
        <v>3551</v>
      </c>
      <c r="R618">
        <v>1117.92</v>
      </c>
      <c r="S618" s="1"/>
      <c r="T618" s="1" t="str">
        <f>IF(O618="Furniture","Cardbaord",O618)</f>
        <v>Office Supplies</v>
      </c>
      <c r="U618" s="1" t="str">
        <f>IF(O618="furniture","cardbaord",IF(O618="office supplies","OS",O618))</f>
        <v>OS</v>
      </c>
    </row>
    <row r="619" spans="1:21" x14ac:dyDescent="0.3">
      <c r="A619">
        <v>552</v>
      </c>
      <c r="B619" s="1" t="s">
        <v>1573</v>
      </c>
      <c r="C619" s="1" t="s">
        <v>1316</v>
      </c>
      <c r="D619" s="1" t="s">
        <v>1574</v>
      </c>
      <c r="E619" s="1" t="s">
        <v>21</v>
      </c>
      <c r="F619" s="1" t="s">
        <v>1575</v>
      </c>
      <c r="G619" s="1" t="s">
        <v>1576</v>
      </c>
      <c r="H619" s="1" t="s">
        <v>24</v>
      </c>
      <c r="I619" s="1" t="s">
        <v>25</v>
      </c>
      <c r="J619" s="1" t="s">
        <v>121</v>
      </c>
      <c r="K619" s="1" t="s">
        <v>40</v>
      </c>
      <c r="L619">
        <v>94110</v>
      </c>
      <c r="M619" s="1" t="s">
        <v>41</v>
      </c>
      <c r="N619" s="1" t="s">
        <v>1577</v>
      </c>
      <c r="O619" s="1" t="s">
        <v>30</v>
      </c>
      <c r="P619" s="1" t="s">
        <v>143</v>
      </c>
      <c r="Q619" s="1" t="s">
        <v>1578</v>
      </c>
      <c r="R619">
        <v>1121.568</v>
      </c>
      <c r="S619" s="1"/>
      <c r="T619" s="1" t="str">
        <f>IF(O619="Furniture","Cardbaord",O619)</f>
        <v>Cardbaord</v>
      </c>
      <c r="U619" s="1" t="str">
        <f>IF(O619="furniture","cardbaord",IF(O619="office supplies","OS",O619))</f>
        <v>cardbaord</v>
      </c>
    </row>
    <row r="620" spans="1:21" x14ac:dyDescent="0.3">
      <c r="A620">
        <v>1828</v>
      </c>
      <c r="B620" s="1" t="s">
        <v>3145</v>
      </c>
      <c r="C620" s="1" t="s">
        <v>3146</v>
      </c>
      <c r="D620" s="1" t="s">
        <v>3128</v>
      </c>
      <c r="E620" s="1" t="s">
        <v>21</v>
      </c>
      <c r="F620" s="1" t="s">
        <v>3147</v>
      </c>
      <c r="G620" s="1" t="s">
        <v>3148</v>
      </c>
      <c r="H620" s="1" t="s">
        <v>90</v>
      </c>
      <c r="I620" s="1" t="s">
        <v>25</v>
      </c>
      <c r="J620" s="1" t="s">
        <v>3149</v>
      </c>
      <c r="K620" s="1" t="s">
        <v>71</v>
      </c>
      <c r="L620">
        <v>27604</v>
      </c>
      <c r="M620" s="1" t="s">
        <v>28</v>
      </c>
      <c r="N620" s="1" t="s">
        <v>3150</v>
      </c>
      <c r="O620" s="1" t="s">
        <v>174</v>
      </c>
      <c r="P620" s="1" t="s">
        <v>175</v>
      </c>
      <c r="Q620" s="1" t="s">
        <v>3151</v>
      </c>
      <c r="R620">
        <v>1127.9760000000001</v>
      </c>
      <c r="S620" s="1"/>
      <c r="T620" s="1" t="str">
        <f>IF(O620="Furniture","Cardbaord",O620)</f>
        <v>Technology</v>
      </c>
      <c r="U620" s="1" t="str">
        <f>IF(O620="furniture","cardbaord",IF(O620="office supplies","OS",O620))</f>
        <v>Technology</v>
      </c>
    </row>
    <row r="621" spans="1:21" x14ac:dyDescent="0.3">
      <c r="A621">
        <v>870</v>
      </c>
      <c r="B621" s="1" t="s">
        <v>2185</v>
      </c>
      <c r="C621" s="1" t="s">
        <v>1095</v>
      </c>
      <c r="D621" s="1" t="s">
        <v>2186</v>
      </c>
      <c r="E621" s="1" t="s">
        <v>169</v>
      </c>
      <c r="F621" s="1" t="s">
        <v>2187</v>
      </c>
      <c r="G621" s="1" t="s">
        <v>2188</v>
      </c>
      <c r="H621" s="1" t="s">
        <v>90</v>
      </c>
      <c r="I621" s="1" t="s">
        <v>25</v>
      </c>
      <c r="J621" s="1" t="s">
        <v>139</v>
      </c>
      <c r="K621" s="1" t="s">
        <v>140</v>
      </c>
      <c r="L621">
        <v>19143</v>
      </c>
      <c r="M621" s="1" t="s">
        <v>141</v>
      </c>
      <c r="N621" s="1" t="s">
        <v>2189</v>
      </c>
      <c r="O621" s="1" t="s">
        <v>43</v>
      </c>
      <c r="P621" s="1" t="s">
        <v>83</v>
      </c>
      <c r="Q621" s="1" t="s">
        <v>2190</v>
      </c>
      <c r="R621">
        <v>1141.47</v>
      </c>
      <c r="S621" s="1"/>
      <c r="T621" s="1" t="str">
        <f>IF(O621="Furniture","Cardbaord",O621)</f>
        <v>Office Supplies</v>
      </c>
      <c r="U621" s="1" t="str">
        <f>IF(O621="furniture","cardbaord",IF(O621="office supplies","OS",O621))</f>
        <v>OS</v>
      </c>
    </row>
    <row r="622" spans="1:21" x14ac:dyDescent="0.3">
      <c r="A622">
        <v>910</v>
      </c>
      <c r="B622" s="1" t="s">
        <v>2245</v>
      </c>
      <c r="C622" s="1" t="s">
        <v>2246</v>
      </c>
      <c r="D622" s="1" t="s">
        <v>1524</v>
      </c>
      <c r="E622" s="1" t="s">
        <v>49</v>
      </c>
      <c r="F622" s="1" t="s">
        <v>2247</v>
      </c>
      <c r="G622" s="1" t="s">
        <v>2248</v>
      </c>
      <c r="H622" s="1" t="s">
        <v>90</v>
      </c>
      <c r="I622" s="1" t="s">
        <v>25</v>
      </c>
      <c r="J622" s="1" t="s">
        <v>1299</v>
      </c>
      <c r="K622" s="1" t="s">
        <v>225</v>
      </c>
      <c r="L622">
        <v>49201</v>
      </c>
      <c r="M622" s="1" t="s">
        <v>93</v>
      </c>
      <c r="N622" s="1" t="s">
        <v>2249</v>
      </c>
      <c r="O622" s="1" t="s">
        <v>174</v>
      </c>
      <c r="P622" s="1" t="s">
        <v>175</v>
      </c>
      <c r="Q622" s="1" t="s">
        <v>2250</v>
      </c>
      <c r="R622">
        <v>1199.8</v>
      </c>
      <c r="S622" s="1"/>
      <c r="T622" s="1" t="str">
        <f>IF(O622="Furniture","Cardbaord",O622)</f>
        <v>Technology</v>
      </c>
      <c r="U622" s="1" t="str">
        <f>IF(O622="furniture","cardbaord",IF(O622="office supplies","OS",O622))</f>
        <v>Technology</v>
      </c>
    </row>
    <row r="623" spans="1:21" x14ac:dyDescent="0.3">
      <c r="A623">
        <v>407</v>
      </c>
      <c r="B623" s="1" t="s">
        <v>1260</v>
      </c>
      <c r="C623" s="1" t="s">
        <v>1261</v>
      </c>
      <c r="D623" s="1" t="s">
        <v>1262</v>
      </c>
      <c r="E623" s="1" t="s">
        <v>49</v>
      </c>
      <c r="F623" s="1" t="s">
        <v>1263</v>
      </c>
      <c r="G623" s="1" t="s">
        <v>1264</v>
      </c>
      <c r="H623" s="1" t="s">
        <v>24</v>
      </c>
      <c r="I623" s="1" t="s">
        <v>25</v>
      </c>
      <c r="J623" s="1" t="s">
        <v>121</v>
      </c>
      <c r="K623" s="1" t="s">
        <v>40</v>
      </c>
      <c r="L623">
        <v>94110</v>
      </c>
      <c r="M623" s="1" t="s">
        <v>41</v>
      </c>
      <c r="N623" s="1" t="s">
        <v>1265</v>
      </c>
      <c r="O623" s="1" t="s">
        <v>174</v>
      </c>
      <c r="P623" s="1" t="s">
        <v>1266</v>
      </c>
      <c r="Q623" s="1" t="s">
        <v>1267</v>
      </c>
      <c r="R623">
        <v>1199.9760000000001</v>
      </c>
      <c r="S623" s="1"/>
      <c r="T623" s="1" t="str">
        <f>IF(O623="Furniture","Cardbaord",O623)</f>
        <v>Technology</v>
      </c>
      <c r="U623" s="1" t="str">
        <f>IF(O623="furniture","cardbaord",IF(O623="office supplies","OS",O623))</f>
        <v>Technology</v>
      </c>
    </row>
    <row r="624" spans="1:21" x14ac:dyDescent="0.3">
      <c r="A624">
        <v>754</v>
      </c>
      <c r="B624" s="1" t="s">
        <v>2008</v>
      </c>
      <c r="C624" s="1" t="s">
        <v>2009</v>
      </c>
      <c r="D624" s="1" t="s">
        <v>2010</v>
      </c>
      <c r="E624" s="1" t="s">
        <v>169</v>
      </c>
      <c r="F624" s="1" t="s">
        <v>2011</v>
      </c>
      <c r="G624" s="1" t="s">
        <v>2012</v>
      </c>
      <c r="H624" s="1" t="s">
        <v>38</v>
      </c>
      <c r="I624" s="1" t="s">
        <v>25</v>
      </c>
      <c r="J624" s="1" t="s">
        <v>121</v>
      </c>
      <c r="K624" s="1" t="s">
        <v>40</v>
      </c>
      <c r="L624">
        <v>94110</v>
      </c>
      <c r="M624" s="1" t="s">
        <v>41</v>
      </c>
      <c r="N624" s="1" t="s">
        <v>2013</v>
      </c>
      <c r="O624" s="1" t="s">
        <v>174</v>
      </c>
      <c r="P624" s="1" t="s">
        <v>1266</v>
      </c>
      <c r="Q624" s="1" t="s">
        <v>2014</v>
      </c>
      <c r="R624">
        <v>1199.9760000000001</v>
      </c>
      <c r="S624" s="1"/>
      <c r="T624" s="1" t="str">
        <f>IF(O624="Furniture","Cardbaord",O624)</f>
        <v>Technology</v>
      </c>
      <c r="U624" s="1" t="str">
        <f>IF(O624="furniture","cardbaord",IF(O624="office supplies","OS",O624))</f>
        <v>Technology</v>
      </c>
    </row>
    <row r="625" spans="1:21" x14ac:dyDescent="0.3">
      <c r="A625">
        <v>1487</v>
      </c>
      <c r="B625" s="1" t="s">
        <v>2889</v>
      </c>
      <c r="C625" s="1" t="s">
        <v>2365</v>
      </c>
      <c r="D625" s="1" t="s">
        <v>1517</v>
      </c>
      <c r="E625" s="1" t="s">
        <v>49</v>
      </c>
      <c r="F625" s="1" t="s">
        <v>2890</v>
      </c>
      <c r="G625" s="1" t="s">
        <v>2891</v>
      </c>
      <c r="H625" s="1" t="s">
        <v>90</v>
      </c>
      <c r="I625" s="1" t="s">
        <v>25</v>
      </c>
      <c r="J625" s="1" t="s">
        <v>39</v>
      </c>
      <c r="K625" s="1" t="s">
        <v>40</v>
      </c>
      <c r="L625">
        <v>90008</v>
      </c>
      <c r="M625" s="1" t="s">
        <v>41</v>
      </c>
      <c r="N625" s="1" t="s">
        <v>2892</v>
      </c>
      <c r="O625" s="1" t="s">
        <v>174</v>
      </c>
      <c r="P625" s="1" t="s">
        <v>175</v>
      </c>
      <c r="Q625" s="1" t="s">
        <v>2893</v>
      </c>
      <c r="R625">
        <v>1212.848</v>
      </c>
      <c r="S625" s="1"/>
      <c r="T625" s="1" t="str">
        <f>IF(O625="Furniture","Cardbaord",O625)</f>
        <v>Technology</v>
      </c>
      <c r="U625" s="1" t="str">
        <f>IF(O625="furniture","cardbaord",IF(O625="office supplies","OS",O625))</f>
        <v>Technology</v>
      </c>
    </row>
    <row r="626" spans="1:21" x14ac:dyDescent="0.3">
      <c r="A626">
        <v>464</v>
      </c>
      <c r="B626" s="1" t="s">
        <v>1377</v>
      </c>
      <c r="C626" s="1" t="s">
        <v>1378</v>
      </c>
      <c r="D626" s="1" t="s">
        <v>1066</v>
      </c>
      <c r="E626" s="1" t="s">
        <v>49</v>
      </c>
      <c r="F626" s="1" t="s">
        <v>1379</v>
      </c>
      <c r="G626" s="1" t="s">
        <v>1380</v>
      </c>
      <c r="H626" s="1" t="s">
        <v>90</v>
      </c>
      <c r="I626" s="1" t="s">
        <v>25</v>
      </c>
      <c r="J626" s="1" t="s">
        <v>514</v>
      </c>
      <c r="K626" s="1" t="s">
        <v>285</v>
      </c>
      <c r="L626">
        <v>85023</v>
      </c>
      <c r="M626" s="1" t="s">
        <v>41</v>
      </c>
      <c r="N626" s="1" t="s">
        <v>1381</v>
      </c>
      <c r="O626" s="1" t="s">
        <v>30</v>
      </c>
      <c r="P626" s="1" t="s">
        <v>55</v>
      </c>
      <c r="Q626" s="1" t="s">
        <v>1382</v>
      </c>
      <c r="R626">
        <v>1272.6300000000001</v>
      </c>
      <c r="S626" s="1"/>
      <c r="T626" s="1" t="str">
        <f>IF(O626="Furniture","Cardbaord",O626)</f>
        <v>Cardbaord</v>
      </c>
      <c r="U626" s="1" t="str">
        <f>IF(O626="furniture","cardbaord",IF(O626="office supplies","OS",O626))</f>
        <v>cardbaord</v>
      </c>
    </row>
    <row r="627" spans="1:21" x14ac:dyDescent="0.3">
      <c r="A627">
        <v>4520</v>
      </c>
      <c r="B627" s="1" t="s">
        <v>4067</v>
      </c>
      <c r="C627" s="1" t="s">
        <v>1416</v>
      </c>
      <c r="D627" s="1" t="s">
        <v>4068</v>
      </c>
      <c r="E627" s="1" t="s">
        <v>49</v>
      </c>
      <c r="F627" s="1" t="s">
        <v>4069</v>
      </c>
      <c r="G627" s="1" t="s">
        <v>4070</v>
      </c>
      <c r="H627" s="1" t="s">
        <v>38</v>
      </c>
      <c r="I627" s="1" t="s">
        <v>25</v>
      </c>
      <c r="J627" s="1" t="s">
        <v>1334</v>
      </c>
      <c r="K627" s="1" t="s">
        <v>53</v>
      </c>
      <c r="L627">
        <v>32216</v>
      </c>
      <c r="M627" s="1" t="s">
        <v>28</v>
      </c>
      <c r="N627" s="1" t="s">
        <v>4071</v>
      </c>
      <c r="O627" s="1" t="s">
        <v>43</v>
      </c>
      <c r="P627" s="1" t="s">
        <v>105</v>
      </c>
      <c r="Q627" s="1" t="s">
        <v>4072</v>
      </c>
      <c r="R627">
        <v>1347.52</v>
      </c>
      <c r="S627" s="1"/>
      <c r="T627" s="1" t="str">
        <f>IF(O627="Furniture","Cardbaord",O627)</f>
        <v>Office Supplies</v>
      </c>
      <c r="U627" s="1" t="str">
        <f>IF(O627="furniture","cardbaord",IF(O627="office supplies","OS",O627))</f>
        <v>OS</v>
      </c>
    </row>
    <row r="628" spans="1:21" x14ac:dyDescent="0.3">
      <c r="A628">
        <v>2603</v>
      </c>
      <c r="B628" s="1" t="s">
        <v>3575</v>
      </c>
      <c r="C628" s="1" t="s">
        <v>289</v>
      </c>
      <c r="D628" s="1" t="s">
        <v>289</v>
      </c>
      <c r="E628" s="1" t="s">
        <v>1124</v>
      </c>
      <c r="F628" s="1" t="s">
        <v>3576</v>
      </c>
      <c r="G628" s="1" t="s">
        <v>3577</v>
      </c>
      <c r="H628" s="1" t="s">
        <v>24</v>
      </c>
      <c r="I628" s="1" t="s">
        <v>25</v>
      </c>
      <c r="J628" s="1" t="s">
        <v>251</v>
      </c>
      <c r="K628" s="1" t="s">
        <v>252</v>
      </c>
      <c r="L628">
        <v>10035</v>
      </c>
      <c r="M628" s="1" t="s">
        <v>141</v>
      </c>
      <c r="N628" s="1" t="s">
        <v>3578</v>
      </c>
      <c r="O628" s="1" t="s">
        <v>174</v>
      </c>
      <c r="P628" s="1" t="s">
        <v>888</v>
      </c>
      <c r="Q628" s="1" t="s">
        <v>3579</v>
      </c>
      <c r="R628">
        <v>1349.85</v>
      </c>
      <c r="S628" s="1"/>
      <c r="T628" s="1" t="str">
        <f>IF(O628="Furniture","Cardbaord",O628)</f>
        <v>Technology</v>
      </c>
      <c r="U628" s="1" t="str">
        <f>IF(O628="furniture","cardbaord",IF(O628="office supplies","OS",O628))</f>
        <v>Technology</v>
      </c>
    </row>
    <row r="629" spans="1:21" x14ac:dyDescent="0.3">
      <c r="A629">
        <v>793</v>
      </c>
      <c r="B629" s="1" t="s">
        <v>2057</v>
      </c>
      <c r="C629" s="1" t="s">
        <v>2058</v>
      </c>
      <c r="D629" s="1" t="s">
        <v>2058</v>
      </c>
      <c r="E629" s="1" t="s">
        <v>1124</v>
      </c>
      <c r="F629" s="1" t="s">
        <v>2059</v>
      </c>
      <c r="G629" s="1" t="s">
        <v>2060</v>
      </c>
      <c r="H629" s="1" t="s">
        <v>24</v>
      </c>
      <c r="I629" s="1" t="s">
        <v>25</v>
      </c>
      <c r="J629" s="1" t="s">
        <v>2061</v>
      </c>
      <c r="K629" s="1" t="s">
        <v>71</v>
      </c>
      <c r="L629">
        <v>28806</v>
      </c>
      <c r="M629" s="1" t="s">
        <v>28</v>
      </c>
      <c r="N629" s="1" t="s">
        <v>2062</v>
      </c>
      <c r="O629" s="1" t="s">
        <v>174</v>
      </c>
      <c r="P629" s="1" t="s">
        <v>175</v>
      </c>
      <c r="Q629" s="1" t="s">
        <v>2063</v>
      </c>
      <c r="R629">
        <v>1363.96</v>
      </c>
      <c r="S629" s="1"/>
      <c r="T629" s="1" t="str">
        <f>IF(O629="Furniture","Cardbaord",O629)</f>
        <v>Technology</v>
      </c>
      <c r="U629" s="1" t="str">
        <f>IF(O629="furniture","cardbaord",IF(O629="office supplies","OS",O629))</f>
        <v>Technology</v>
      </c>
    </row>
    <row r="630" spans="1:21" x14ac:dyDescent="0.3">
      <c r="A630">
        <v>815</v>
      </c>
      <c r="B630" s="1" t="s">
        <v>2091</v>
      </c>
      <c r="C630" s="1" t="s">
        <v>2092</v>
      </c>
      <c r="D630" s="1" t="s">
        <v>2092</v>
      </c>
      <c r="E630" s="1" t="s">
        <v>1124</v>
      </c>
      <c r="F630" s="1" t="s">
        <v>2093</v>
      </c>
      <c r="G630" s="1" t="s">
        <v>2094</v>
      </c>
      <c r="H630" s="1" t="s">
        <v>24</v>
      </c>
      <c r="I630" s="1" t="s">
        <v>25</v>
      </c>
      <c r="J630" s="1" t="s">
        <v>2095</v>
      </c>
      <c r="K630" s="1" t="s">
        <v>40</v>
      </c>
      <c r="L630">
        <v>92704</v>
      </c>
      <c r="M630" s="1" t="s">
        <v>41</v>
      </c>
      <c r="N630" s="1" t="s">
        <v>2096</v>
      </c>
      <c r="O630" s="1" t="s">
        <v>174</v>
      </c>
      <c r="P630" s="1" t="s">
        <v>217</v>
      </c>
      <c r="Q630" s="1" t="s">
        <v>2097</v>
      </c>
      <c r="R630">
        <v>1399.93</v>
      </c>
      <c r="S630" s="1"/>
      <c r="T630" s="1" t="str">
        <f>IF(O630="Furniture","Cardbaord",O630)</f>
        <v>Technology</v>
      </c>
      <c r="U630" s="1" t="str">
        <f>IF(O630="furniture","cardbaord",IF(O630="office supplies","OS",O630))</f>
        <v>Technology</v>
      </c>
    </row>
    <row r="631" spans="1:21" x14ac:dyDescent="0.3">
      <c r="A631">
        <v>1831</v>
      </c>
      <c r="B631" s="1" t="s">
        <v>3152</v>
      </c>
      <c r="C631" s="1" t="s">
        <v>1504</v>
      </c>
      <c r="D631" s="1" t="s">
        <v>1504</v>
      </c>
      <c r="E631" s="1" t="s">
        <v>1124</v>
      </c>
      <c r="F631" s="1" t="s">
        <v>3153</v>
      </c>
      <c r="G631" s="1" t="s">
        <v>3154</v>
      </c>
      <c r="H631" s="1" t="s">
        <v>90</v>
      </c>
      <c r="I631" s="1" t="s">
        <v>25</v>
      </c>
      <c r="J631" s="1" t="s">
        <v>3155</v>
      </c>
      <c r="K631" s="1" t="s">
        <v>595</v>
      </c>
      <c r="L631">
        <v>74403</v>
      </c>
      <c r="M631" s="1" t="s">
        <v>93</v>
      </c>
      <c r="N631" s="1" t="s">
        <v>3156</v>
      </c>
      <c r="O631" s="1" t="s">
        <v>174</v>
      </c>
      <c r="P631" s="1" t="s">
        <v>175</v>
      </c>
      <c r="Q631" s="1" t="s">
        <v>3157</v>
      </c>
      <c r="R631">
        <v>1439.92</v>
      </c>
      <c r="S631" s="1"/>
      <c r="T631" s="1" t="str">
        <f>IF(O631="Furniture","Cardbaord",O631)</f>
        <v>Technology</v>
      </c>
      <c r="U631" s="1" t="str">
        <f>IF(O631="furniture","cardbaord",IF(O631="office supplies","OS",O631))</f>
        <v>Technology</v>
      </c>
    </row>
    <row r="632" spans="1:21" x14ac:dyDescent="0.3">
      <c r="A632">
        <v>8925</v>
      </c>
      <c r="B632" s="1" t="s">
        <v>4286</v>
      </c>
      <c r="C632" s="1" t="s">
        <v>4287</v>
      </c>
      <c r="D632" s="1" t="s">
        <v>4288</v>
      </c>
      <c r="E632" s="1" t="s">
        <v>49</v>
      </c>
      <c r="F632" s="1" t="s">
        <v>4289</v>
      </c>
      <c r="G632" s="1" t="s">
        <v>4290</v>
      </c>
      <c r="H632" s="1" t="s">
        <v>24</v>
      </c>
      <c r="I632" s="1" t="s">
        <v>25</v>
      </c>
      <c r="J632" s="1" t="s">
        <v>4291</v>
      </c>
      <c r="K632" s="1" t="s">
        <v>191</v>
      </c>
      <c r="L632">
        <v>61107</v>
      </c>
      <c r="M632" s="1" t="s">
        <v>93</v>
      </c>
      <c r="N632" s="1" t="s">
        <v>4292</v>
      </c>
      <c r="O632" s="1" t="s">
        <v>174</v>
      </c>
      <c r="P632" s="1" t="s">
        <v>175</v>
      </c>
      <c r="Q632" s="1" t="s">
        <v>4293</v>
      </c>
      <c r="R632">
        <v>1439.9680000000001</v>
      </c>
      <c r="S632" s="1"/>
      <c r="T632" s="1" t="str">
        <f>IF(O632="Furniture","Cardbaord",O632)</f>
        <v>Technology</v>
      </c>
      <c r="U632" s="1" t="str">
        <f>IF(O632="furniture","cardbaord",IF(O632="office supplies","OS",O632))</f>
        <v>Technology</v>
      </c>
    </row>
    <row r="633" spans="1:21" x14ac:dyDescent="0.3">
      <c r="A633">
        <v>378</v>
      </c>
      <c r="B633" s="1" t="s">
        <v>1154</v>
      </c>
      <c r="C633" s="1" t="s">
        <v>1155</v>
      </c>
      <c r="D633" s="1" t="s">
        <v>1156</v>
      </c>
      <c r="E633" s="1" t="s">
        <v>49</v>
      </c>
      <c r="F633" s="1" t="s">
        <v>1157</v>
      </c>
      <c r="G633" s="1" t="s">
        <v>1158</v>
      </c>
      <c r="H633" s="1" t="s">
        <v>38</v>
      </c>
      <c r="I633" s="1" t="s">
        <v>25</v>
      </c>
      <c r="J633" s="1" t="s">
        <v>564</v>
      </c>
      <c r="K633" s="1" t="s">
        <v>1091</v>
      </c>
      <c r="L633">
        <v>2038</v>
      </c>
      <c r="M633" s="1" t="s">
        <v>141</v>
      </c>
      <c r="N633" s="1" t="s">
        <v>1159</v>
      </c>
      <c r="O633" s="1" t="s">
        <v>30</v>
      </c>
      <c r="P633" s="1" t="s">
        <v>55</v>
      </c>
      <c r="Q633" s="1" t="s">
        <v>1160</v>
      </c>
      <c r="R633">
        <v>1488.424</v>
      </c>
      <c r="S633" s="1"/>
      <c r="T633" s="1" t="str">
        <f>IF(O633="Furniture","Cardbaord",O633)</f>
        <v>Cardbaord</v>
      </c>
      <c r="U633" s="1" t="str">
        <f>IF(O633="furniture","cardbaord",IF(O633="office supplies","OS",O633))</f>
        <v>cardbaord</v>
      </c>
    </row>
    <row r="634" spans="1:21" x14ac:dyDescent="0.3">
      <c r="A634">
        <v>1757</v>
      </c>
      <c r="B634" s="1" t="s">
        <v>3091</v>
      </c>
      <c r="C634" s="1" t="s">
        <v>3092</v>
      </c>
      <c r="D634" s="1" t="s">
        <v>1553</v>
      </c>
      <c r="E634" s="1" t="s">
        <v>21</v>
      </c>
      <c r="F634" s="1" t="s">
        <v>3093</v>
      </c>
      <c r="G634" s="1" t="s">
        <v>3094</v>
      </c>
      <c r="H634" s="1" t="s">
        <v>90</v>
      </c>
      <c r="I634" s="1" t="s">
        <v>25</v>
      </c>
      <c r="J634" s="1" t="s">
        <v>91</v>
      </c>
      <c r="K634" s="1" t="s">
        <v>92</v>
      </c>
      <c r="L634">
        <v>76106</v>
      </c>
      <c r="M634" s="1" t="s">
        <v>93</v>
      </c>
      <c r="N634" s="1" t="s">
        <v>3095</v>
      </c>
      <c r="O634" s="1" t="s">
        <v>174</v>
      </c>
      <c r="P634" s="1" t="s">
        <v>175</v>
      </c>
      <c r="Q634" s="1" t="s">
        <v>3096</v>
      </c>
      <c r="R634">
        <v>1718.4</v>
      </c>
      <c r="S634" s="1"/>
      <c r="T634" s="1" t="str">
        <f>IF(O634="Furniture","Cardbaord",O634)</f>
        <v>Technology</v>
      </c>
      <c r="U634" s="1" t="str">
        <f>IF(O634="furniture","cardbaord",IF(O634="office supplies","OS",O634))</f>
        <v>Technology</v>
      </c>
    </row>
    <row r="635" spans="1:21" x14ac:dyDescent="0.3">
      <c r="A635">
        <v>1897</v>
      </c>
      <c r="B635" s="1" t="s">
        <v>3205</v>
      </c>
      <c r="C635" s="1" t="s">
        <v>3206</v>
      </c>
      <c r="D635" s="1" t="s">
        <v>2002</v>
      </c>
      <c r="E635" s="1" t="s">
        <v>169</v>
      </c>
      <c r="F635" s="1" t="s">
        <v>3207</v>
      </c>
      <c r="G635" s="1" t="s">
        <v>3208</v>
      </c>
      <c r="H635" s="1" t="s">
        <v>24</v>
      </c>
      <c r="I635" s="1" t="s">
        <v>25</v>
      </c>
      <c r="J635" s="1" t="s">
        <v>377</v>
      </c>
      <c r="K635" s="1" t="s">
        <v>215</v>
      </c>
      <c r="L635">
        <v>55407</v>
      </c>
      <c r="M635" s="1" t="s">
        <v>93</v>
      </c>
      <c r="N635" s="1" t="s">
        <v>3209</v>
      </c>
      <c r="O635" s="1" t="s">
        <v>43</v>
      </c>
      <c r="P635" s="1" t="s">
        <v>83</v>
      </c>
      <c r="Q635" s="1" t="s">
        <v>3210</v>
      </c>
      <c r="R635">
        <v>1793.98</v>
      </c>
      <c r="S635" s="1"/>
      <c r="T635" s="1" t="str">
        <f>IF(O635="Furniture","Cardbaord",O635)</f>
        <v>Office Supplies</v>
      </c>
      <c r="U635" s="1" t="str">
        <f>IF(O635="furniture","cardbaord",IF(O635="office supplies","OS",O635))</f>
        <v>OS</v>
      </c>
    </row>
    <row r="636" spans="1:21" x14ac:dyDescent="0.3">
      <c r="A636">
        <v>1002</v>
      </c>
      <c r="B636" s="1" t="s">
        <v>2370</v>
      </c>
      <c r="C636" s="1" t="s">
        <v>927</v>
      </c>
      <c r="D636" s="1" t="s">
        <v>927</v>
      </c>
      <c r="E636" s="1" t="s">
        <v>1124</v>
      </c>
      <c r="F636" s="1" t="s">
        <v>2371</v>
      </c>
      <c r="G636" s="1" t="s">
        <v>2372</v>
      </c>
      <c r="H636" s="1" t="s">
        <v>24</v>
      </c>
      <c r="I636" s="1" t="s">
        <v>25</v>
      </c>
      <c r="J636" s="1" t="s">
        <v>251</v>
      </c>
      <c r="K636" s="1" t="s">
        <v>252</v>
      </c>
      <c r="L636">
        <v>10024</v>
      </c>
      <c r="M636" s="1" t="s">
        <v>141</v>
      </c>
      <c r="N636" s="1" t="s">
        <v>2373</v>
      </c>
      <c r="O636" s="1" t="s">
        <v>174</v>
      </c>
      <c r="P636" s="1" t="s">
        <v>217</v>
      </c>
      <c r="Q636" s="1" t="s">
        <v>2374</v>
      </c>
      <c r="R636">
        <v>2309.65</v>
      </c>
      <c r="S636" s="1"/>
      <c r="T636" s="1" t="str">
        <f>IF(O636="Furniture","Cardbaord",O636)</f>
        <v>Technology</v>
      </c>
      <c r="U636" s="1" t="str">
        <f>IF(O636="furniture","cardbaord",IF(O636="office supplies","OS",O636))</f>
        <v>Technology</v>
      </c>
    </row>
    <row r="637" spans="1:21" x14ac:dyDescent="0.3">
      <c r="A637">
        <v>264</v>
      </c>
      <c r="B637" s="1" t="s">
        <v>883</v>
      </c>
      <c r="C637" s="1" t="s">
        <v>642</v>
      </c>
      <c r="D637" s="1" t="s">
        <v>884</v>
      </c>
      <c r="E637" s="1" t="s">
        <v>21</v>
      </c>
      <c r="F637" s="1" t="s">
        <v>885</v>
      </c>
      <c r="G637" s="1" t="s">
        <v>886</v>
      </c>
      <c r="H637" s="1" t="s">
        <v>38</v>
      </c>
      <c r="I637" s="1" t="s">
        <v>25</v>
      </c>
      <c r="J637" s="1" t="s">
        <v>164</v>
      </c>
      <c r="K637" s="1" t="s">
        <v>92</v>
      </c>
      <c r="L637">
        <v>77036</v>
      </c>
      <c r="M637" s="1" t="s">
        <v>93</v>
      </c>
      <c r="N637" s="1" t="s">
        <v>887</v>
      </c>
      <c r="O637" s="1" t="s">
        <v>174</v>
      </c>
      <c r="P637" s="1" t="s">
        <v>888</v>
      </c>
      <c r="Q637" s="1" t="s">
        <v>889</v>
      </c>
      <c r="R637">
        <v>2519.9580000000001</v>
      </c>
      <c r="S637" s="1"/>
      <c r="T637" s="1" t="str">
        <f>IF(O637="Furniture","Cardbaord",O637)</f>
        <v>Technology</v>
      </c>
      <c r="U637" s="1" t="str">
        <f>IF(O637="furniture","cardbaord",IF(O637="office supplies","OS",O637))</f>
        <v>Technology</v>
      </c>
    </row>
    <row r="638" spans="1:21" x14ac:dyDescent="0.3">
      <c r="A638">
        <v>995</v>
      </c>
      <c r="B638" s="1" t="s">
        <v>2355</v>
      </c>
      <c r="C638" s="1" t="s">
        <v>2356</v>
      </c>
      <c r="D638" s="1" t="s">
        <v>2357</v>
      </c>
      <c r="E638" s="1" t="s">
        <v>49</v>
      </c>
      <c r="F638" s="1" t="s">
        <v>2358</v>
      </c>
      <c r="G638" s="1" t="s">
        <v>2359</v>
      </c>
      <c r="H638" s="1" t="s">
        <v>38</v>
      </c>
      <c r="I638" s="1" t="s">
        <v>25</v>
      </c>
      <c r="J638" s="1" t="s">
        <v>2360</v>
      </c>
      <c r="K638" s="1" t="s">
        <v>294</v>
      </c>
      <c r="L638">
        <v>23464</v>
      </c>
      <c r="M638" s="1" t="s">
        <v>28</v>
      </c>
      <c r="N638" s="1" t="s">
        <v>2361</v>
      </c>
      <c r="O638" s="1" t="s">
        <v>43</v>
      </c>
      <c r="P638" s="1" t="s">
        <v>83</v>
      </c>
      <c r="Q638" s="1" t="s">
        <v>2362</v>
      </c>
      <c r="R638">
        <v>2715.93</v>
      </c>
      <c r="S638" s="1"/>
      <c r="T638" s="1" t="str">
        <f>IF(O638="Furniture","Cardbaord",O638)</f>
        <v>Office Supplies</v>
      </c>
      <c r="U638" s="1" t="str">
        <f>IF(O638="furniture","cardbaord",IF(O638="office supplies","OS",O638))</f>
        <v>OS</v>
      </c>
    </row>
    <row r="639" spans="1:21" x14ac:dyDescent="0.3">
      <c r="A639">
        <v>488</v>
      </c>
      <c r="B639" s="1" t="s">
        <v>1422</v>
      </c>
      <c r="C639" s="1" t="s">
        <v>1423</v>
      </c>
      <c r="D639" s="1" t="s">
        <v>1424</v>
      </c>
      <c r="E639" s="1" t="s">
        <v>169</v>
      </c>
      <c r="F639" s="1" t="s">
        <v>1425</v>
      </c>
      <c r="G639" s="1" t="s">
        <v>1426</v>
      </c>
      <c r="H639" s="1" t="s">
        <v>24</v>
      </c>
      <c r="I639" s="1" t="s">
        <v>25</v>
      </c>
      <c r="J639" s="1" t="s">
        <v>276</v>
      </c>
      <c r="K639" s="1" t="s">
        <v>191</v>
      </c>
      <c r="L639">
        <v>60610</v>
      </c>
      <c r="M639" s="1" t="s">
        <v>93</v>
      </c>
      <c r="N639" s="1" t="s">
        <v>1427</v>
      </c>
      <c r="O639" s="1" t="s">
        <v>174</v>
      </c>
      <c r="P639" s="1" t="s">
        <v>175</v>
      </c>
      <c r="Q639" s="1" t="s">
        <v>1428</v>
      </c>
      <c r="R639">
        <v>2735.9520000000002</v>
      </c>
      <c r="S639" s="1"/>
      <c r="T639" s="1" t="str">
        <f>IF(O639="Furniture","Cardbaord",O639)</f>
        <v>Technology</v>
      </c>
      <c r="U639" s="1" t="str">
        <f>IF(O639="furniture","cardbaord",IF(O639="office supplies","OS",O639))</f>
        <v>Technology</v>
      </c>
    </row>
    <row r="640" spans="1:21" x14ac:dyDescent="0.3">
      <c r="A640">
        <v>28</v>
      </c>
      <c r="B640" s="1" t="s">
        <v>152</v>
      </c>
      <c r="C640" s="1" t="s">
        <v>153</v>
      </c>
      <c r="D640" s="1" t="s">
        <v>154</v>
      </c>
      <c r="E640" s="1" t="s">
        <v>49</v>
      </c>
      <c r="F640" s="1" t="s">
        <v>155</v>
      </c>
      <c r="G640" s="1" t="s">
        <v>156</v>
      </c>
      <c r="H640" s="1" t="s">
        <v>24</v>
      </c>
      <c r="I640" s="1" t="s">
        <v>25</v>
      </c>
      <c r="J640" s="1" t="s">
        <v>139</v>
      </c>
      <c r="K640" s="1" t="s">
        <v>140</v>
      </c>
      <c r="L640">
        <v>19140</v>
      </c>
      <c r="M640" s="1" t="s">
        <v>141</v>
      </c>
      <c r="N640" s="1" t="s">
        <v>157</v>
      </c>
      <c r="O640" s="1" t="s">
        <v>30</v>
      </c>
      <c r="P640" s="1" t="s">
        <v>31</v>
      </c>
      <c r="Q640" s="1" t="s">
        <v>158</v>
      </c>
      <c r="R640">
        <v>3083.43</v>
      </c>
      <c r="S640" s="1"/>
      <c r="T640" s="1" t="str">
        <f>IF(O640="Furniture","Cardbaord",O640)</f>
        <v>Cardbaord</v>
      </c>
      <c r="U640" s="1" t="str">
        <f>IF(O640="furniture","cardbaord",IF(O640="office supplies","OS",O640))</f>
        <v>cardbaord</v>
      </c>
    </row>
    <row r="641" spans="1:21" x14ac:dyDescent="0.3">
      <c r="A641">
        <v>7915</v>
      </c>
      <c r="B641" s="1" t="s">
        <v>4262</v>
      </c>
      <c r="C641" s="1" t="s">
        <v>397</v>
      </c>
      <c r="D641" s="1" t="s">
        <v>4263</v>
      </c>
      <c r="E641" s="1" t="s">
        <v>49</v>
      </c>
      <c r="F641" s="1" t="s">
        <v>4264</v>
      </c>
      <c r="G641" s="1" t="s">
        <v>4265</v>
      </c>
      <c r="H641" s="1" t="s">
        <v>90</v>
      </c>
      <c r="I641" s="1" t="s">
        <v>25</v>
      </c>
      <c r="J641" s="1" t="s">
        <v>251</v>
      </c>
      <c r="K641" s="1" t="s">
        <v>252</v>
      </c>
      <c r="L641">
        <v>10024</v>
      </c>
      <c r="M641" s="1" t="s">
        <v>141</v>
      </c>
      <c r="N641" s="1" t="s">
        <v>4266</v>
      </c>
      <c r="O641" s="1" t="s">
        <v>174</v>
      </c>
      <c r="P641" s="1" t="s">
        <v>888</v>
      </c>
      <c r="Q641" s="1" t="s">
        <v>4267</v>
      </c>
      <c r="R641">
        <v>3404.5</v>
      </c>
      <c r="S641" s="1"/>
      <c r="T641" s="1" t="str">
        <f>IF(O641="Furniture","Cardbaord",O641)</f>
        <v>Technology</v>
      </c>
      <c r="U641" s="1" t="str">
        <f>IF(O641="furniture","cardbaord",IF(O641="office supplies","OS",O641))</f>
        <v>Technology</v>
      </c>
    </row>
    <row r="642" spans="1:21" x14ac:dyDescent="0.3">
      <c r="A642">
        <v>684</v>
      </c>
      <c r="B642" s="1" t="s">
        <v>1861</v>
      </c>
      <c r="C642" s="1" t="s">
        <v>1862</v>
      </c>
      <c r="D642" s="1" t="s">
        <v>1862</v>
      </c>
      <c r="E642" s="1" t="s">
        <v>1124</v>
      </c>
      <c r="F642" s="1" t="s">
        <v>1863</v>
      </c>
      <c r="G642" s="1" t="s">
        <v>1864</v>
      </c>
      <c r="H642" s="1" t="s">
        <v>38</v>
      </c>
      <c r="I642" s="1" t="s">
        <v>25</v>
      </c>
      <c r="J642" s="1" t="s">
        <v>1865</v>
      </c>
      <c r="K642" s="1" t="s">
        <v>71</v>
      </c>
      <c r="L642">
        <v>27217</v>
      </c>
      <c r="M642" s="1" t="s">
        <v>28</v>
      </c>
      <c r="N642" s="1" t="s">
        <v>1866</v>
      </c>
      <c r="O642" s="1" t="s">
        <v>174</v>
      </c>
      <c r="P642" s="1" t="s">
        <v>888</v>
      </c>
      <c r="Q642" s="1" t="s">
        <v>1867</v>
      </c>
      <c r="R642">
        <v>7999.98</v>
      </c>
      <c r="S642" s="1"/>
      <c r="T642" s="1" t="str">
        <f>IF(O642="Furniture","Cardbaord",O642)</f>
        <v>Technology</v>
      </c>
      <c r="U642" s="1" t="str">
        <f>IF(O642="furniture","cardbaord",IF(O642="office supplies","OS",O642))</f>
        <v>Technology</v>
      </c>
    </row>
    <row r="643" spans="1:21" x14ac:dyDescent="0.3">
      <c r="A643">
        <v>4278</v>
      </c>
      <c r="B643" s="1" t="s">
        <v>4022</v>
      </c>
      <c r="C643" s="1" t="s">
        <v>4023</v>
      </c>
      <c r="D643" s="1" t="s">
        <v>4024</v>
      </c>
      <c r="E643" s="1" t="s">
        <v>49</v>
      </c>
      <c r="F643" s="1" t="s">
        <v>4025</v>
      </c>
      <c r="G643" s="1" t="s">
        <v>4026</v>
      </c>
      <c r="H643" s="1" t="s">
        <v>38</v>
      </c>
      <c r="I643" s="1" t="s">
        <v>25</v>
      </c>
      <c r="J643" s="1" t="s">
        <v>989</v>
      </c>
      <c r="K643" s="1" t="s">
        <v>718</v>
      </c>
      <c r="L643">
        <v>8701</v>
      </c>
      <c r="M643" s="1" t="s">
        <v>141</v>
      </c>
      <c r="N643" s="1" t="s">
        <v>4027</v>
      </c>
      <c r="O643" s="1" t="s">
        <v>174</v>
      </c>
      <c r="P643" s="1" t="s">
        <v>888</v>
      </c>
      <c r="Q643" s="1" t="s">
        <v>4028</v>
      </c>
      <c r="R643">
        <v>9099.93</v>
      </c>
      <c r="S643" s="1"/>
      <c r="T643" s="1" t="str">
        <f>IF(O643="Furniture","Cardbaord",O643)</f>
        <v>Technology</v>
      </c>
      <c r="U643" s="1" t="str">
        <f>IF(O643="furniture","cardbaord",IF(O643="office supplies","OS",O643))</f>
        <v>Technology</v>
      </c>
    </row>
    <row r="644" spans="1:21" x14ac:dyDescent="0.3">
      <c r="A644">
        <v>2624</v>
      </c>
      <c r="B644" s="1" t="s">
        <v>3580</v>
      </c>
      <c r="C644" s="1" t="s">
        <v>3581</v>
      </c>
      <c r="D644" s="1" t="s">
        <v>1365</v>
      </c>
      <c r="E644" s="1" t="s">
        <v>169</v>
      </c>
      <c r="F644" s="1" t="s">
        <v>3582</v>
      </c>
      <c r="G644" s="1" t="s">
        <v>3583</v>
      </c>
      <c r="H644" s="1" t="s">
        <v>90</v>
      </c>
      <c r="I644" s="1" t="s">
        <v>25</v>
      </c>
      <c r="J644" s="1" t="s">
        <v>251</v>
      </c>
      <c r="K644" s="1" t="s">
        <v>252</v>
      </c>
      <c r="L644">
        <v>10024</v>
      </c>
      <c r="M644" s="1" t="s">
        <v>141</v>
      </c>
      <c r="N644" s="1" t="s">
        <v>3584</v>
      </c>
      <c r="O644" s="1" t="s">
        <v>174</v>
      </c>
      <c r="P644" s="1" t="s">
        <v>1266</v>
      </c>
      <c r="Q644" s="1" t="s">
        <v>3585</v>
      </c>
      <c r="R644">
        <v>11199.968000000001</v>
      </c>
      <c r="S644" s="1"/>
      <c r="T644" s="1" t="str">
        <f>IF(O644="Furniture","Cardbaord",O644)</f>
        <v>Technology</v>
      </c>
      <c r="U644" s="1" t="str">
        <f>IF(O644="furniture","cardbaord",IF(O644="office supplies","OS",O644))</f>
        <v>Technology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6FB841-962F-4101-B7EB-473D55A49D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analysis 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2026-06-11T14:48:05Z</dcterms:created>
  <dcterms:modified xsi:type="dcterms:W3CDTF">2026-06-11T15:14:41Z</dcterms:modified>
</cp:coreProperties>
</file>